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ing Hebdo" state="visible" r:id="rId4"/>
    <sheet sheetId="2" name="Équilibrage S1" state="visible" r:id="rId5"/>
    <sheet sheetId="3" name="Détail fonctionnement" state="visible" r:id="rId6"/>
    <sheet sheetId="4" name="Détail projets &amp; dettes" state="visible" r:id="rId7"/>
    <sheet sheetId="5" name="Position CI 30-09" state="visible" r:id="rId8"/>
    <sheet sheetId="6" name="Contrôles" state="visible" r:id="rId9"/>
    <sheet sheetId="7" name="Comparaison RCI" state="visible" r:id="rId10"/>
    <sheet sheetId="8" name="Paiements exécutés" state="visible" r:id="rId11"/>
    <sheet sheetId="9" name="Méthode &amp; sources" state="visible" r:id="rId12"/>
  </sheets>
  <calcPr calcId="171027" fullCalcOnLoad="1"/>
</workbook>
</file>

<file path=xl/sharedStrings.xml><?xml version="1.0" encoding="utf-8"?>
<sst xmlns="http://schemas.openxmlformats.org/spreadsheetml/2006/main" count="2903" uniqueCount="690">
  <si>
    <t>Reporting Cash Hebdomadaire – Centralisation Côte d'Ivoire</t>
  </si>
  <si>
    <t>Soldes bancaires au</t>
  </si>
  <si>
    <t>Semaine</t>
  </si>
  <si>
    <t>S1</t>
  </si>
  <si>
    <t>S2</t>
  </si>
  <si>
    <t>S3</t>
  </si>
  <si>
    <t>S4</t>
  </si>
  <si>
    <t>S5</t>
  </si>
  <si>
    <t>Taux FCFA / €</t>
  </si>
  <si>
    <t>Du</t>
  </si>
  <si>
    <t>Édité le</t>
  </si>
  <si>
    <t>Au</t>
  </si>
  <si>
    <t>Soldes Bancaires (Réel) – Comptes de sociétés</t>
  </si>
  <si>
    <t>En euros</t>
  </si>
  <si>
    <t>En FCFA</t>
  </si>
  <si>
    <t/>
  </si>
  <si>
    <t>COMMENTAIRES</t>
  </si>
  <si>
    <t>BANQUE</t>
  </si>
  <si>
    <t>Destination (position CI)</t>
  </si>
  <si>
    <t>Solde réel</t>
  </si>
  <si>
    <t>Solde théorique</t>
  </si>
  <si>
    <t>Prévisions (flux)</t>
  </si>
  <si>
    <t>PICI</t>
  </si>
  <si>
    <t>PROMOTION (PICI)</t>
  </si>
  <si>
    <t xml:space="preserve">   SOCIETE GENERALE-PICI</t>
  </si>
  <si>
    <t>Dédié besoin de fonctionnement et "Netting" autres compagnies CIV</t>
  </si>
  <si>
    <t xml:space="preserve">   STANBIC-PICI</t>
  </si>
  <si>
    <t>Dédié besoin de fonctionnement</t>
  </si>
  <si>
    <t xml:space="preserve">   ECOBANK-PICI</t>
  </si>
  <si>
    <t>FIRST</t>
  </si>
  <si>
    <t>PROPERTY (SCI FIRST)</t>
  </si>
  <si>
    <t xml:space="preserve">   SOCIETE GENERALE-FIRST</t>
  </si>
  <si>
    <t xml:space="preserve">   STANBIC-FIRST</t>
  </si>
  <si>
    <t>TERASSON</t>
  </si>
  <si>
    <t xml:space="preserve">   SOCIETE GENERALE-TERASSON</t>
  </si>
  <si>
    <t xml:space="preserve">   ECOBANK -TERASSON</t>
  </si>
  <si>
    <t>RIVIERA</t>
  </si>
  <si>
    <t>RIVIERA PARK</t>
  </si>
  <si>
    <t xml:space="preserve">   SOCIETE GENERALE-RIVIERA</t>
  </si>
  <si>
    <t>SCO AO</t>
  </si>
  <si>
    <t xml:space="preserve">   BANK OF AFRICA-SCO AO</t>
  </si>
  <si>
    <t xml:space="preserve">   BACI-CompteCourant</t>
  </si>
  <si>
    <t xml:space="preserve">   BACI-Projet</t>
  </si>
  <si>
    <t>Dédié paiement Projet SCO</t>
  </si>
  <si>
    <t xml:space="preserve">   BACI-AGORA</t>
  </si>
  <si>
    <t xml:space="preserve">   ECOBANK - SCO AO</t>
  </si>
  <si>
    <t>FINAFRICA</t>
  </si>
  <si>
    <t>FINAFRICA CI</t>
  </si>
  <si>
    <t xml:space="preserve">   SOCIETE GENERALE-FINAFRICA</t>
  </si>
  <si>
    <t xml:space="preserve">   ECOBANK-FINAFRICA</t>
  </si>
  <si>
    <t>AB CENTER</t>
  </si>
  <si>
    <t xml:space="preserve">   SOCIETE GENERALE-AB CENTER</t>
  </si>
  <si>
    <t xml:space="preserve">   ECOBANK- AB CENTER</t>
  </si>
  <si>
    <t>IMMONEUF</t>
  </si>
  <si>
    <t xml:space="preserve">   SOCIETE GENERALE-IMMONEUF</t>
  </si>
  <si>
    <t xml:space="preserve">   ECOBANK-IMMONEUF</t>
  </si>
  <si>
    <t xml:space="preserve">   BACI - IMMONEUF</t>
  </si>
  <si>
    <t>INFI SOFT</t>
  </si>
  <si>
    <t xml:space="preserve">   INFI SOFT - SIB</t>
  </si>
  <si>
    <t>ODALYS CI</t>
  </si>
  <si>
    <t xml:space="preserve">   SOCIETE GENERALE-ODALYS</t>
  </si>
  <si>
    <t>RHD CI</t>
  </si>
  <si>
    <t>TOTAL COMPTES DE SOCIÉTÉS</t>
  </si>
  <si>
    <t>Soldes Bancaires (Réel) – Comptes dédiés (projets et remboursement de dettes)</t>
  </si>
  <si>
    <t>RIVIERA-ARBITRER</t>
  </si>
  <si>
    <t>BNI-RIVIERA(Courant)</t>
  </si>
  <si>
    <t>À arbitrer (« Affection placement? Ou besoin de fonctionnement »)</t>
  </si>
  <si>
    <t>RIVIERA-PROJET</t>
  </si>
  <si>
    <t>BNI-PICI / Fonds projet RP</t>
  </si>
  <si>
    <t>Fonds projet (paiement CPI)</t>
  </si>
  <si>
    <t>TERASSON-PROJET</t>
  </si>
  <si>
    <t>BNI-TERASSON / Fonds projet NP</t>
  </si>
  <si>
    <t>SCO AO-BACIAGORACOMPTEBLOQUTVA</t>
  </si>
  <si>
    <t>BACI-AGORA/COMPTE BLOQU. TVA</t>
  </si>
  <si>
    <t>Compte réservé, non mobilisable</t>
  </si>
  <si>
    <t>TOTAL COMPTES DÉDIÉS</t>
  </si>
  <si>
    <t>TOTAL GÉNÉRAL CÔTE D'IVOIRE</t>
  </si>
  <si>
    <t>Comptes indisponibles – pour information (hors position et hors totaux)</t>
  </si>
  <si>
    <t>STANBIC-FIRST _ Debt Service</t>
  </si>
  <si>
    <t>DSR/Augmentation/LL/Disbursment</t>
  </si>
  <si>
    <t>STANBIC-FIRST_LL</t>
  </si>
  <si>
    <t>STANBIC-FIRST_Disbursement</t>
  </si>
  <si>
    <t>BNI-RIVIERA(Augmentation)</t>
  </si>
  <si>
    <t>BNI-RIVIERA(DSRA) / Placement</t>
  </si>
  <si>
    <t>Indisponibles : soldes inchangés sur S1 à S5, non mobilisables pour les paiements.</t>
  </si>
  <si>
    <t>SYNTHÈSE DES BESOINS PAR SEMAINE</t>
  </si>
  <si>
    <t>Flux de fonctionnement (frais de structure)</t>
  </si>
  <si>
    <t>Flux projets et dettes (comptes dédiés)</t>
  </si>
  <si>
    <t>Total des flux de la semaine</t>
  </si>
  <si>
    <t>Besoin de trésorerie (–) ou Surplus de trésorerie (+) – comptes de sociétés</t>
  </si>
  <si>
    <t xml:space="preserve">   dont PICI</t>
  </si>
  <si>
    <t xml:space="preserve">   dont FIRST</t>
  </si>
  <si>
    <t>Besoin de trésorerie (–) ou Surplus de trésorerie (+) – comptes dédiés</t>
  </si>
  <si>
    <t xml:space="preserve">   dont RIVIERA</t>
  </si>
  <si>
    <t xml:space="preserve">   dont TERASSON</t>
  </si>
  <si>
    <t>Prévisions de décaissements et encaissements</t>
  </si>
  <si>
    <t>FRAIS DE STRUCTURES</t>
  </si>
  <si>
    <t>Entité</t>
  </si>
  <si>
    <t>Nature de transaction</t>
  </si>
  <si>
    <t>Montant prév. €</t>
  </si>
  <si>
    <t>Montant réel €</t>
  </si>
  <si>
    <t>Écart €</t>
  </si>
  <si>
    <t>Montant prév. FCFA</t>
  </si>
  <si>
    <t>Montant réel FCFA</t>
  </si>
  <si>
    <t>Écart FCFA</t>
  </si>
  <si>
    <t>Commentaires sur les écarts</t>
  </si>
  <si>
    <t>S1 : semaine du 05/10 au 11/10 (y compris antériorités)</t>
  </si>
  <si>
    <t>FOURNISSEURS - FGX</t>
  </si>
  <si>
    <t>IMPÔTS ET TAXES</t>
  </si>
  <si>
    <t>CHARGES SOCIALES</t>
  </si>
  <si>
    <t>REMBOURSEMENT DE PRÊTS</t>
  </si>
  <si>
    <t>ENCAISSEMENTS</t>
  </si>
  <si>
    <t>Total S1</t>
  </si>
  <si>
    <t>S2 : semaine du 12/10 au 18/10</t>
  </si>
  <si>
    <t>FOURNISSEURS - PROJET</t>
  </si>
  <si>
    <t>Total S2</t>
  </si>
  <si>
    <t>S3 : semaine du 19/10 au 25/10</t>
  </si>
  <si>
    <t>SALAIRES</t>
  </si>
  <si>
    <t>Total S3</t>
  </si>
  <si>
    <t>S4 : semaine du 26/10 au 01/11</t>
  </si>
  <si>
    <t>Total S4</t>
  </si>
  <si>
    <t>S5 : semaine du 02/11 au 08/11</t>
  </si>
  <si>
    <t>Total S5</t>
  </si>
  <si>
    <t>PROJETS / DETTES</t>
  </si>
  <si>
    <t>Foncier</t>
  </si>
  <si>
    <t>Travaux</t>
  </si>
  <si>
    <t>Honoraires</t>
  </si>
  <si>
    <t>Autres dépenses</t>
  </si>
  <si>
    <t>Frais financiers</t>
  </si>
  <si>
    <t>Pour information – cash plans Nov. 2026 (hors horizon, non inclus dans les soldes)</t>
  </si>
  <si>
    <t>Nov. 2026 (€ HT)</t>
  </si>
  <si>
    <t>Équilibrage et affectation des paiements – S1 (05/10 au 11/10/2026)</t>
  </si>
  <si>
    <t>Paiements : liens vers les feuilles de détail (S1, Retenu = O). Soldes : liens vers la position CI. Nivellements : tableau des virements ci-dessous (modifiable).</t>
  </si>
  <si>
    <t>Opérations à effectuer</t>
  </si>
  <si>
    <t>Paiement via</t>
  </si>
  <si>
    <t>Observations</t>
  </si>
  <si>
    <t>SCI FIRST</t>
  </si>
  <si>
    <t>INFI</t>
  </si>
  <si>
    <t>BNI fonds projet</t>
  </si>
  <si>
    <t>SG</t>
  </si>
  <si>
    <t>ECO</t>
  </si>
  <si>
    <t>STB</t>
  </si>
  <si>
    <t>BNI courant</t>
  </si>
  <si>
    <t>BACI Projet</t>
  </si>
  <si>
    <t>BACI courant</t>
  </si>
  <si>
    <t>BOA</t>
  </si>
  <si>
    <t>BACI AGORA</t>
  </si>
  <si>
    <t>BACI</t>
  </si>
  <si>
    <t>SIB</t>
  </si>
  <si>
    <t>payé par PICI</t>
  </si>
  <si>
    <t>NIVELLEMENT VIA PICI</t>
  </si>
  <si>
    <t>Excédents PICI puis FIRST vers les sociétés en déficit : impôts, cotisations et salaires d'abord, fournisseurs ensuite</t>
  </si>
  <si>
    <t>AUTRES NIVELLEMENTS</t>
  </si>
  <si>
    <t>Virements entre comptes d'une même entité (BNI-RIVIERA courant : sous réserve d'arbitrage)</t>
  </si>
  <si>
    <t>FOURNISSEURS-PROJETS</t>
  </si>
  <si>
    <t>Cash plans : comptes « Dédié paiement CPI » ; SCO AO : BACI-Projet</t>
  </si>
  <si>
    <t>FOURNISSEURS-FGX</t>
  </si>
  <si>
    <t>IMPÔTS</t>
  </si>
  <si>
    <t>ÉCHÉANCES</t>
  </si>
  <si>
    <t>Échéances de prêts FIRST : dépenses de fonctionnement, compte payeur de FIRST</t>
  </si>
  <si>
    <t>AUTRES (ENCAISSEMENTS, DIVERS)</t>
  </si>
  <si>
    <t>ENREGISTREMENTS</t>
  </si>
  <si>
    <t>Hors besoin (droits d'enregistrement, Retenu = N)</t>
  </si>
  <si>
    <t>Total</t>
  </si>
  <si>
    <t>Solde au 30/09/2026</t>
  </si>
  <si>
    <t>Solde théorique fin S1 (11/10/2026)</t>
  </si>
  <si>
    <t>Reste à financer (spot) ou à reporter</t>
  </si>
  <si>
    <t>Virements à passer (modifiables : les nivellements et les soldes ci-dessus se recalculent)</t>
  </si>
  <si>
    <t>Type de nivellement</t>
  </si>
  <si>
    <t>N°</t>
  </si>
  <si>
    <t>Compte source</t>
  </si>
  <si>
    <t>Compte bénéficiaire</t>
  </si>
  <si>
    <t>Montant FCFA</t>
  </si>
  <si>
    <t>Motif</t>
  </si>
  <si>
    <t>RIVIERA PARK – BNI courant</t>
  </si>
  <si>
    <t>RIVIERA PARK – SG</t>
  </si>
  <si>
    <t>Total des virements</t>
  </si>
  <si>
    <t>Comptes (liste de saisie)</t>
  </si>
  <si>
    <t>TERASSON – BNI fonds projet</t>
  </si>
  <si>
    <t>TERASSON – SG</t>
  </si>
  <si>
    <t>TERASSON – ECO</t>
  </si>
  <si>
    <t>PICI – STB</t>
  </si>
  <si>
    <t>PICI – SG</t>
  </si>
  <si>
    <t>PICI – ECO</t>
  </si>
  <si>
    <t>SCI FIRST – STB</t>
  </si>
  <si>
    <t>SCI FIRST – SG</t>
  </si>
  <si>
    <t>RIVIERA PARK – BNI fonds projet</t>
  </si>
  <si>
    <t>SCO AO – BACI Projet</t>
  </si>
  <si>
    <t>SCO AO – BACI courant</t>
  </si>
  <si>
    <t>SCO AO – BOA</t>
  </si>
  <si>
    <t>SCO AO – BACI AGORA</t>
  </si>
  <si>
    <t>SCO AO – ECO</t>
  </si>
  <si>
    <t>IMMONEUF – SG</t>
  </si>
  <si>
    <t>IMMONEUF – BACI</t>
  </si>
  <si>
    <t>IMMONEUF – ECO</t>
  </si>
  <si>
    <t>FINAFRICA – SG</t>
  </si>
  <si>
    <t>FINAFRICA – ECO</t>
  </si>
  <si>
    <t>INFI – SIB</t>
  </si>
  <si>
    <t>ODALYS CI – SG</t>
  </si>
  <si>
    <t>AB CENTER – ECO</t>
  </si>
  <si>
    <t>AB CENTER – SG</t>
  </si>
  <si>
    <t>RHD CI – payé par PICI</t>
  </si>
  <si>
    <t>Détail des flux de fonctionnement (frais de structure) – FCFA</t>
  </si>
  <si>
    <t>Paiement effectué : saisir le montant payé en H (et sa date en I) ; seul le reste à payer (J) alimente le reporting. Paiement non prévu : ajouter une ligne en bas (semaine, entité, nature, libellé, montant négatif, Retenu = O).</t>
  </si>
  <si>
    <t>Nature</t>
  </si>
  <si>
    <t>Fournisseur / libellé</t>
  </si>
  <si>
    <t>Montant €</t>
  </si>
  <si>
    <t>Retenu (O/N)</t>
  </si>
  <si>
    <t>Payé FCFA (saisie)</t>
  </si>
  <si>
    <t>Date de paiement</t>
  </si>
  <si>
    <t>Reste à payer FCFA</t>
  </si>
  <si>
    <t>BURMA</t>
  </si>
  <si>
    <t>O</t>
  </si>
  <si>
    <t>CABINET JEAN-LUC RUELLE</t>
  </si>
  <si>
    <t>CIE</t>
  </si>
  <si>
    <t>DHL</t>
  </si>
  <si>
    <t>FOURNISSEURS DIVERS</t>
  </si>
  <si>
    <t>HORUS TRAD SARL</t>
  </si>
  <si>
    <t>IMPACT</t>
  </si>
  <si>
    <t>JULIE BASSONVILLE</t>
  </si>
  <si>
    <t>LAVIVA</t>
  </si>
  <si>
    <t>LOXEA</t>
  </si>
  <si>
    <t>MISTRAL VOYAGES</t>
  </si>
  <si>
    <t>MTN C“te d'Ivoire</t>
  </si>
  <si>
    <t>NEYALA</t>
  </si>
  <si>
    <t>NOVAGO COTE D'IVOIRE</t>
  </si>
  <si>
    <t>OLEA CI</t>
  </si>
  <si>
    <t>ORANGE CI_TEL MOB</t>
  </si>
  <si>
    <t>SHERPA</t>
  </si>
  <si>
    <t>SODECI</t>
  </si>
  <si>
    <t>TBC</t>
  </si>
  <si>
    <t>Bic</t>
  </si>
  <si>
    <t>Bnc</t>
  </si>
  <si>
    <t>Irc</t>
  </si>
  <si>
    <t>Its</t>
  </si>
  <si>
    <t>PPSSI</t>
  </si>
  <si>
    <t>Tva p/c de tiers</t>
  </si>
  <si>
    <t>Cmu</t>
  </si>
  <si>
    <t>Cnps</t>
  </si>
  <si>
    <t>BOTANICA_BON</t>
  </si>
  <si>
    <t>C2A CONSEIL ASSOCIES</t>
  </si>
  <si>
    <t>ETUDE MAITRE NANOU - NOTAIRE</t>
  </si>
  <si>
    <t>FSSEUR DIVERS</t>
  </si>
  <si>
    <t>MAITRE YAPO KOYO FLORE</t>
  </si>
  <si>
    <t>METALUX</t>
  </si>
  <si>
    <t>MONDON CONSEIL INTERNATIONAL</t>
  </si>
  <si>
    <t>REDEVANCE DIABY</t>
  </si>
  <si>
    <t>SNEF</t>
  </si>
  <si>
    <t>TUNELIER INTERNATIONAL</t>
  </si>
  <si>
    <t>Capital emprunté</t>
  </si>
  <si>
    <t>Stanbic</t>
  </si>
  <si>
    <t>DADIE DIGRA</t>
  </si>
  <si>
    <t>ETUDE DE MAITRE YAPO-KOYO FLORE</t>
  </si>
  <si>
    <t>FORVIS MAZARS</t>
  </si>
  <si>
    <t>CABINET JLR</t>
  </si>
  <si>
    <t>Jetons de présence</t>
  </si>
  <si>
    <t>APPRO CAISSE ELECTRO – Prime transport chantier/frais telecom</t>
  </si>
  <si>
    <t>PKS – gardiennage (gardiennage ancien locaux septembre)</t>
  </si>
  <si>
    <t>PRO SIPEF CI – Trvx de demenagement (trx de descente cablage ancien siege/ validé RIB non transmis)</t>
  </si>
  <si>
    <t>SOFIDEC – CAC (exercice 2025)</t>
  </si>
  <si>
    <t>SYNASPE – numerisation AO (Assistance AO/ Validé / doc bancaire à regulariser)</t>
  </si>
  <si>
    <t>THULIUM – Protocole</t>
  </si>
  <si>
    <t>IVOIRE AGORA SAS – AGORAO KOUMASSI (remis à l'encaissement)</t>
  </si>
  <si>
    <t>AXA</t>
  </si>
  <si>
    <t>CABINET JEAN LUC RUELLE</t>
  </si>
  <si>
    <t>DBL SERVICE &amp; INVEST</t>
  </si>
  <si>
    <t>FSSEURS DIVERS</t>
  </si>
  <si>
    <t>HORUS TRAD</t>
  </si>
  <si>
    <t>KONAN LOAN</t>
  </si>
  <si>
    <t>MAITRE YAPO</t>
  </si>
  <si>
    <t>NAYELA</t>
  </si>
  <si>
    <t>NOVAGO</t>
  </si>
  <si>
    <t>SCOGES CONSEIL</t>
  </si>
  <si>
    <t>CABINET JEAN LUX RUELLE</t>
  </si>
  <si>
    <t>IMPACT DURABLE</t>
  </si>
  <si>
    <t>TEE</t>
  </si>
  <si>
    <t>ADES</t>
  </si>
  <si>
    <t>AILLEURS BUSINESS</t>
  </si>
  <si>
    <t>OFFICE BUREAU</t>
  </si>
  <si>
    <t>Microentreprise</t>
  </si>
  <si>
    <t>MAITRE YAPO-KOYO</t>
  </si>
  <si>
    <t>ENTREPRISE IVOIRIENNE D'AIDE EN ASSAINISSEMENT</t>
  </si>
  <si>
    <t>FOX SECURITE</t>
  </si>
  <si>
    <t>GROUPE LA LAVANDIERE</t>
  </si>
  <si>
    <t>NIMITZ ASC ASSISTANCE SECURITE</t>
  </si>
  <si>
    <t>QUICKNET SERVICE</t>
  </si>
  <si>
    <t>SED SERVICE</t>
  </si>
  <si>
    <t>VISUEL</t>
  </si>
  <si>
    <t>Loyer octobre 2026 – DC/BR</t>
  </si>
  <si>
    <t>Loyer octobre 2026 – ITOCHU CORPORATION SA</t>
  </si>
  <si>
    <t>Loyer octobre 2026 – JESA WEST AFRICA SASU</t>
  </si>
  <si>
    <t>Loyer octobre 2026 – M&amp;H CONSULTING AFRICA SARL</t>
  </si>
  <si>
    <t>Loyer octobre 2026 – SA LOG IVOIRE</t>
  </si>
  <si>
    <t>Loyer octobre 2026 – SBS SOFTWARE IVORY COAST</t>
  </si>
  <si>
    <t>JURIS IMPACT – prestataire juridique</t>
  </si>
  <si>
    <t>LOXEA – location vehicule</t>
  </si>
  <si>
    <t>NEYALA – materiel informatique</t>
  </si>
  <si>
    <t>BETEC-CI – PROJET SAINT PAUL (Suspendu à la demande de Adnane AMAMOU)</t>
  </si>
  <si>
    <t>CMU – cotisation mois et rappel</t>
  </si>
  <si>
    <t>CNPS – declaratioion</t>
  </si>
  <si>
    <t>AGPB – FRAIS GENEAUX BLAISE PASCAL</t>
  </si>
  <si>
    <t>COMETE – MABY (suivant accord de reprise)</t>
  </si>
  <si>
    <t>Salaires</t>
  </si>
  <si>
    <t>IMPACT – Integrateur SAGE</t>
  </si>
  <si>
    <t>IMPOT DGI – Déclaration Septembre</t>
  </si>
  <si>
    <t>PERSONNEL – Salaire Novembre</t>
  </si>
  <si>
    <t>SUD CONSTRUCTION – BCEAO (En attente … relance à effectuer)</t>
  </si>
  <si>
    <t>GENESIS – Integrateur AUTOCARD</t>
  </si>
  <si>
    <t>ORANGE FLOTTE – telephonique</t>
  </si>
  <si>
    <t>CLIM ENERGIE ET SERVICES – PROJET BCEAO ET JACQUES PREV (dernier trimestre 2026)</t>
  </si>
  <si>
    <t>SONAPIE – LOYER</t>
  </si>
  <si>
    <t>TOTAL CI – Carburant</t>
  </si>
  <si>
    <t>Après S5</t>
  </si>
  <si>
    <t>BLUE LIONS (intragroupe)</t>
  </si>
  <si>
    <t>N</t>
  </si>
  <si>
    <t>FINANCIERE DUVAL (intragroupe)</t>
  </si>
  <si>
    <t>GROUPE DUVAL (intragroupe)</t>
  </si>
  <si>
    <t>INFISOFTWARE (intragroupe)</t>
  </si>
  <si>
    <t>PELEGRINA FRANCE (intragroupe)</t>
  </si>
  <si>
    <t>SCI FIRST INVEST (intragroupe)</t>
  </si>
  <si>
    <t>Droits d'enregistrement (hors besoin, comme la présentation RCI)</t>
  </si>
  <si>
    <t>PEL FR - ASSISTANCE CONSEIL (intragroupe)</t>
  </si>
  <si>
    <t>PELEGRINA AFRIQUE INVEST (intragroupe)</t>
  </si>
  <si>
    <t>PICI (intragroupe)</t>
  </si>
  <si>
    <t>PEL IMMOBILIER CI CONSTRUCTEUR (intragroupe)</t>
  </si>
  <si>
    <t>FIN AFRICA FR (intragroupe)</t>
  </si>
  <si>
    <t>ASSISTANCE TECHNIQUE PELEGRINA AFR (intragroupe)</t>
  </si>
  <si>
    <t>SAS FINANCIERE DUVAL (intragroupe)</t>
  </si>
  <si>
    <t>SAS GROUPE DUVAL (intragroupe)</t>
  </si>
  <si>
    <t>Loyer octobre 2026 – SIEMENS ENERGY SARL</t>
  </si>
  <si>
    <t>Détail des flux projets &amp; dettes (comptes dédiés)</t>
  </si>
  <si>
    <t>Paiement effectué : saisir le montant payé en FCFA en K (et sa date en L) ; seul le reste à payer (M) alimente le reporting.</t>
  </si>
  <si>
    <t>Compte dédié (clé)</t>
  </si>
  <si>
    <t>Code</t>
  </si>
  <si>
    <t>Libellé</t>
  </si>
  <si>
    <t>Entreprise</t>
  </si>
  <si>
    <t>Montant € HT</t>
  </si>
  <si>
    <t>FON 0009</t>
  </si>
  <si>
    <t>Géomètre</t>
  </si>
  <si>
    <t>KOUAMELAN</t>
  </si>
  <si>
    <t>09 BGTB</t>
  </si>
  <si>
    <t>BCC 0009</t>
  </si>
  <si>
    <t>Autres travaux</t>
  </si>
  <si>
    <t>BCC 0017</t>
  </si>
  <si>
    <t>02 GROS ŒUVRE &amp; INSTALLATION DE CHANTIER</t>
  </si>
  <si>
    <t>07/10/2026</t>
  </si>
  <si>
    <t>BCC 0023</t>
  </si>
  <si>
    <t>07 SERRURERIE</t>
  </si>
  <si>
    <t>BCC 0024</t>
  </si>
  <si>
    <t>08 CFO</t>
  </si>
  <si>
    <t>BCC 0025</t>
  </si>
  <si>
    <t>09A CFA /SSI /GTB</t>
  </si>
  <si>
    <t>HON 0001</t>
  </si>
  <si>
    <t>Architecte</t>
  </si>
  <si>
    <t>ARCHICONCEPT / MAP</t>
  </si>
  <si>
    <t>HON 0002</t>
  </si>
  <si>
    <t>BET / MOE / SSI</t>
  </si>
  <si>
    <t>SCO</t>
  </si>
  <si>
    <t>HON 0005</t>
  </si>
  <si>
    <t>Bureau de contrôle</t>
  </si>
  <si>
    <t>BUREAU VERITAS</t>
  </si>
  <si>
    <t>HON 0006</t>
  </si>
  <si>
    <t>CSPS</t>
  </si>
  <si>
    <t>SOCOTEC</t>
  </si>
  <si>
    <t>HON 0007</t>
  </si>
  <si>
    <t>E&amp;S</t>
  </si>
  <si>
    <t>ANDE / ENVAL / INSUCO / BIOTOPE / IVOIRE HYDROGENE</t>
  </si>
  <si>
    <t>HON 0009</t>
  </si>
  <si>
    <t>Divers honoraires</t>
  </si>
  <si>
    <t>PROJEX / DIPHONE / LUSEO / BET GAURY</t>
  </si>
  <si>
    <t>HON 0010</t>
  </si>
  <si>
    <t>Retenue à la source (prestataires étrangers)</t>
  </si>
  <si>
    <t>AUD 0007</t>
  </si>
  <si>
    <t>Frais Divers</t>
  </si>
  <si>
    <t>YABA &amp; KUMBA / SINTALI / VOLTERE</t>
  </si>
  <si>
    <t>AUD 0012</t>
  </si>
  <si>
    <t>Autres frais financiers (Frais de Due Diligence)</t>
  </si>
  <si>
    <t>DWF/IFC</t>
  </si>
  <si>
    <t>FFI 0001</t>
  </si>
  <si>
    <t>Intérêts sur compte courant</t>
  </si>
  <si>
    <t>FFI 0005</t>
  </si>
  <si>
    <t>Frais Financiers Coupons Invest</t>
  </si>
  <si>
    <t>ATELIER TOPOGRAPHIQUE KOTOKOU / CYGE / SG2T</t>
  </si>
  <si>
    <t>FON 0014</t>
  </si>
  <si>
    <t>Sécurisation du site</t>
  </si>
  <si>
    <t>AIGLE ROYAL / RASCOM / SEG / ECS</t>
  </si>
  <si>
    <t>FON 0018</t>
  </si>
  <si>
    <t>Brche. Eau</t>
  </si>
  <si>
    <t>BCC 0001</t>
  </si>
  <si>
    <t>Démolitions</t>
  </si>
  <si>
    <t>BCC 0002</t>
  </si>
  <si>
    <t>Fondations spéciales</t>
  </si>
  <si>
    <t>BCC 0013</t>
  </si>
  <si>
    <t>1B-VRD - Espaces verts</t>
  </si>
  <si>
    <t>UNISERV</t>
  </si>
  <si>
    <t>BCC 0014</t>
  </si>
  <si>
    <t>2-Gros oeuvre</t>
  </si>
  <si>
    <t>BCC 0015</t>
  </si>
  <si>
    <t>3-Etancheite</t>
  </si>
  <si>
    <t>BCC 0016</t>
  </si>
  <si>
    <t>4A-Charpente metallique</t>
  </si>
  <si>
    <t>4B-Couverture &amp; Bardage</t>
  </si>
  <si>
    <t>BCC 0018</t>
  </si>
  <si>
    <t>5-Menuiseries exterieures</t>
  </si>
  <si>
    <t>BCC 0020</t>
  </si>
  <si>
    <t>7-Serrurerie</t>
  </si>
  <si>
    <t>ZUO / CIA / MAP</t>
  </si>
  <si>
    <t>INSUCO / BRL INGENIERIE/ANDE</t>
  </si>
  <si>
    <t>HON 0008</t>
  </si>
  <si>
    <t>Diagnostic divers</t>
  </si>
  <si>
    <t>AUXO / PROJEX / GSPM / HORECAF / HILLEL</t>
  </si>
  <si>
    <t>AUD 0008</t>
  </si>
  <si>
    <t>Publicité</t>
  </si>
  <si>
    <t>SHERPA/LES ATELIERS COOK IMPRIM</t>
  </si>
  <si>
    <t>FFI 0002</t>
  </si>
  <si>
    <t>Produits financiers</t>
  </si>
  <si>
    <t>03 ETANCHEITE</t>
  </si>
  <si>
    <t>BCC 0034</t>
  </si>
  <si>
    <t>CC ROOFTOP SURELEVATION BAT B</t>
  </si>
  <si>
    <t>FON 0017</t>
  </si>
  <si>
    <t>Brche. Electricité</t>
  </si>
  <si>
    <t>CI ENERGIES</t>
  </si>
  <si>
    <t>8-CFO - Courants forts</t>
  </si>
  <si>
    <t>9-CFA - Courants faibles</t>
  </si>
  <si>
    <t>10-Climatisation &amp; Ventilation</t>
  </si>
  <si>
    <t>11-Plomberie RIA - FC</t>
  </si>
  <si>
    <t>THINKSTEP / YABA &amp; KUMBA / DOUG AND WOLF / CHANAN / REAL CONSULTING / HORECAF / GILLES DEVENDEVILLE</t>
  </si>
  <si>
    <t>AUD 0009</t>
  </si>
  <si>
    <t>Honoraires Juridiques et Fiscaux</t>
  </si>
  <si>
    <t>KSK / MONDON / CHAUVEAU</t>
  </si>
  <si>
    <t>FFI 0003</t>
  </si>
  <si>
    <t>Frais intercalaires</t>
  </si>
  <si>
    <t>FFI 0004</t>
  </si>
  <si>
    <t>Commissions d'engagement</t>
  </si>
  <si>
    <t>Nov. 2026</t>
  </si>
  <si>
    <t>BCC 0008</t>
  </si>
  <si>
    <t>Travaux aménagements preneurs</t>
  </si>
  <si>
    <t>BCC 0026</t>
  </si>
  <si>
    <t>10 CLIMATISATION / VENTILATION / DESENFUMAGE</t>
  </si>
  <si>
    <t>BCC 0027</t>
  </si>
  <si>
    <t>11 PLOMBERIE / RIA</t>
  </si>
  <si>
    <t>BCC 0028</t>
  </si>
  <si>
    <t>12 REVETEMENTS DURS &amp; SOUPLES</t>
  </si>
  <si>
    <t>BCC 0029</t>
  </si>
  <si>
    <t>13 FP &amp; CLOISONNEMENT</t>
  </si>
  <si>
    <t>BCC 0030</t>
  </si>
  <si>
    <t>14 PEINTURE</t>
  </si>
  <si>
    <t>MAZARS/DWF</t>
  </si>
  <si>
    <t>Honoraires de vente</t>
  </si>
  <si>
    <t>HOV 0004</t>
  </si>
  <si>
    <t>Fonds de concours</t>
  </si>
  <si>
    <t>HOV 0005</t>
  </si>
  <si>
    <t>FF&amp;E RT</t>
  </si>
  <si>
    <t>IFC/PROPARCO</t>
  </si>
  <si>
    <t>BCC 0010</t>
  </si>
  <si>
    <t>Exonérations Douanières</t>
  </si>
  <si>
    <t>AUD 0005</t>
  </si>
  <si>
    <t>Dossier Cdac / Et.Marché</t>
  </si>
  <si>
    <t>DEFINA AFRICA / SOLUTION RETAIL / NAWA REAL ESTATE/</t>
  </si>
  <si>
    <t>Remboursement de prêt</t>
  </si>
  <si>
    <t>Commission bancaire – déjà dans les frais financiers des cash plans</t>
  </si>
  <si>
    <t>Bni – déjà dans les frais financiers des cash plans</t>
  </si>
  <si>
    <t>Position de trésorerie CI – soldes bancaires au 30/09/2026</t>
  </si>
  <si>
    <t>Solde FCFA (colonne F, en jaune) modifiable : le reporting et l'équilibrage se recalculent. Colonne J : solde d'origine de la position CI.</t>
  </si>
  <si>
    <t>Banque</t>
  </si>
  <si>
    <t>Compte</t>
  </si>
  <si>
    <t>Bloc du reporting</t>
  </si>
  <si>
    <t>Solde FCFA</t>
  </si>
  <si>
    <t>Solde €</t>
  </si>
  <si>
    <t>Clé</t>
  </si>
  <si>
    <t>Source</t>
  </si>
  <si>
    <t>Solde position CI (origine)</t>
  </si>
  <si>
    <t>Écart (mise à jour)</t>
  </si>
  <si>
    <t>SOCIETE GENERALE</t>
  </si>
  <si>
    <t>SOCIETE GENERALE-PICI</t>
  </si>
  <si>
    <t>Compte de société</t>
  </si>
  <si>
    <t>CIV position, ligne 5</t>
  </si>
  <si>
    <t>STANBIC</t>
  </si>
  <si>
    <t>STANBIC-PICI</t>
  </si>
  <si>
    <t>CIV position, ligne 6</t>
  </si>
  <si>
    <t>ECOBANK</t>
  </si>
  <si>
    <t>ECOBANK-PICI</t>
  </si>
  <si>
    <t>CIV position, ligne 7</t>
  </si>
  <si>
    <t>SOCIETE GENERALE-FIRST</t>
  </si>
  <si>
    <t>CIV position, ligne 9</t>
  </si>
  <si>
    <t>STANBIC-FIRST</t>
  </si>
  <si>
    <t>CIV position, ligne 10</t>
  </si>
  <si>
    <t>SOCIETE GENERALE-TERASSON</t>
  </si>
  <si>
    <t>CIV position, ligne 15</t>
  </si>
  <si>
    <t>ECOBANK -TERASSON</t>
  </si>
  <si>
    <t>CIV position, ligne 16</t>
  </si>
  <si>
    <t>SOCIETE GENERALE-RIVIERA</t>
  </si>
  <si>
    <t>CIV position, ligne 19</t>
  </si>
  <si>
    <t>BNI</t>
  </si>
  <si>
    <t>Affection placement? Ou besoin de fonctionnement</t>
  </si>
  <si>
    <t>Compte dédié</t>
  </si>
  <si>
    <t>CIV position, ligne 20</t>
  </si>
  <si>
    <t>BANK OF AFRICA</t>
  </si>
  <si>
    <t>BANK OF AFRICA-SCO AO</t>
  </si>
  <si>
    <t>CIV position, ligne 23</t>
  </si>
  <si>
    <t>BANQUE ATLANTIQUE</t>
  </si>
  <si>
    <t>BACI-CompteCourant</t>
  </si>
  <si>
    <t>CIV position, ligne 24</t>
  </si>
  <si>
    <t>BACI-Projet</t>
  </si>
  <si>
    <t>CIV position, ligne 25</t>
  </si>
  <si>
    <t>BACI-AGORA</t>
  </si>
  <si>
    <t>CIV position, ligne 26</t>
  </si>
  <si>
    <t>ECOBANK - SCO AO</t>
  </si>
  <si>
    <t>CIV position, ligne 27</t>
  </si>
  <si>
    <t>SOCIETE GENERALE-FINAFRICA</t>
  </si>
  <si>
    <t>CIV position, ligne 29</t>
  </si>
  <si>
    <t>ECOBANK-FINAFRICA</t>
  </si>
  <si>
    <t>CIV position, ligne 30</t>
  </si>
  <si>
    <t>SOCIETE GENERALE-AB CENTER</t>
  </si>
  <si>
    <t>CIV position, ligne 32</t>
  </si>
  <si>
    <t>ECOBANK- AB CENTER</t>
  </si>
  <si>
    <t>CIV position, ligne 33</t>
  </si>
  <si>
    <t>SOCIETE GENERALE-IMMONEUF</t>
  </si>
  <si>
    <t>CIV position, ligne 35</t>
  </si>
  <si>
    <t>ECOBANK-IMMONEUF</t>
  </si>
  <si>
    <t>CIV position, ligne 36</t>
  </si>
  <si>
    <t>BACI - IMMONEUF</t>
  </si>
  <si>
    <t>CIV position, ligne 37</t>
  </si>
  <si>
    <t>INFI SOFT - SIB</t>
  </si>
  <si>
    <t>CIV position, ligne 39</t>
  </si>
  <si>
    <t>SOCIETE GENERALE-ODALYS</t>
  </si>
  <si>
    <t>CIV position, ligne 41</t>
  </si>
  <si>
    <t>Dédié paiement CPI</t>
  </si>
  <si>
    <t>CIV position, ligne 46</t>
  </si>
  <si>
    <t>CIV position, ligne 47</t>
  </si>
  <si>
    <t>CIV position, ligne 49</t>
  </si>
  <si>
    <t>TOTAL</t>
  </si>
  <si>
    <t>Comptes indisponibles – exclus de la position (pour information)</t>
  </si>
  <si>
    <t>Indisponible</t>
  </si>
  <si>
    <t>CIV position, ligne 11</t>
  </si>
  <si>
    <t>CIV position, ligne 12</t>
  </si>
  <si>
    <t>CIV position, ligne 13</t>
  </si>
  <si>
    <t>CIV position, ligne 21</t>
  </si>
  <si>
    <t>CIV position, ligne 48</t>
  </si>
  <si>
    <t>Total indisponible</t>
  </si>
  <si>
    <t>Contrôles de cohérence entre les sources et le reporting</t>
  </si>
  <si>
    <t>1. Soldes bancaires au 30/09/2026 (FCFA)</t>
  </si>
  <si>
    <t>Contrôle</t>
  </si>
  <si>
    <t>Reporting</t>
  </si>
  <si>
    <t>Position CI</t>
  </si>
  <si>
    <t>Écart</t>
  </si>
  <si>
    <t>Commentaire</t>
  </si>
  <si>
    <t>Total comptes de sociétés + comptes dédiés</t>
  </si>
  <si>
    <t>Somme des lignes bancaires disponibles de la feuille « CIV position » (comptes indisponibles exclus).</t>
  </si>
  <si>
    <t>2. Fonctionnement : reporting vs RECAP de l'audit (S1 à S4 de l'audit, M FCFA)</t>
  </si>
  <si>
    <t>Reporting (fournisseurs, impôts, cotisations, salaires, prêts)</t>
  </si>
  <si>
    <t>RECAP de l'audit</t>
  </si>
  <si>
    <t>Toutes les semaines de l'audit sont dans l'horizon S1 à S5</t>
  </si>
  <si>
    <t>3. Projets : montants non réglés des cash plans (€ HT)</t>
  </si>
  <si>
    <t>Projet / période</t>
  </si>
  <si>
    <t>Bilan financier</t>
  </si>
  <si>
    <t>RIVIERA – S1 à S5 (antériorités + mois suivant)</t>
  </si>
  <si>
    <t>996d2c11-2026-10-02_RIVIERA_Bilan_financier.xlsm</t>
  </si>
  <si>
    <t>TERASSON – S1 à S5 (antériorités + mois suivant)</t>
  </si>
  <si>
    <t>bee511f1-2026-10-02_Village_notre_p_re_Bilan_financier.xlsm</t>
  </si>
  <si>
    <t>4. Lignes non retenues (Retenu = N) – à revoir</t>
  </si>
  <si>
    <t>Motif / libellé</t>
  </si>
  <si>
    <t>Nombre de lignes</t>
  </si>
  <si>
    <t>Feuille</t>
  </si>
  <si>
    <t>FOURNISSEURS - FGX – intragroupe</t>
  </si>
  <si>
    <t>Détail fonctionnement</t>
  </si>
  <si>
    <t>ENREGISTREMENTS – droits d'enregistrement</t>
  </si>
  <si>
    <t>ENCAISSEMENTS – autre</t>
  </si>
  <si>
    <t>Remboursement de prêt – prêts des projets (déjà dans les cash plans)</t>
  </si>
  <si>
    <t>Détail projets &amp; dettes</t>
  </si>
  <si>
    <t>Alertes de lecture</t>
  </si>
  <si>
    <t>SCO AO : 15 ligne(s) du reporting modifié remplacées par la prévision de trésorerie SCO.</t>
  </si>
  <si>
    <t>Paiements exécutés : 4 paiement(s), 704,7 M ; 704,7 M imputés sur le besoin S1 à S5, déduits du solde des comptes débités.</t>
  </si>
  <si>
    <t>Comparaison avec la présentation RCI (Laureen) – mêmes sources, M FCFA</t>
  </si>
  <si>
    <t>1. Fonctionnement par entité</t>
  </si>
  <si>
    <t>Besoin RCI</t>
  </si>
  <si>
    <t>Besoin reporting</t>
  </si>
  <si>
    <t>Trésorerie RCI</t>
  </si>
  <si>
    <t>Trésorerie reporting</t>
  </si>
  <si>
    <t>Position RCI</t>
  </si>
  <si>
    <t>Position reporting</t>
  </si>
  <si>
    <t>Écart de position</t>
  </si>
  <si>
    <t>Explication</t>
  </si>
  <si>
    <t>Même besoin · Trésorerie : -704,7 (comptes « Dédié paiement Projet SCO » ou comptes non classés en fonctionnement)</t>
  </si>
  <si>
    <t>Même besoin</t>
  </si>
  <si>
    <t>Hors périmètre de la présentation RCI (aucune ligne dans le RECAP) ; flux repris du reporting de Christophe</t>
  </si>
  <si>
    <t>Hors périmètre de la présentation RCI (aucune ligne dans le RECAP)</t>
  </si>
  <si>
    <t>2. Fonctionnement par poste</t>
  </si>
  <si>
    <t>Poste</t>
  </si>
  <si>
    <t>RCI</t>
  </si>
  <si>
    <t>Fournisseurs</t>
  </si>
  <si>
    <t>Identique (mêmes lignes du RECAP / de la balance)</t>
  </si>
  <si>
    <t>Impôts</t>
  </si>
  <si>
    <t>Cotisations sociales</t>
  </si>
  <si>
    <t>Remboursement de prêts</t>
  </si>
  <si>
    <t>Loyers à encaisser</t>
  </si>
  <si>
    <t>Entités hors présentation RCI</t>
  </si>
  <si>
    <t>SCO AO 178,0</t>
  </si>
  <si>
    <t>3. Projets par mois (cash plans, € HT convertis)</t>
  </si>
  <si>
    <t>Projet / mois</t>
  </si>
  <si>
    <t>RCI (montant du mois)</t>
  </si>
  <si>
    <t>Reporting (non réglé)</t>
  </si>
  <si>
    <t>Total : fenêtre RCI septembre à novembre 2026 ; reporting = antériorités non réglées + mois suivant (S1 à S5) + mois d'après (information)</t>
  </si>
  <si>
    <t xml:space="preserve">   dont antériorités (déc. 2025)</t>
  </si>
  <si>
    <t>Montants non réglés des mois antérieurs, reportés en S1 / sur le premier mois des deux côtés</t>
  </si>
  <si>
    <t xml:space="preserve">   septembre 2026 + antériorités</t>
  </si>
  <si>
    <t>Identique</t>
  </si>
  <si>
    <t xml:space="preserve">   octobre 2026</t>
  </si>
  <si>
    <t xml:space="preserve">   novembre 2026</t>
  </si>
  <si>
    <t xml:space="preserve">   Trésorerie dédiée (CPI)</t>
  </si>
  <si>
    <t xml:space="preserve">   dont antériorités (déc. 2025, août 2026)</t>
  </si>
  <si>
    <t>4. Différences de conventions</t>
  </si>
  <si>
    <t>• Semaines : la présentation RCI suit les semaines de l'audit (28/09 → 25/10/2026) ; le reporting démarre en S1 au 05/10 et y reporte toutes les antériorités. Les montants de l'audit sont les mêmes, seule leur semaine change.</t>
  </si>
  <si>
    <t>• Projets : la présentation RCI prend les cash plans de septembre à novembre 2026 (tous montants du mois, antériorités non réglées reportées sur le premier mois) ; le reporting prend les montants non réglés (antériorités en S1, mois suivant par semaine, mois d'après pour information).</t>
  </si>
  <si>
    <t>• Trésorerie : compte(s) à destination non tranchée non comptés dans le reporting, non comptés dans la présentation RCI.</t>
  </si>
  <si>
    <t>• Périmètre : SCO AO ne figure(nt) que dans le reporting.</t>
  </si>
  <si>
    <t>• Droits d'enregistrement : exclus des deux côtés.</t>
  </si>
  <si>
    <t>• Loyers : octobre 2026, encaissement placé en S2 en fonctionnement de FIRST.</t>
  </si>
  <si>
    <t>• Comptes indisponibles exclus de la position du reporting : STANBIC-FIRST _ Debt Service, STANBIC-FIRST_LL, STANBIC-FIRST_Disbursement, BNI-RIVIERA(Augmentation), BNI-RIVIERA(DSRA) / Placement (1 195,6 M). La présentation RCI exclut aussi ces fonds (DSR, augmentation, LL, disbursement).</t>
  </si>
  <si>
    <t>Paiements exécutés depuis la position – diminution des besoins</t>
  </si>
  <si>
    <t>Montant imputé : déduit du reste à payer des lignes indiquées (feuilles de détail, colonnes « Payé »). Déduit du solde = O : montant retiré du solde du compte débité dans la position.</t>
  </si>
  <si>
    <t>Réf.</t>
  </si>
  <si>
    <t>Date</t>
  </si>
  <si>
    <t>Compte débité</t>
  </si>
  <si>
    <t>Bénéficiaire</t>
  </si>
  <si>
    <t>Projet</t>
  </si>
  <si>
    <t>Montant payé FCFA</t>
  </si>
  <si>
    <t>Imputé sur</t>
  </si>
  <si>
    <t>Répartition</t>
  </si>
  <si>
    <t>Imputé S1 à S5 FCFA</t>
  </si>
  <si>
    <t>Non imputé / hors horizon FCFA</t>
  </si>
  <si>
    <t>Déduit du solde</t>
  </si>
  <si>
    <t>PX|ECOBANK-PICI|TGCC|07/10/2026|19324742|0</t>
  </si>
  <si>
    <t>TGCC</t>
  </si>
  <si>
    <t>NOTRE PÈRE</t>
  </si>
  <si>
    <t>BCC 0017 02 GROS ŒUVRE &amp; INSTALLATION DE CHANTIER</t>
  </si>
  <si>
    <t>S1 19,3 M</t>
  </si>
  <si>
    <t>PX|ECOBANK-PICI|TGCC|07/10/2026|629862023|1</t>
  </si>
  <si>
    <t>S1 373,4 M ; S2 256,5 M</t>
  </si>
  <si>
    <t>PX|ECOBANK-PICI|TGCC|07/10/2026|52769692|2</t>
  </si>
  <si>
    <t>S2 52,8 M</t>
  </si>
  <si>
    <t>PX|ECOBANK-PICI|HORECAF|07/10/2026|2709103|3</t>
  </si>
  <si>
    <t>HORECAF</t>
  </si>
  <si>
    <t>HON 0002 BET / MOE / SSI – SCO</t>
  </si>
  <si>
    <t>S1 2,7 M</t>
  </si>
  <si>
    <t>Méthode, règles de semaine et sources</t>
  </si>
  <si>
    <t>Sources</t>
  </si>
  <si>
    <t>Soldes bancaires</t>
  </si>
  <si>
    <t>52897ed3-Position_CI_-_01_10_2026.xlsx – feuille « CIV position ».</t>
  </si>
  <si>
    <t>Fonctionnement</t>
  </si>
  <si>
    <t>7e1326ae-Audit_D_caissement_fournissseurs_RCI-300926_v10.xlsx – RECAP Semaine hors intragroupe (impôts, cotisations, salaires, prêts) et Répartition des charges (fournisseurs, détaillés et recalés sur le RECAP).</t>
  </si>
  <si>
    <t>Projets</t>
  </si>
  <si>
    <t>996d2c11-2026-10-02_RIVIERA_Bilan_financier.xlsm ; bee511f1-2026-10-02_Village_notre_p_re_Bilan_financier.xlsm – « Marchés et Depenses HT », € HT ; statut lu sur la couleur de police (vert « Montant à étaler » et rouge « FNP » = non réglé, bleu « Total facturé » = réglé). Semaine des paiements du mois suivant : PICI Projets de l'audit.</t>
  </si>
  <si>
    <t>Loyers</t>
  </si>
  <si>
    <t>48a6412d-Etat_pr_visionnel_des_encaissements_au_30092026_Tr_sorerie.xlsx</t>
  </si>
  <si>
    <t>4d5ac132-SCO_Mouvment_TRESO_PREVISION_OCT_051026.xlsx – prévision de trésorerie SCO (prioritaire) : encaissements clients, frais généraux (CNPS / CMU en charges sociales, DGI en impôts, personnel en salaires, autres en fournisseurs) et projets, par semaine.</t>
  </si>
  <si>
    <t>Mises à jour</t>
  </si>
  <si>
    <t xml:space="preserve">f169ee50-Reporting_Hebdo_CIV_05_10_2026_002.xlsx – reporting modifié : semaines, Retenu, montants et virements de l'équilibrage S1 repris. </t>
  </si>
  <si>
    <t>Règles de semaine</t>
  </si>
  <si>
    <t>Semaine du 05/10 au 11/10 : toutes les antériorités (semaines de l'audit antérieures, factures et cash plans non réglés jusqu'au mois de la situation).</t>
  </si>
  <si>
    <t>Mois suivant (projets)</t>
  </si>
  <si>
    <t>Semaine identifiée dans PICI Projets, sinon S2.</t>
  </si>
  <si>
    <t>Encaissement en S2 (date non précisée dans l'état des loyers).</t>
  </si>
  <si>
    <t>Droits d'enregistrement</t>
  </si>
  <si>
    <t>Hors besoin, comme la présentation RCI (lignes conservées avec Retenu = N).</t>
  </si>
  <si>
    <t>Soldes : colonne F de la position (modifiable). Paiements effectués : montant payé et date dans les feuilles de détail (colonnes en jaune) ; seul le reste à payer alimente le reporting. Paiements non prévus : nouvelles lignes dans les feuilles de détail. Le fichier modifié se réimporte dans le générateur HTML pour refaire la présentation.</t>
  </si>
  <si>
    <t>Paiements exécutés</t>
  </si>
  <si>
    <t>2d40a539-PAIEMENTS_EXECUTES.xlsx – chaque paiement est imputé sur les lignes de besoin du bénéficiaire (nom, sinon nature de l'audit PICI Projets), des plus anciennes aux plus récentes ; montant retiré du solde du compte débité s'il est postérieur à la position. Détail dans la feuille « Paiements exécutés ».</t>
  </si>
  <si>
    <t>Comptes indisponibles</t>
  </si>
  <si>
    <t>STANBIC-FIRST _ Debt Service, STANBIC-FIRST_LL, STANBIC-FIRST_Disbursement, BNI-RIVIERA(Augmentation), BNI-RIVIERA(DSRA) / Placement : exclus de la position et du reporting (listés pour information dans la feuille de position).</t>
  </si>
  <si>
    <t>Dette FIRST</t>
  </si>
  <si>
    <t>Échéances des prêts FIRST et loyers à encaisser traités en fonctionnement de FIRST (pas de compte dédié).</t>
  </si>
  <si>
    <t>Prêts des projets</t>
  </si>
  <si>
    <t>TERASSON et RIVIERA : frais financiers déjà dans les cash plans, non ajoutés.</t>
  </si>
  <si>
    <t>Conventions</t>
  </si>
  <si>
    <t>Signes</t>
  </si>
  <si>
    <t>Décaissements en négatif, encaissements en positif. Solde théorique = solde précédent + prévisions de la semaine.</t>
  </si>
  <si>
    <t>Devise</t>
  </si>
  <si>
    <t>Taux fixe 655,957 FCFA / € (cellule E3 de « Reporting Hebdo »).</t>
  </si>
  <si>
    <t>Retenu</t>
  </si>
  <si>
    <t>O = intégré au reporting ; N = conservé pour traçabilité. Passer une ligne à O l'intègre automatiquement.</t>
  </si>
  <si>
    <t>Équilibrage S1</t>
  </si>
  <si>
    <t>Compte payeur</t>
  </si>
  <si>
    <t>Sociétés : compte « Dédié besoin de fonctionnement » au plus gros solde ; fournisseurs projets : compte « Dédié paiement CPI » (SCO AO : BACI-Projet) ; échéances de prêts FIRST : en fonctionnement, sur le compte payeur de FIRST ; RHD CI (sans compte) : paiement par PICI pour son compte.</t>
  </si>
  <si>
    <t>Autres nivellements</t>
  </si>
  <si>
    <t>Regroupement des comptes d'une même entité sur son compte payeur ; BNI-RIVIERA courant mobilisé pour RIVIERA, sous réserve d'arbitrage.</t>
  </si>
  <si>
    <t>Nivellement via PICI</t>
  </si>
  <si>
    <t>Excédents PICI puis FIRST vers les sociétés en déficit : impôts, cotisations et salaires d'abord, fournisseurs ensuite, en commençant par les plus petits déficits.</t>
  </si>
  <si>
    <t>Liens</t>
  </si>
  <si>
    <t>Paiements : SUMIFS sur les feuilles de détail (semaine S1, Retenu = O) ; soldes : position CI ; nivellements : tableau des virements, modifiable.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</si>
</sst>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0.000"/>
    <numFmt numFmtId="166" formatCode="[$-40C]d\-mmm;@"/>
    <numFmt numFmtId="167" formatCode="#,##0;-#,##0;&quot;-&quot;"/>
    <numFmt numFmtId="168" formatCode="#,##0.0"/>
    <numFmt numFmtId="169" formatCode="#,##0.0;-#,##0.0;&quot;–&quot;"/>
  </numFmts>
  <fonts count="22" x14ac:knownFonts="1">
    <font>
      <color theme="1"/>
      <family val="2"/>
      <scheme val="minor"/>
      <sz val="11"/>
      <name val="Calibri"/>
    </font>
    <font>
      <b/>
      <family val="2"/>
      <sz val="14"/>
      <name val="Calibri"/>
    </font>
    <font>
      <b/>
      <family val="2"/>
      <sz val="10"/>
      <name val="Calibri"/>
    </font>
    <font>
      <family val="2"/>
      <sz val="10"/>
      <name val="Calibri"/>
    </font>
    <font>
      <b/>
      <i/>
      <family val="2"/>
      <sz val="11"/>
      <name val="Calibri"/>
    </font>
    <font>
      <color rgb="FFFFFFFF"/>
      <family val="2"/>
      <sz val="10"/>
      <name val="Calibri"/>
    </font>
    <font>
      <color rgb="FF00B050"/>
      <family val="2"/>
      <sz val="10"/>
      <name val="Calibri"/>
    </font>
    <font>
      <family val="2"/>
      <sz val="8"/>
      <name val="Calibri"/>
    </font>
    <font>
      <i/>
      <color rgb="FF6B7280"/>
      <family val="2"/>
      <sz val="9"/>
      <name val="Calibri"/>
    </font>
    <font>
      <i/>
      <family val="2"/>
      <sz val="10"/>
      <name val="Calibri"/>
    </font>
    <font>
      <b/>
      <color rgb="FFFFFFFF"/>
      <family val="2"/>
      <sz val="10"/>
      <name val="Calibri"/>
    </font>
    <font>
      <b/>
      <family val="2"/>
      <sz val="13"/>
      <name val="Calibri"/>
    </font>
    <font>
      <i/>
      <color rgb="FF6B7280"/>
      <family val="2"/>
      <sz val="10"/>
      <name val="Calibri"/>
    </font>
    <font>
      <color rgb="FF000000"/>
      <family val="2"/>
      <sz val="10"/>
      <name val="Calibri"/>
    </font>
    <font>
      <color rgb="FF6B7280"/>
      <family val="2"/>
      <sz val="9"/>
      <name val="Calibri"/>
    </font>
    <font>
      <color rgb="FFC00000"/>
      <family val="2"/>
      <sz val="10"/>
      <name val="Calibri"/>
    </font>
    <font>
      <b/>
      <color rgb="FF000000"/>
      <family val="2"/>
      <sz val="10"/>
      <name val="Calibri"/>
    </font>
    <font>
      <b/>
      <color rgb="FF008000"/>
      <family val="2"/>
      <sz val="10"/>
      <name val="Calibri"/>
    </font>
    <font>
      <b/>
      <color rgb="FFC00000"/>
      <family val="2"/>
      <sz val="10"/>
      <name val="Calibri"/>
    </font>
    <font>
      <color rgb="FF6B7280"/>
      <family val="2"/>
      <sz val="10"/>
      <name val="Calibri"/>
    </font>
    <font>
      <color rgb="FF7F7F7F"/>
      <family val="2"/>
      <sz val="10"/>
      <name val="Calibri"/>
    </font>
    <font>
      <b/>
      <color rgb="FF7F7F7F"/>
      <family val="2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9BBB59"/>
      </patternFill>
    </fill>
    <fill>
      <patternFill patternType="solid">
        <fgColor rgb="FFF2DCDB"/>
      </patternFill>
    </fill>
    <fill>
      <patternFill patternType="solid">
        <fgColor rgb="FFD99694"/>
      </patternFill>
    </fill>
    <fill>
      <patternFill patternType="solid">
        <fgColor rgb="FFC6EFCE"/>
      </patternFill>
    </fill>
    <fill>
      <patternFill patternType="solid">
        <fgColor rgb="FFEEDCCA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8E4BC"/>
      </patternFill>
    </fill>
    <fill>
      <patternFill patternType="solid">
        <fgColor rgb="FFFFF2CC"/>
      </patternFill>
    </fill>
  </fills>
  <borders count="20">
    <border>
      <left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0" xfId="0" applyNumberFormat="1" applyFont="1"/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66" fontId="3" fillId="2" borderId="4" xfId="0" applyNumberFormat="1" applyFont="1" applyFill="1" applyBorder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/>
    <xf numFmtId="0" fontId="2" fillId="4" borderId="9" xfId="0" applyFont="1" applyFill="1" applyBorder="1" applyAlignment="1">
      <alignment horizontal="left"/>
    </xf>
    <xf numFmtId="0" fontId="2" fillId="4" borderId="9" xfId="0" applyFont="1" applyFill="1" applyBorder="1"/>
    <xf numFmtId="0" fontId="0" fillId="4" borderId="0" xfId="0" applyFill="1"/>
    <xf numFmtId="3" fontId="2" fillId="4" borderId="9" xfId="0" applyNumberFormat="1" applyFont="1" applyFill="1" applyBorder="1"/>
    <xf numFmtId="3" fontId="3" fillId="0" borderId="10" xfId="0" applyNumberFormat="1" applyFont="1" applyBorder="1"/>
    <xf numFmtId="3" fontId="6" fillId="0" borderId="11" xfId="0" applyNumberFormat="1" applyFont="1" applyBorder="1"/>
    <xf numFmtId="0" fontId="3" fillId="0" borderId="12" xfId="0" applyFont="1" applyBorder="1"/>
    <xf numFmtId="0" fontId="7" fillId="0" borderId="12" xfId="0" applyFont="1" applyBorder="1"/>
    <xf numFmtId="3" fontId="3" fillId="0" borderId="12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5" xfId="0" applyFont="1" applyBorder="1"/>
    <xf numFmtId="0" fontId="0" fillId="0" borderId="16" xfId="0" applyBorder="1"/>
    <xf numFmtId="3" fontId="2" fillId="0" borderId="16" xfId="0" applyNumberFormat="1" applyFont="1" applyBorder="1"/>
    <xf numFmtId="3" fontId="2" fillId="0" borderId="15" xfId="0" applyNumberFormat="1" applyFont="1" applyBorder="1"/>
    <xf numFmtId="3" fontId="2" fillId="0" borderId="17" xfId="0" applyNumberFormat="1" applyFont="1" applyBorder="1"/>
    <xf numFmtId="0" fontId="2" fillId="5" borderId="9" xfId="0" applyFont="1" applyFill="1" applyBorder="1"/>
    <xf numFmtId="0" fontId="3" fillId="5" borderId="9" xfId="0" applyFont="1" applyFill="1" applyBorder="1"/>
    <xf numFmtId="3" fontId="2" fillId="5" borderId="9" xfId="0" applyNumberFormat="1" applyFont="1" applyFill="1" applyBorder="1"/>
    <xf numFmtId="0" fontId="2" fillId="6" borderId="9" xfId="0" applyFont="1" applyFill="1" applyBorder="1"/>
    <xf numFmtId="0" fontId="7" fillId="6" borderId="9" xfId="0" applyFont="1" applyFill="1" applyBorder="1"/>
    <xf numFmtId="3" fontId="3" fillId="6" borderId="9" xfId="0" applyNumberFormat="1" applyFont="1" applyFill="1" applyBorder="1"/>
    <xf numFmtId="3" fontId="2" fillId="6" borderId="9" xfId="0" applyNumberFormat="1" applyFont="1" applyFill="1" applyBorder="1"/>
    <xf numFmtId="0" fontId="0" fillId="6" borderId="10" xfId="0" applyFill="1" applyBorder="1"/>
    <xf numFmtId="3" fontId="3" fillId="6" borderId="11" xfId="0" applyNumberFormat="1" applyFont="1" applyFill="1" applyBorder="1"/>
    <xf numFmtId="0" fontId="8" fillId="0" borderId="0" xfId="0" applyFont="1"/>
    <xf numFmtId="0" fontId="3" fillId="0" borderId="4" xfId="0" applyFont="1" applyBorder="1"/>
    <xf numFmtId="0" fontId="0" fillId="0" borderId="4" xfId="0" applyBorder="1"/>
    <xf numFmtId="3" fontId="3" fillId="0" borderId="4" xfId="0" applyNumberFormat="1" applyFont="1" applyBorder="1"/>
    <xf numFmtId="3" fontId="3" fillId="0" borderId="7" xfId="0" applyNumberFormat="1" applyFont="1" applyBorder="1"/>
    <xf numFmtId="0" fontId="0" fillId="0" borderId="8" xfId="0" applyBorder="1"/>
    <xf numFmtId="0" fontId="2" fillId="0" borderId="4" xfId="0" applyFont="1" applyBorder="1"/>
    <xf numFmtId="3" fontId="2" fillId="0" borderId="4" xfId="0" applyNumberFormat="1" applyFont="1" applyBorder="1"/>
    <xf numFmtId="3" fontId="2" fillId="0" borderId="7" xfId="0" applyNumberFormat="1" applyFont="1" applyBorder="1"/>
    <xf numFmtId="0" fontId="2" fillId="7" borderId="4" xfId="0" applyFont="1" applyFill="1" applyBorder="1"/>
    <xf numFmtId="0" fontId="0" fillId="7" borderId="4" xfId="0" applyFill="1" applyBorder="1"/>
    <xf numFmtId="3" fontId="2" fillId="7" borderId="4" xfId="0" applyNumberFormat="1" applyFont="1" applyFill="1" applyBorder="1"/>
    <xf numFmtId="0" fontId="0" fillId="7" borderId="7" xfId="0" applyFill="1" applyBorder="1"/>
    <xf numFmtId="3" fontId="2" fillId="7" borderId="8" xfId="0" applyNumberFormat="1" applyFont="1" applyFill="1" applyBorder="1"/>
    <xf numFmtId="0" fontId="9" fillId="0" borderId="4" xfId="0" applyFont="1" applyBorder="1"/>
    <xf numFmtId="3" fontId="9" fillId="0" borderId="4" xfId="0" applyNumberFormat="1" applyFont="1" applyBorder="1"/>
    <xf numFmtId="0" fontId="0" fillId="0" borderId="7" xfId="0" applyBorder="1"/>
    <xf numFmtId="3" fontId="9" fillId="0" borderId="8" xfId="0" applyNumberFormat="1" applyFont="1" applyBorder="1"/>
    <xf numFmtId="0" fontId="2" fillId="2" borderId="0" xfId="0" applyFont="1" applyFill="1"/>
    <xf numFmtId="0" fontId="0" fillId="2" borderId="0" xfId="0" applyFill="1"/>
    <xf numFmtId="0" fontId="3" fillId="0" borderId="18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10" fillId="8" borderId="0" xfId="0" applyFont="1" applyFill="1"/>
    <xf numFmtId="3" fontId="3" fillId="9" borderId="12" xfId="0" applyNumberFormat="1" applyFont="1" applyFill="1" applyBorder="1"/>
    <xf numFmtId="0" fontId="11" fillId="0" borderId="0" xfId="0" applyFont="1"/>
    <xf numFmtId="0" fontId="12" fillId="0" borderId="0" xfId="0" applyFont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7" fontId="13" fillId="0" borderId="4" xfId="0" applyNumberFormat="1" applyFont="1" applyBorder="1"/>
    <xf numFmtId="0" fontId="14" fillId="0" borderId="4" xfId="0" applyFont="1" applyBorder="1" applyAlignment="1">
      <alignment vertical="top" wrapText="1"/>
    </xf>
    <xf numFmtId="167" fontId="15" fillId="0" borderId="4" xfId="0" applyNumberFormat="1" applyFont="1" applyBorder="1"/>
    <xf numFmtId="0" fontId="2" fillId="0" borderId="4" xfId="0" applyFont="1" applyBorder="1" applyAlignment="1">
      <alignment horizontal="center"/>
    </xf>
    <xf numFmtId="167" fontId="16" fillId="0" borderId="4" xfId="0" applyNumberFormat="1" applyFont="1" applyBorder="1"/>
    <xf numFmtId="0" fontId="2" fillId="10" borderId="4" xfId="0" applyFont="1" applyFill="1" applyBorder="1" applyAlignment="1">
      <alignment horizontal="center"/>
    </xf>
    <xf numFmtId="167" fontId="17" fillId="10" borderId="4" xfId="0" applyNumberFormat="1" applyFont="1" applyFill="1" applyBorder="1"/>
    <xf numFmtId="167" fontId="18" fillId="0" borderId="4" xfId="0" applyNumberFormat="1" applyFont="1" applyBorder="1"/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7" fontId="2" fillId="2" borderId="4" xfId="0" applyNumberFormat="1" applyFont="1" applyFill="1" applyBorder="1" applyAlignment="1">
      <alignment horizontal="center" wrapText="1"/>
    </xf>
    <xf numFmtId="0" fontId="3" fillId="0" borderId="0" xfId="0" applyFont="1"/>
    <xf numFmtId="167" fontId="3" fillId="0" borderId="4" xfId="0" applyNumberFormat="1" applyFont="1" applyBorder="1"/>
    <xf numFmtId="167" fontId="2" fillId="0" borderId="0" xfId="0" applyNumberFormat="1" applyFont="1"/>
    <xf numFmtId="0" fontId="19" fillId="0" borderId="0" xfId="0" applyFont="1"/>
    <xf numFmtId="0" fontId="1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3" fontId="3" fillId="11" borderId="4" xfId="0" applyNumberFormat="1" applyFont="1" applyFill="1" applyBorder="1"/>
    <xf numFmtId="0" fontId="3" fillId="11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4" xfId="0" applyFont="1" applyBorder="1"/>
    <xf numFmtId="3" fontId="20" fillId="0" borderId="4" xfId="0" applyNumberFormat="1" applyFont="1" applyBorder="1"/>
    <xf numFmtId="3" fontId="20" fillId="11" borderId="4" xfId="0" applyNumberFormat="1" applyFont="1" applyFill="1" applyBorder="1"/>
    <xf numFmtId="0" fontId="20" fillId="11" borderId="4" xfId="0" applyFont="1" applyFill="1" applyBorder="1" applyAlignment="1">
      <alignment horizontal="center"/>
    </xf>
    <xf numFmtId="0" fontId="0" fillId="11" borderId="0" xfId="0" applyFill="1"/>
    <xf numFmtId="3" fontId="3" fillId="0" borderId="0" xfId="0" applyNumberFormat="1" applyFont="1"/>
    <xf numFmtId="0" fontId="2" fillId="0" borderId="19" xfId="0" applyFont="1" applyBorder="1"/>
    <xf numFmtId="3" fontId="2" fillId="0" borderId="19" xfId="0" applyNumberFormat="1" applyFont="1" applyBorder="1"/>
    <xf numFmtId="0" fontId="21" fillId="0" borderId="0" xfId="0" applyFont="1"/>
    <xf numFmtId="3" fontId="21" fillId="0" borderId="0" xfId="0" applyNumberFormat="1" applyFont="1"/>
    <xf numFmtId="168" fontId="3" fillId="0" borderId="4" xfId="0" applyNumberFormat="1" applyFont="1" applyBorder="1"/>
    <xf numFmtId="1" fontId="3" fillId="0" borderId="4" xfId="0" applyNumberFormat="1" applyFont="1" applyBorder="1"/>
    <xf numFmtId="169" fontId="3" fillId="0" borderId="4" xfId="0" applyNumberFormat="1" applyFont="1" applyBorder="1"/>
    <xf numFmtId="0" fontId="3" fillId="0" borderId="4" xfId="0" applyFont="1" applyBorder="1" applyAlignment="1">
      <alignment vertical="top" wrapText="1"/>
    </xf>
    <xf numFmtId="169" fontId="2" fillId="0" borderId="4" xfId="0" applyNumberFormat="1" applyFont="1" applyBorder="1"/>
    <xf numFmtId="0" fontId="3" fillId="0" borderId="0" xfId="0" applyFont="1" applyAlignment="1">
      <alignment vertical="top" wrapText="1"/>
    </xf>
    <xf numFmtId="3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22"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  <dxf>
      <font>
        <b/>
        <color rgb="FFC00000"/>
      </font>
    </dxf>
    <dxf>
      <font>
        <b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8"/>
  <sheetViews>
    <sheetView workbookViewId="0" showGridLines="0" zoomScale="90">
      <pane xSplit="4" ySplit="10" topLeftCell="E11" activePane="bottomRight" state="frozen"/>
      <selection pane="bottomRight"/>
    </sheetView>
  </sheetViews>
  <sheetFormatPr defaultRowHeight="15" outlineLevelRow="1" outlineLevelCol="0" x14ac:dyDescent="55"/>
  <cols>
    <col min="1" max="1" width="2.5" customWidth="1"/>
    <col min="2" max="2" width="7" customWidth="1"/>
    <col min="3" max="3" width="46" customWidth="1"/>
    <col min="4" max="4" width="30" customWidth="1"/>
    <col min="5" max="5" width="10" customWidth="1"/>
    <col min="6" max="6" width="11.5" customWidth="1"/>
    <col min="7" max="11" width="12.5" customWidth="1"/>
    <col min="12" max="12" width="1.5" customWidth="1"/>
    <col min="13" max="23" width="15.5" customWidth="1"/>
    <col min="24" max="24" width="2" customWidth="1"/>
    <col min="25" max="25" width="47" customWidth="1"/>
  </cols>
  <sheetData>
    <row r="1" spans="4:4" x14ac:dyDescent="0.25">
      <c r="D1" s="1" t="s">
        <v>0</v>
      </c>
    </row>
    <row r="2" spans="3:23" x14ac:dyDescent="0.25">
      <c r="C2" s="2" t="s">
        <v>1</v>
      </c>
      <c r="E2" s="3">
        <v>46295</v>
      </c>
      <c r="M2" s="4" t="s">
        <v>2</v>
      </c>
      <c r="N2" s="5" t="s">
        <v>3</v>
      </c>
      <c r="O2" s="5"/>
      <c r="P2" s="5" t="s">
        <v>4</v>
      </c>
      <c r="Q2" s="5"/>
      <c r="R2" s="5" t="s">
        <v>5</v>
      </c>
      <c r="S2" s="5"/>
      <c r="T2" s="5" t="s">
        <v>6</v>
      </c>
      <c r="U2" s="5"/>
      <c r="V2" s="5" t="s">
        <v>7</v>
      </c>
      <c r="W2" s="5"/>
    </row>
    <row r="3" spans="3:23" x14ac:dyDescent="0.25">
      <c r="C3" s="2" t="s">
        <v>8</v>
      </c>
      <c r="E3" s="6">
        <v>655.957</v>
      </c>
      <c r="M3" s="4" t="s">
        <v>9</v>
      </c>
      <c r="N3" s="7">
        <v>46300</v>
      </c>
      <c r="O3" s="7"/>
      <c r="P3" s="7">
        <f>N3+7</f>
      </c>
      <c r="Q3" s="7"/>
      <c r="R3" s="7">
        <f>P3+7</f>
      </c>
      <c r="S3" s="7"/>
      <c r="T3" s="7">
        <f>R3+7</f>
      </c>
      <c r="U3" s="7"/>
      <c r="V3" s="7">
        <f>T3+7</f>
      </c>
      <c r="W3" s="7"/>
    </row>
    <row r="4" spans="3:23" x14ac:dyDescent="0.25">
      <c r="C4" s="2" t="s">
        <v>10</v>
      </c>
      <c r="E4" s="3">
        <v>46302</v>
      </c>
      <c r="M4" s="4" t="s">
        <v>11</v>
      </c>
      <c r="N4" s="8">
        <f>N3+6</f>
      </c>
      <c r="O4" s="8"/>
      <c r="P4" s="8">
        <f>P3+6</f>
      </c>
      <c r="Q4" s="8"/>
      <c r="R4" s="8">
        <f>R3+6</f>
      </c>
      <c r="S4" s="8"/>
      <c r="T4" s="8">
        <f>T3+6</f>
      </c>
      <c r="U4" s="8"/>
      <c r="V4" s="8">
        <f>V3+6</f>
      </c>
      <c r="W4" s="8"/>
    </row>
    <row r="5" hidden="1" outlineLevel="1"/>
    <row r="6" hidden="1" spans="3:3" x14ac:dyDescent="0.25" outlineLevel="1">
      <c r="C6" s="2" t="s">
        <v>12</v>
      </c>
    </row>
    <row r="7" hidden="1" outlineLevel="1"/>
    <row r="8" hidden="1" spans="6:23" x14ac:dyDescent="0.25" outlineLevel="1">
      <c r="F8" s="9" t="s">
        <v>13</v>
      </c>
      <c r="G8" s="10" t="s">
        <v>3</v>
      </c>
      <c r="H8" s="10" t="s">
        <v>4</v>
      </c>
      <c r="I8" s="10" t="s">
        <v>5</v>
      </c>
      <c r="J8" s="10" t="s">
        <v>6</v>
      </c>
      <c r="K8" s="10" t="s">
        <v>7</v>
      </c>
      <c r="M8" s="9" t="s">
        <v>14</v>
      </c>
      <c r="N8" s="10" t="s">
        <v>3</v>
      </c>
      <c r="O8" s="10"/>
      <c r="P8" s="10" t="s">
        <v>4</v>
      </c>
      <c r="Q8" s="10"/>
      <c r="R8" s="10" t="s">
        <v>5</v>
      </c>
      <c r="S8" s="10"/>
      <c r="T8" s="10" t="s">
        <v>6</v>
      </c>
      <c r="U8" s="10"/>
      <c r="V8" s="10" t="s">
        <v>7</v>
      </c>
      <c r="W8" s="10"/>
    </row>
    <row r="9" ht="28.5" customHeight="1" spans="3:25" x14ac:dyDescent="0.25" collapsed="1">
      <c r="C9" s="11" t="s">
        <v>15</v>
      </c>
      <c r="D9" s="11" t="s">
        <v>15</v>
      </c>
      <c r="F9" s="12">
        <f>$E$2</f>
      </c>
      <c r="G9" s="12">
        <f>N4</f>
      </c>
      <c r="H9" s="12">
        <f>P4</f>
      </c>
      <c r="I9" s="12">
        <f>R4</f>
      </c>
      <c r="J9" s="12">
        <f>T4</f>
      </c>
      <c r="K9" s="12">
        <f>V4</f>
      </c>
      <c r="M9" s="13">
        <f>$E$2</f>
      </c>
      <c r="N9" s="14">
        <f>N3</f>
      </c>
      <c r="O9" s="15">
        <f>N4</f>
      </c>
      <c r="P9" s="14">
        <f>P3</f>
      </c>
      <c r="Q9" s="15">
        <f>P4</f>
      </c>
      <c r="R9" s="14">
        <f>R3</f>
      </c>
      <c r="S9" s="15">
        <f>R4</f>
      </c>
      <c r="T9" s="14">
        <f>T3</f>
      </c>
      <c r="U9" s="15">
        <f>T4</f>
      </c>
      <c r="V9" s="14">
        <f>V3</f>
      </c>
      <c r="W9" s="15">
        <f>V4</f>
      </c>
      <c r="Y9" s="16" t="s">
        <v>16</v>
      </c>
    </row>
    <row r="10" ht="28.5" customHeight="1" hidden="1" spans="3:23" x14ac:dyDescent="0.25" outlineLevel="1">
      <c r="C10" s="11" t="s">
        <v>17</v>
      </c>
      <c r="D10" s="11" t="s">
        <v>18</v>
      </c>
      <c r="F10" s="17" t="s">
        <v>19</v>
      </c>
      <c r="G10" s="17" t="s">
        <v>20</v>
      </c>
      <c r="H10" s="17" t="s">
        <v>20</v>
      </c>
      <c r="I10" s="17" t="s">
        <v>20</v>
      </c>
      <c r="J10" s="17" t="s">
        <v>20</v>
      </c>
      <c r="K10" s="17" t="s">
        <v>20</v>
      </c>
      <c r="M10" s="18" t="s">
        <v>19</v>
      </c>
      <c r="N10" s="19" t="s">
        <v>21</v>
      </c>
      <c r="O10" s="20" t="s">
        <v>20</v>
      </c>
      <c r="P10" s="19" t="s">
        <v>21</v>
      </c>
      <c r="Q10" s="20" t="s">
        <v>20</v>
      </c>
      <c r="R10" s="19" t="s">
        <v>21</v>
      </c>
      <c r="S10" s="20" t="s">
        <v>20</v>
      </c>
      <c r="T10" s="19" t="s">
        <v>21</v>
      </c>
      <c r="U10" s="20" t="s">
        <v>20</v>
      </c>
      <c r="V10" s="19" t="s">
        <v>21</v>
      </c>
      <c r="W10" s="20" t="s">
        <v>20</v>
      </c>
    </row>
    <row r="11" hidden="1" spans="1:23" x14ac:dyDescent="0.25" outlineLevel="1">
      <c r="A11" s="21" t="s">
        <v>22</v>
      </c>
      <c r="C11" s="22" t="s">
        <v>23</v>
      </c>
      <c r="D11" s="23"/>
      <c r="E11" s="24"/>
      <c r="F11" s="25">
        <f>M11/$E$3</f>
      </c>
      <c r="G11" s="25">
        <f>O11/$E$3</f>
      </c>
      <c r="H11" s="25">
        <f>Q11/$E$3</f>
      </c>
      <c r="I11" s="25">
        <f>S11/$E$3</f>
      </c>
      <c r="J11" s="25">
        <f>U11/$E$3</f>
      </c>
      <c r="K11" s="25">
        <f>W11/$E$3</f>
      </c>
      <c r="L11" s="24"/>
      <c r="M11" s="25">
        <f>SUM(M12:M14)</f>
      </c>
      <c r="N11" s="26">
        <f>SUMIFS('Détail fonctionnement'!$J$5:$J$505,'Détail fonctionnement'!$A$5:$A$505,N$2,'Détail fonctionnement'!$G$5:$G$505,"O",'Détail fonctionnement'!$B$5:$B$505,$A11)</f>
      </c>
      <c r="O11" s="27">
        <f>M11+N11</f>
      </c>
      <c r="P11" s="26">
        <f>SUMIFS('Détail fonctionnement'!$J$5:$J$505,'Détail fonctionnement'!$A$5:$A$505,P$2,'Détail fonctionnement'!$G$5:$G$505,"O",'Détail fonctionnement'!$B$5:$B$505,$A11)</f>
      </c>
      <c r="Q11" s="27">
        <f>O11+P11</f>
      </c>
      <c r="R11" s="26">
        <f>SUMIFS('Détail fonctionnement'!$J$5:$J$505,'Détail fonctionnement'!$A$5:$A$505,R$2,'Détail fonctionnement'!$G$5:$G$505,"O",'Détail fonctionnement'!$B$5:$B$505,$A11)</f>
      </c>
      <c r="S11" s="27">
        <f>Q11+R11</f>
      </c>
      <c r="T11" s="26">
        <f>SUMIFS('Détail fonctionnement'!$J$5:$J$505,'Détail fonctionnement'!$A$5:$A$505,T$2,'Détail fonctionnement'!$G$5:$G$505,"O",'Détail fonctionnement'!$B$5:$B$505,$A11)</f>
      </c>
      <c r="U11" s="27">
        <f>S11+T11</f>
      </c>
      <c r="V11" s="26">
        <f>SUMIFS('Détail fonctionnement'!$J$5:$J$505,'Détail fonctionnement'!$A$5:$A$505,V$2,'Détail fonctionnement'!$G$5:$G$505,"O",'Détail fonctionnement'!$B$5:$B$505,$A11)</f>
      </c>
      <c r="W11" s="27">
        <f>U11+V11</f>
      </c>
    </row>
    <row r="12" hidden="1" spans="3:23" x14ac:dyDescent="0.25" outlineLevel="1">
      <c r="C12" s="28" t="s">
        <v>24</v>
      </c>
      <c r="D12" s="29" t="s">
        <v>25</v>
      </c>
      <c r="F12" s="30">
        <f>M12/$E$3</f>
      </c>
      <c r="G12" s="31"/>
      <c r="H12" s="31"/>
      <c r="I12" s="31"/>
      <c r="J12" s="31"/>
      <c r="K12" s="31"/>
      <c r="M12" s="30">
        <f>'Position CI 30-09'!F5</f>
      </c>
      <c r="N12" s="32"/>
      <c r="O12" s="33"/>
      <c r="P12" s="32"/>
      <c r="Q12" s="33"/>
      <c r="R12" s="32"/>
      <c r="S12" s="33"/>
      <c r="T12" s="32"/>
      <c r="U12" s="33"/>
      <c r="V12" s="32"/>
      <c r="W12" s="33"/>
    </row>
    <row r="13" hidden="1" spans="3:23" x14ac:dyDescent="0.25" outlineLevel="1">
      <c r="C13" s="28" t="s">
        <v>26</v>
      </c>
      <c r="D13" s="29" t="s">
        <v>27</v>
      </c>
      <c r="F13" s="30">
        <f>M13/$E$3</f>
      </c>
      <c r="G13" s="31"/>
      <c r="H13" s="31"/>
      <c r="I13" s="31"/>
      <c r="J13" s="31"/>
      <c r="K13" s="31"/>
      <c r="M13" s="30">
        <f>'Position CI 30-09'!F6</f>
      </c>
      <c r="N13" s="32"/>
      <c r="O13" s="33"/>
      <c r="P13" s="32"/>
      <c r="Q13" s="33"/>
      <c r="R13" s="32"/>
      <c r="S13" s="33"/>
      <c r="T13" s="32"/>
      <c r="U13" s="33"/>
      <c r="V13" s="32"/>
      <c r="W13" s="33"/>
    </row>
    <row r="14" hidden="1" spans="3:23" x14ac:dyDescent="0.25" outlineLevel="1">
      <c r="C14" s="28" t="s">
        <v>28</v>
      </c>
      <c r="D14" s="29" t="s">
        <v>27</v>
      </c>
      <c r="F14" s="30">
        <f>M14/$E$3</f>
      </c>
      <c r="G14" s="31"/>
      <c r="H14" s="31"/>
      <c r="I14" s="31"/>
      <c r="J14" s="31"/>
      <c r="K14" s="31"/>
      <c r="M14" s="30">
        <f>'Position CI 30-09'!F7</f>
      </c>
      <c r="N14" s="32"/>
      <c r="O14" s="33"/>
      <c r="P14" s="32"/>
      <c r="Q14" s="33"/>
      <c r="R14" s="32"/>
      <c r="S14" s="33"/>
      <c r="T14" s="32"/>
      <c r="U14" s="33"/>
      <c r="V14" s="32"/>
      <c r="W14" s="33"/>
    </row>
    <row r="15" hidden="1" spans="1:23" x14ac:dyDescent="0.25" outlineLevel="1">
      <c r="A15" s="21" t="s">
        <v>29</v>
      </c>
      <c r="C15" s="22" t="s">
        <v>30</v>
      </c>
      <c r="D15" s="23"/>
      <c r="E15" s="24"/>
      <c r="F15" s="25">
        <f>M15/$E$3</f>
      </c>
      <c r="G15" s="25">
        <f>O15/$E$3</f>
      </c>
      <c r="H15" s="25">
        <f>Q15/$E$3</f>
      </c>
      <c r="I15" s="25">
        <f>S15/$E$3</f>
      </c>
      <c r="J15" s="25">
        <f>U15/$E$3</f>
      </c>
      <c r="K15" s="25">
        <f>W15/$E$3</f>
      </c>
      <c r="L15" s="24"/>
      <c r="M15" s="25">
        <f>SUM(M16:M17)</f>
      </c>
      <c r="N15" s="26">
        <f>SUMIFS('Détail fonctionnement'!$J$5:$J$505,'Détail fonctionnement'!$A$5:$A$505,N$2,'Détail fonctionnement'!$G$5:$G$505,"O",'Détail fonctionnement'!$B$5:$B$505,$A15)</f>
      </c>
      <c r="O15" s="27">
        <f>M15+N15</f>
      </c>
      <c r="P15" s="26">
        <f>SUMIFS('Détail fonctionnement'!$J$5:$J$505,'Détail fonctionnement'!$A$5:$A$505,P$2,'Détail fonctionnement'!$G$5:$G$505,"O",'Détail fonctionnement'!$B$5:$B$505,$A15)</f>
      </c>
      <c r="Q15" s="27">
        <f>O15+P15</f>
      </c>
      <c r="R15" s="26">
        <f>SUMIFS('Détail fonctionnement'!$J$5:$J$505,'Détail fonctionnement'!$A$5:$A$505,R$2,'Détail fonctionnement'!$G$5:$G$505,"O",'Détail fonctionnement'!$B$5:$B$505,$A15)</f>
      </c>
      <c r="S15" s="27">
        <f>Q15+R15</f>
      </c>
      <c r="T15" s="26">
        <f>SUMIFS('Détail fonctionnement'!$J$5:$J$505,'Détail fonctionnement'!$A$5:$A$505,T$2,'Détail fonctionnement'!$G$5:$G$505,"O",'Détail fonctionnement'!$B$5:$B$505,$A15)</f>
      </c>
      <c r="U15" s="27">
        <f>S15+T15</f>
      </c>
      <c r="V15" s="26">
        <f>SUMIFS('Détail fonctionnement'!$J$5:$J$505,'Détail fonctionnement'!$A$5:$A$505,V$2,'Détail fonctionnement'!$G$5:$G$505,"O",'Détail fonctionnement'!$B$5:$B$505,$A15)</f>
      </c>
      <c r="W15" s="27">
        <f>U15+V15</f>
      </c>
    </row>
    <row r="16" hidden="1" spans="3:23" x14ac:dyDescent="0.25" outlineLevel="1">
      <c r="C16" s="28" t="s">
        <v>31</v>
      </c>
      <c r="D16" s="29" t="s">
        <v>27</v>
      </c>
      <c r="F16" s="30">
        <f>M16/$E$3</f>
      </c>
      <c r="G16" s="31"/>
      <c r="H16" s="31"/>
      <c r="I16" s="31"/>
      <c r="J16" s="31"/>
      <c r="K16" s="31"/>
      <c r="M16" s="30">
        <f>'Position CI 30-09'!F8</f>
      </c>
      <c r="N16" s="32"/>
      <c r="O16" s="33"/>
      <c r="P16" s="32"/>
      <c r="Q16" s="33"/>
      <c r="R16" s="32"/>
      <c r="S16" s="33"/>
      <c r="T16" s="32"/>
      <c r="U16" s="33"/>
      <c r="V16" s="32"/>
      <c r="W16" s="33"/>
    </row>
    <row r="17" hidden="1" spans="3:23" x14ac:dyDescent="0.25" outlineLevel="1">
      <c r="C17" s="28" t="s">
        <v>32</v>
      </c>
      <c r="D17" s="29" t="s">
        <v>27</v>
      </c>
      <c r="F17" s="30">
        <f>M17/$E$3</f>
      </c>
      <c r="G17" s="31"/>
      <c r="H17" s="31"/>
      <c r="I17" s="31"/>
      <c r="J17" s="31"/>
      <c r="K17" s="31"/>
      <c r="M17" s="30">
        <f>'Position CI 30-09'!F9</f>
      </c>
      <c r="N17" s="32"/>
      <c r="O17" s="33"/>
      <c r="P17" s="32"/>
      <c r="Q17" s="33"/>
      <c r="R17" s="32"/>
      <c r="S17" s="33"/>
      <c r="T17" s="32"/>
      <c r="U17" s="33"/>
      <c r="V17" s="32"/>
      <c r="W17" s="33"/>
    </row>
    <row r="18" hidden="1" spans="1:23" x14ac:dyDescent="0.25" outlineLevel="1">
      <c r="A18" s="21" t="s">
        <v>33</v>
      </c>
      <c r="C18" s="22" t="s">
        <v>33</v>
      </c>
      <c r="D18" s="23"/>
      <c r="E18" s="24"/>
      <c r="F18" s="25">
        <f>M18/$E$3</f>
      </c>
      <c r="G18" s="25">
        <f>O18/$E$3</f>
      </c>
      <c r="H18" s="25">
        <f>Q18/$E$3</f>
      </c>
      <c r="I18" s="25">
        <f>S18/$E$3</f>
      </c>
      <c r="J18" s="25">
        <f>U18/$E$3</f>
      </c>
      <c r="K18" s="25">
        <f>W18/$E$3</f>
      </c>
      <c r="L18" s="24"/>
      <c r="M18" s="25">
        <f>SUM(M19:M20)</f>
      </c>
      <c r="N18" s="26">
        <f>SUMIFS('Détail fonctionnement'!$J$5:$J$505,'Détail fonctionnement'!$A$5:$A$505,N$2,'Détail fonctionnement'!$G$5:$G$505,"O",'Détail fonctionnement'!$B$5:$B$505,$A18)</f>
      </c>
      <c r="O18" s="27">
        <f>M18+N18</f>
      </c>
      <c r="P18" s="26">
        <f>SUMIFS('Détail fonctionnement'!$J$5:$J$505,'Détail fonctionnement'!$A$5:$A$505,P$2,'Détail fonctionnement'!$G$5:$G$505,"O",'Détail fonctionnement'!$B$5:$B$505,$A18)</f>
      </c>
      <c r="Q18" s="27">
        <f>O18+P18</f>
      </c>
      <c r="R18" s="26">
        <f>SUMIFS('Détail fonctionnement'!$J$5:$J$505,'Détail fonctionnement'!$A$5:$A$505,R$2,'Détail fonctionnement'!$G$5:$G$505,"O",'Détail fonctionnement'!$B$5:$B$505,$A18)</f>
      </c>
      <c r="S18" s="27">
        <f>Q18+R18</f>
      </c>
      <c r="T18" s="26">
        <f>SUMIFS('Détail fonctionnement'!$J$5:$J$505,'Détail fonctionnement'!$A$5:$A$505,T$2,'Détail fonctionnement'!$G$5:$G$505,"O",'Détail fonctionnement'!$B$5:$B$505,$A18)</f>
      </c>
      <c r="U18" s="27">
        <f>S18+T18</f>
      </c>
      <c r="V18" s="26">
        <f>SUMIFS('Détail fonctionnement'!$J$5:$J$505,'Détail fonctionnement'!$A$5:$A$505,V$2,'Détail fonctionnement'!$G$5:$G$505,"O",'Détail fonctionnement'!$B$5:$B$505,$A18)</f>
      </c>
      <c r="W18" s="27">
        <f>U18+V18</f>
      </c>
    </row>
    <row r="19" hidden="1" spans="3:23" x14ac:dyDescent="0.25" outlineLevel="1">
      <c r="C19" s="28" t="s">
        <v>34</v>
      </c>
      <c r="D19" s="29" t="s">
        <v>27</v>
      </c>
      <c r="F19" s="30">
        <f>M19/$E$3</f>
      </c>
      <c r="G19" s="31"/>
      <c r="H19" s="31"/>
      <c r="I19" s="31"/>
      <c r="J19" s="31"/>
      <c r="K19" s="31"/>
      <c r="M19" s="30">
        <f>'Position CI 30-09'!F10</f>
      </c>
      <c r="N19" s="32"/>
      <c r="O19" s="33"/>
      <c r="P19" s="32"/>
      <c r="Q19" s="33"/>
      <c r="R19" s="32"/>
      <c r="S19" s="33"/>
      <c r="T19" s="32"/>
      <c r="U19" s="33"/>
      <c r="V19" s="32"/>
      <c r="W19" s="33"/>
    </row>
    <row r="20" hidden="1" spans="3:23" x14ac:dyDescent="0.25" outlineLevel="1">
      <c r="C20" s="28" t="s">
        <v>35</v>
      </c>
      <c r="D20" s="29" t="s">
        <v>27</v>
      </c>
      <c r="F20" s="30">
        <f>M20/$E$3</f>
      </c>
      <c r="G20" s="31"/>
      <c r="H20" s="31"/>
      <c r="I20" s="31"/>
      <c r="J20" s="31"/>
      <c r="K20" s="31"/>
      <c r="M20" s="30">
        <f>'Position CI 30-09'!F11</f>
      </c>
      <c r="N20" s="32"/>
      <c r="O20" s="33"/>
      <c r="P20" s="32"/>
      <c r="Q20" s="33"/>
      <c r="R20" s="32"/>
      <c r="S20" s="33"/>
      <c r="T20" s="32"/>
      <c r="U20" s="33"/>
      <c r="V20" s="32"/>
      <c r="W20" s="33"/>
    </row>
    <row r="21" hidden="1" spans="1:23" x14ac:dyDescent="0.25" outlineLevel="1">
      <c r="A21" s="21" t="s">
        <v>36</v>
      </c>
      <c r="C21" s="22" t="s">
        <v>37</v>
      </c>
      <c r="D21" s="23"/>
      <c r="E21" s="24"/>
      <c r="F21" s="25">
        <f>M21/$E$3</f>
      </c>
      <c r="G21" s="25">
        <f>O21/$E$3</f>
      </c>
      <c r="H21" s="25">
        <f>Q21/$E$3</f>
      </c>
      <c r="I21" s="25">
        <f>S21/$E$3</f>
      </c>
      <c r="J21" s="25">
        <f>U21/$E$3</f>
      </c>
      <c r="K21" s="25">
        <f>W21/$E$3</f>
      </c>
      <c r="L21" s="24"/>
      <c r="M21" s="25">
        <f>SUM(M22:M22)</f>
      </c>
      <c r="N21" s="26">
        <f>SUMIFS('Détail fonctionnement'!$J$5:$J$505,'Détail fonctionnement'!$A$5:$A$505,N$2,'Détail fonctionnement'!$G$5:$G$505,"O",'Détail fonctionnement'!$B$5:$B$505,$A21)</f>
      </c>
      <c r="O21" s="27">
        <f>M21+N21</f>
      </c>
      <c r="P21" s="26">
        <f>SUMIFS('Détail fonctionnement'!$J$5:$J$505,'Détail fonctionnement'!$A$5:$A$505,P$2,'Détail fonctionnement'!$G$5:$G$505,"O",'Détail fonctionnement'!$B$5:$B$505,$A21)</f>
      </c>
      <c r="Q21" s="27">
        <f>O21+P21</f>
      </c>
      <c r="R21" s="26">
        <f>SUMIFS('Détail fonctionnement'!$J$5:$J$505,'Détail fonctionnement'!$A$5:$A$505,R$2,'Détail fonctionnement'!$G$5:$G$505,"O",'Détail fonctionnement'!$B$5:$B$505,$A21)</f>
      </c>
      <c r="S21" s="27">
        <f>Q21+R21</f>
      </c>
      <c r="T21" s="26">
        <f>SUMIFS('Détail fonctionnement'!$J$5:$J$505,'Détail fonctionnement'!$A$5:$A$505,T$2,'Détail fonctionnement'!$G$5:$G$505,"O",'Détail fonctionnement'!$B$5:$B$505,$A21)</f>
      </c>
      <c r="U21" s="27">
        <f>S21+T21</f>
      </c>
      <c r="V21" s="26">
        <f>SUMIFS('Détail fonctionnement'!$J$5:$J$505,'Détail fonctionnement'!$A$5:$A$505,V$2,'Détail fonctionnement'!$G$5:$G$505,"O",'Détail fonctionnement'!$B$5:$B$505,$A21)</f>
      </c>
      <c r="W21" s="27">
        <f>U21+V21</f>
      </c>
    </row>
    <row r="22" hidden="1" spans="3:23" x14ac:dyDescent="0.25" outlineLevel="1">
      <c r="C22" s="28" t="s">
        <v>38</v>
      </c>
      <c r="D22" s="29" t="s">
        <v>27</v>
      </c>
      <c r="F22" s="30">
        <f>M22/$E$3</f>
      </c>
      <c r="G22" s="31"/>
      <c r="H22" s="31"/>
      <c r="I22" s="31"/>
      <c r="J22" s="31"/>
      <c r="K22" s="31"/>
      <c r="M22" s="30">
        <f>'Position CI 30-09'!F12</f>
      </c>
      <c r="N22" s="32"/>
      <c r="O22" s="33"/>
      <c r="P22" s="32"/>
      <c r="Q22" s="33"/>
      <c r="R22" s="32"/>
      <c r="S22" s="33"/>
      <c r="T22" s="32"/>
      <c r="U22" s="33"/>
      <c r="V22" s="32"/>
      <c r="W22" s="33"/>
    </row>
    <row r="23" hidden="1" spans="1:23" x14ac:dyDescent="0.25" outlineLevel="1">
      <c r="A23" s="21" t="s">
        <v>39</v>
      </c>
      <c r="C23" s="22" t="s">
        <v>39</v>
      </c>
      <c r="D23" s="23"/>
      <c r="E23" s="24"/>
      <c r="F23" s="25">
        <f>M23/$E$3</f>
      </c>
      <c r="G23" s="25">
        <f>O23/$E$3</f>
      </c>
      <c r="H23" s="25">
        <f>Q23/$E$3</f>
      </c>
      <c r="I23" s="25">
        <f>S23/$E$3</f>
      </c>
      <c r="J23" s="25">
        <f>U23/$E$3</f>
      </c>
      <c r="K23" s="25">
        <f>W23/$E$3</f>
      </c>
      <c r="L23" s="24"/>
      <c r="M23" s="25">
        <f>SUM(M24:M28)</f>
      </c>
      <c r="N23" s="26">
        <f>SUMIFS('Détail fonctionnement'!$J$5:$J$505,'Détail fonctionnement'!$A$5:$A$505,N$2,'Détail fonctionnement'!$G$5:$G$505,"O",'Détail fonctionnement'!$B$5:$B$505,$A23)</f>
      </c>
      <c r="O23" s="27">
        <f>M23+N23</f>
      </c>
      <c r="P23" s="26">
        <f>SUMIFS('Détail fonctionnement'!$J$5:$J$505,'Détail fonctionnement'!$A$5:$A$505,P$2,'Détail fonctionnement'!$G$5:$G$505,"O",'Détail fonctionnement'!$B$5:$B$505,$A23)</f>
      </c>
      <c r="Q23" s="27">
        <f>O23+P23</f>
      </c>
      <c r="R23" s="26">
        <f>SUMIFS('Détail fonctionnement'!$J$5:$J$505,'Détail fonctionnement'!$A$5:$A$505,R$2,'Détail fonctionnement'!$G$5:$G$505,"O",'Détail fonctionnement'!$B$5:$B$505,$A23)</f>
      </c>
      <c r="S23" s="27">
        <f>Q23+R23</f>
      </c>
      <c r="T23" s="26">
        <f>SUMIFS('Détail fonctionnement'!$J$5:$J$505,'Détail fonctionnement'!$A$5:$A$505,T$2,'Détail fonctionnement'!$G$5:$G$505,"O",'Détail fonctionnement'!$B$5:$B$505,$A23)</f>
      </c>
      <c r="U23" s="27">
        <f>S23+T23</f>
      </c>
      <c r="V23" s="26">
        <f>SUMIFS('Détail fonctionnement'!$J$5:$J$505,'Détail fonctionnement'!$A$5:$A$505,V$2,'Détail fonctionnement'!$G$5:$G$505,"O",'Détail fonctionnement'!$B$5:$B$505,$A23)</f>
      </c>
      <c r="W23" s="27">
        <f>U23+V23</f>
      </c>
    </row>
    <row r="24" hidden="1" spans="3:23" x14ac:dyDescent="0.25" outlineLevel="1">
      <c r="C24" s="28" t="s">
        <v>40</v>
      </c>
      <c r="D24" s="29" t="s">
        <v>27</v>
      </c>
      <c r="F24" s="30">
        <f>M24/$E$3</f>
      </c>
      <c r="G24" s="31"/>
      <c r="H24" s="31"/>
      <c r="I24" s="31"/>
      <c r="J24" s="31"/>
      <c r="K24" s="31"/>
      <c r="M24" s="30">
        <f>'Position CI 30-09'!F14</f>
      </c>
      <c r="N24" s="32"/>
      <c r="O24" s="33"/>
      <c r="P24" s="32"/>
      <c r="Q24" s="33"/>
      <c r="R24" s="32"/>
      <c r="S24" s="33"/>
      <c r="T24" s="32"/>
      <c r="U24" s="33"/>
      <c r="V24" s="32"/>
      <c r="W24" s="33"/>
    </row>
    <row r="25" hidden="1" spans="3:23" x14ac:dyDescent="0.25" outlineLevel="1">
      <c r="C25" s="28" t="s">
        <v>41</v>
      </c>
      <c r="D25" s="29" t="s">
        <v>27</v>
      </c>
      <c r="F25" s="30">
        <f>M25/$E$3</f>
      </c>
      <c r="G25" s="31"/>
      <c r="H25" s="31"/>
      <c r="I25" s="31"/>
      <c r="J25" s="31"/>
      <c r="K25" s="31"/>
      <c r="M25" s="30">
        <f>'Position CI 30-09'!F15</f>
      </c>
      <c r="N25" s="32"/>
      <c r="O25" s="33"/>
      <c r="P25" s="32"/>
      <c r="Q25" s="33"/>
      <c r="R25" s="32"/>
      <c r="S25" s="33"/>
      <c r="T25" s="32"/>
      <c r="U25" s="33"/>
      <c r="V25" s="32"/>
      <c r="W25" s="33"/>
    </row>
    <row r="26" hidden="1" spans="3:23" x14ac:dyDescent="0.25" outlineLevel="1">
      <c r="C26" s="28" t="s">
        <v>42</v>
      </c>
      <c r="D26" s="29" t="s">
        <v>43</v>
      </c>
      <c r="F26" s="30">
        <f>M26/$E$3</f>
      </c>
      <c r="G26" s="31"/>
      <c r="H26" s="31"/>
      <c r="I26" s="31"/>
      <c r="J26" s="31"/>
      <c r="K26" s="31"/>
      <c r="M26" s="30">
        <f>'Position CI 30-09'!F16</f>
      </c>
      <c r="N26" s="32"/>
      <c r="O26" s="33"/>
      <c r="P26" s="32"/>
      <c r="Q26" s="33"/>
      <c r="R26" s="32"/>
      <c r="S26" s="33"/>
      <c r="T26" s="32"/>
      <c r="U26" s="33"/>
      <c r="V26" s="32"/>
      <c r="W26" s="33"/>
    </row>
    <row r="27" hidden="1" spans="3:23" x14ac:dyDescent="0.25" outlineLevel="1">
      <c r="C27" s="28" t="s">
        <v>44</v>
      </c>
      <c r="D27" s="29" t="s">
        <v>43</v>
      </c>
      <c r="F27" s="30">
        <f>M27/$E$3</f>
      </c>
      <c r="G27" s="31"/>
      <c r="H27" s="31"/>
      <c r="I27" s="31"/>
      <c r="J27" s="31"/>
      <c r="K27" s="31"/>
      <c r="M27" s="30">
        <f>'Position CI 30-09'!F17</f>
      </c>
      <c r="N27" s="32"/>
      <c r="O27" s="33"/>
      <c r="P27" s="32"/>
      <c r="Q27" s="33"/>
      <c r="R27" s="32"/>
      <c r="S27" s="33"/>
      <c r="T27" s="32"/>
      <c r="U27" s="33"/>
      <c r="V27" s="32"/>
      <c r="W27" s="33"/>
    </row>
    <row r="28" hidden="1" spans="3:23" x14ac:dyDescent="0.25" outlineLevel="1">
      <c r="C28" s="28" t="s">
        <v>45</v>
      </c>
      <c r="D28" s="29" t="s">
        <v>27</v>
      </c>
      <c r="F28" s="30">
        <f>M28/$E$3</f>
      </c>
      <c r="G28" s="31"/>
      <c r="H28" s="31"/>
      <c r="I28" s="31"/>
      <c r="J28" s="31"/>
      <c r="K28" s="31"/>
      <c r="M28" s="30">
        <f>'Position CI 30-09'!F18</f>
      </c>
      <c r="N28" s="32"/>
      <c r="O28" s="33"/>
      <c r="P28" s="32"/>
      <c r="Q28" s="33"/>
      <c r="R28" s="32"/>
      <c r="S28" s="33"/>
      <c r="T28" s="32"/>
      <c r="U28" s="33"/>
      <c r="V28" s="32"/>
      <c r="W28" s="33"/>
    </row>
    <row r="29" hidden="1" spans="1:23" x14ac:dyDescent="0.25" outlineLevel="1">
      <c r="A29" s="21" t="s">
        <v>46</v>
      </c>
      <c r="C29" s="22" t="s">
        <v>47</v>
      </c>
      <c r="D29" s="23"/>
      <c r="E29" s="24"/>
      <c r="F29" s="25">
        <f>M29/$E$3</f>
      </c>
      <c r="G29" s="25">
        <f>O29/$E$3</f>
      </c>
      <c r="H29" s="25">
        <f>Q29/$E$3</f>
      </c>
      <c r="I29" s="25">
        <f>S29/$E$3</f>
      </c>
      <c r="J29" s="25">
        <f>U29/$E$3</f>
      </c>
      <c r="K29" s="25">
        <f>W29/$E$3</f>
      </c>
      <c r="L29" s="24"/>
      <c r="M29" s="25">
        <f>SUM(M30:M31)</f>
      </c>
      <c r="N29" s="26">
        <f>SUMIFS('Détail fonctionnement'!$J$5:$J$505,'Détail fonctionnement'!$A$5:$A$505,N$2,'Détail fonctionnement'!$G$5:$G$505,"O",'Détail fonctionnement'!$B$5:$B$505,$A29)</f>
      </c>
      <c r="O29" s="27">
        <f>M29+N29</f>
      </c>
      <c r="P29" s="26">
        <f>SUMIFS('Détail fonctionnement'!$J$5:$J$505,'Détail fonctionnement'!$A$5:$A$505,P$2,'Détail fonctionnement'!$G$5:$G$505,"O",'Détail fonctionnement'!$B$5:$B$505,$A29)</f>
      </c>
      <c r="Q29" s="27">
        <f>O29+P29</f>
      </c>
      <c r="R29" s="26">
        <f>SUMIFS('Détail fonctionnement'!$J$5:$J$505,'Détail fonctionnement'!$A$5:$A$505,R$2,'Détail fonctionnement'!$G$5:$G$505,"O",'Détail fonctionnement'!$B$5:$B$505,$A29)</f>
      </c>
      <c r="S29" s="27">
        <f>Q29+R29</f>
      </c>
      <c r="T29" s="26">
        <f>SUMIFS('Détail fonctionnement'!$J$5:$J$505,'Détail fonctionnement'!$A$5:$A$505,T$2,'Détail fonctionnement'!$G$5:$G$505,"O",'Détail fonctionnement'!$B$5:$B$505,$A29)</f>
      </c>
      <c r="U29" s="27">
        <f>S29+T29</f>
      </c>
      <c r="V29" s="26">
        <f>SUMIFS('Détail fonctionnement'!$J$5:$J$505,'Détail fonctionnement'!$A$5:$A$505,V$2,'Détail fonctionnement'!$G$5:$G$505,"O",'Détail fonctionnement'!$B$5:$B$505,$A29)</f>
      </c>
      <c r="W29" s="27">
        <f>U29+V29</f>
      </c>
    </row>
    <row r="30" hidden="1" spans="3:23" x14ac:dyDescent="0.25" outlineLevel="1">
      <c r="C30" s="28" t="s">
        <v>48</v>
      </c>
      <c r="D30" s="29" t="s">
        <v>27</v>
      </c>
      <c r="F30" s="30">
        <f>M30/$E$3</f>
      </c>
      <c r="G30" s="31"/>
      <c r="H30" s="31"/>
      <c r="I30" s="31"/>
      <c r="J30" s="31"/>
      <c r="K30" s="31"/>
      <c r="M30" s="30">
        <f>'Position CI 30-09'!F19</f>
      </c>
      <c r="N30" s="32"/>
      <c r="O30" s="33"/>
      <c r="P30" s="32"/>
      <c r="Q30" s="33"/>
      <c r="R30" s="32"/>
      <c r="S30" s="33"/>
      <c r="T30" s="32"/>
      <c r="U30" s="33"/>
      <c r="V30" s="32"/>
      <c r="W30" s="33"/>
    </row>
    <row r="31" hidden="1" spans="3:23" x14ac:dyDescent="0.25" outlineLevel="1">
      <c r="C31" s="28" t="s">
        <v>49</v>
      </c>
      <c r="D31" s="29" t="s">
        <v>27</v>
      </c>
      <c r="F31" s="30">
        <f>M31/$E$3</f>
      </c>
      <c r="G31" s="31"/>
      <c r="H31" s="31"/>
      <c r="I31" s="31"/>
      <c r="J31" s="31"/>
      <c r="K31" s="31"/>
      <c r="M31" s="30">
        <f>'Position CI 30-09'!F20</f>
      </c>
      <c r="N31" s="32"/>
      <c r="O31" s="33"/>
      <c r="P31" s="32"/>
      <c r="Q31" s="33"/>
      <c r="R31" s="32"/>
      <c r="S31" s="33"/>
      <c r="T31" s="32"/>
      <c r="U31" s="33"/>
      <c r="V31" s="32"/>
      <c r="W31" s="33"/>
    </row>
    <row r="32" hidden="1" spans="1:23" x14ac:dyDescent="0.25" outlineLevel="1">
      <c r="A32" s="21" t="s">
        <v>50</v>
      </c>
      <c r="C32" s="22" t="s">
        <v>50</v>
      </c>
      <c r="D32" s="23"/>
      <c r="E32" s="24"/>
      <c r="F32" s="25">
        <f>M32/$E$3</f>
      </c>
      <c r="G32" s="25">
        <f>O32/$E$3</f>
      </c>
      <c r="H32" s="25">
        <f>Q32/$E$3</f>
      </c>
      <c r="I32" s="25">
        <f>S32/$E$3</f>
      </c>
      <c r="J32" s="25">
        <f>U32/$E$3</f>
      </c>
      <c r="K32" s="25">
        <f>W32/$E$3</f>
      </c>
      <c r="L32" s="24"/>
      <c r="M32" s="25">
        <f>SUM(M33:M34)</f>
      </c>
      <c r="N32" s="26">
        <f>SUMIFS('Détail fonctionnement'!$J$5:$J$505,'Détail fonctionnement'!$A$5:$A$505,N$2,'Détail fonctionnement'!$G$5:$G$505,"O",'Détail fonctionnement'!$B$5:$B$505,$A32)</f>
      </c>
      <c r="O32" s="27">
        <f>M32+N32</f>
      </c>
      <c r="P32" s="26">
        <f>SUMIFS('Détail fonctionnement'!$J$5:$J$505,'Détail fonctionnement'!$A$5:$A$505,P$2,'Détail fonctionnement'!$G$5:$G$505,"O",'Détail fonctionnement'!$B$5:$B$505,$A32)</f>
      </c>
      <c r="Q32" s="27">
        <f>O32+P32</f>
      </c>
      <c r="R32" s="26">
        <f>SUMIFS('Détail fonctionnement'!$J$5:$J$505,'Détail fonctionnement'!$A$5:$A$505,R$2,'Détail fonctionnement'!$G$5:$G$505,"O",'Détail fonctionnement'!$B$5:$B$505,$A32)</f>
      </c>
      <c r="S32" s="27">
        <f>Q32+R32</f>
      </c>
      <c r="T32" s="26">
        <f>SUMIFS('Détail fonctionnement'!$J$5:$J$505,'Détail fonctionnement'!$A$5:$A$505,T$2,'Détail fonctionnement'!$G$5:$G$505,"O",'Détail fonctionnement'!$B$5:$B$505,$A32)</f>
      </c>
      <c r="U32" s="27">
        <f>S32+T32</f>
      </c>
      <c r="V32" s="26">
        <f>SUMIFS('Détail fonctionnement'!$J$5:$J$505,'Détail fonctionnement'!$A$5:$A$505,V$2,'Détail fonctionnement'!$G$5:$G$505,"O",'Détail fonctionnement'!$B$5:$B$505,$A32)</f>
      </c>
      <c r="W32" s="27">
        <f>U32+V32</f>
      </c>
    </row>
    <row r="33" hidden="1" spans="3:23" x14ac:dyDescent="0.25" outlineLevel="1">
      <c r="C33" s="28" t="s">
        <v>51</v>
      </c>
      <c r="D33" s="29" t="s">
        <v>27</v>
      </c>
      <c r="F33" s="30">
        <f>M33/$E$3</f>
      </c>
      <c r="G33" s="31"/>
      <c r="H33" s="31"/>
      <c r="I33" s="31"/>
      <c r="J33" s="31"/>
      <c r="K33" s="31"/>
      <c r="M33" s="30">
        <f>'Position CI 30-09'!F21</f>
      </c>
      <c r="N33" s="32"/>
      <c r="O33" s="33"/>
      <c r="P33" s="32"/>
      <c r="Q33" s="33"/>
      <c r="R33" s="32"/>
      <c r="S33" s="33"/>
      <c r="T33" s="32"/>
      <c r="U33" s="33"/>
      <c r="V33" s="32"/>
      <c r="W33" s="33"/>
    </row>
    <row r="34" hidden="1" spans="3:23" x14ac:dyDescent="0.25" outlineLevel="1">
      <c r="C34" s="28" t="s">
        <v>52</v>
      </c>
      <c r="D34" s="29" t="s">
        <v>27</v>
      </c>
      <c r="F34" s="30">
        <f>M34/$E$3</f>
      </c>
      <c r="G34" s="31"/>
      <c r="H34" s="31"/>
      <c r="I34" s="31"/>
      <c r="J34" s="31"/>
      <c r="K34" s="31"/>
      <c r="M34" s="30">
        <f>'Position CI 30-09'!F22</f>
      </c>
      <c r="N34" s="32"/>
      <c r="O34" s="33"/>
      <c r="P34" s="32"/>
      <c r="Q34" s="33"/>
      <c r="R34" s="32"/>
      <c r="S34" s="33"/>
      <c r="T34" s="32"/>
      <c r="U34" s="33"/>
      <c r="V34" s="32"/>
      <c r="W34" s="33"/>
    </row>
    <row r="35" hidden="1" spans="1:23" x14ac:dyDescent="0.25" outlineLevel="1">
      <c r="A35" s="21" t="s">
        <v>53</v>
      </c>
      <c r="C35" s="22" t="s">
        <v>53</v>
      </c>
      <c r="D35" s="23"/>
      <c r="E35" s="24"/>
      <c r="F35" s="25">
        <f>M35/$E$3</f>
      </c>
      <c r="G35" s="25">
        <f>O35/$E$3</f>
      </c>
      <c r="H35" s="25">
        <f>Q35/$E$3</f>
      </c>
      <c r="I35" s="25">
        <f>S35/$E$3</f>
      </c>
      <c r="J35" s="25">
        <f>U35/$E$3</f>
      </c>
      <c r="K35" s="25">
        <f>W35/$E$3</f>
      </c>
      <c r="L35" s="24"/>
      <c r="M35" s="25">
        <f>SUM(M36:M38)</f>
      </c>
      <c r="N35" s="26">
        <f>SUMIFS('Détail fonctionnement'!$J$5:$J$505,'Détail fonctionnement'!$A$5:$A$505,N$2,'Détail fonctionnement'!$G$5:$G$505,"O",'Détail fonctionnement'!$B$5:$B$505,$A35)</f>
      </c>
      <c r="O35" s="27">
        <f>M35+N35</f>
      </c>
      <c r="P35" s="26">
        <f>SUMIFS('Détail fonctionnement'!$J$5:$J$505,'Détail fonctionnement'!$A$5:$A$505,P$2,'Détail fonctionnement'!$G$5:$G$505,"O",'Détail fonctionnement'!$B$5:$B$505,$A35)</f>
      </c>
      <c r="Q35" s="27">
        <f>O35+P35</f>
      </c>
      <c r="R35" s="26">
        <f>SUMIFS('Détail fonctionnement'!$J$5:$J$505,'Détail fonctionnement'!$A$5:$A$505,R$2,'Détail fonctionnement'!$G$5:$G$505,"O",'Détail fonctionnement'!$B$5:$B$505,$A35)</f>
      </c>
      <c r="S35" s="27">
        <f>Q35+R35</f>
      </c>
      <c r="T35" s="26">
        <f>SUMIFS('Détail fonctionnement'!$J$5:$J$505,'Détail fonctionnement'!$A$5:$A$505,T$2,'Détail fonctionnement'!$G$5:$G$505,"O",'Détail fonctionnement'!$B$5:$B$505,$A35)</f>
      </c>
      <c r="U35" s="27">
        <f>S35+T35</f>
      </c>
      <c r="V35" s="26">
        <f>SUMIFS('Détail fonctionnement'!$J$5:$J$505,'Détail fonctionnement'!$A$5:$A$505,V$2,'Détail fonctionnement'!$G$5:$G$505,"O",'Détail fonctionnement'!$B$5:$B$505,$A35)</f>
      </c>
      <c r="W35" s="27">
        <f>U35+V35</f>
      </c>
    </row>
    <row r="36" hidden="1" spans="3:23" x14ac:dyDescent="0.25" outlineLevel="1">
      <c r="C36" s="28" t="s">
        <v>54</v>
      </c>
      <c r="D36" s="29" t="s">
        <v>27</v>
      </c>
      <c r="F36" s="30">
        <f>M36/$E$3</f>
      </c>
      <c r="G36" s="31"/>
      <c r="H36" s="31"/>
      <c r="I36" s="31"/>
      <c r="J36" s="31"/>
      <c r="K36" s="31"/>
      <c r="M36" s="30">
        <f>'Position CI 30-09'!F23</f>
      </c>
      <c r="N36" s="32"/>
      <c r="O36" s="33"/>
      <c r="P36" s="32"/>
      <c r="Q36" s="33"/>
      <c r="R36" s="32"/>
      <c r="S36" s="33"/>
      <c r="T36" s="32"/>
      <c r="U36" s="33"/>
      <c r="V36" s="32"/>
      <c r="W36" s="33"/>
    </row>
    <row r="37" hidden="1" spans="3:23" x14ac:dyDescent="0.25" outlineLevel="1">
      <c r="C37" s="28" t="s">
        <v>55</v>
      </c>
      <c r="D37" s="29" t="s">
        <v>27</v>
      </c>
      <c r="F37" s="30">
        <f>M37/$E$3</f>
      </c>
      <c r="G37" s="31"/>
      <c r="H37" s="31"/>
      <c r="I37" s="31"/>
      <c r="J37" s="31"/>
      <c r="K37" s="31"/>
      <c r="M37" s="30">
        <f>'Position CI 30-09'!F24</f>
      </c>
      <c r="N37" s="32"/>
      <c r="O37" s="33"/>
      <c r="P37" s="32"/>
      <c r="Q37" s="33"/>
      <c r="R37" s="32"/>
      <c r="S37" s="33"/>
      <c r="T37" s="32"/>
      <c r="U37" s="33"/>
      <c r="V37" s="32"/>
      <c r="W37" s="33"/>
    </row>
    <row r="38" hidden="1" spans="3:23" x14ac:dyDescent="0.25" outlineLevel="1">
      <c r="C38" s="28" t="s">
        <v>56</v>
      </c>
      <c r="D38" s="29" t="s">
        <v>27</v>
      </c>
      <c r="F38" s="30">
        <f>M38/$E$3</f>
      </c>
      <c r="G38" s="31"/>
      <c r="H38" s="31"/>
      <c r="I38" s="31"/>
      <c r="J38" s="31"/>
      <c r="K38" s="31"/>
      <c r="M38" s="30">
        <f>'Position CI 30-09'!F25</f>
      </c>
      <c r="N38" s="32"/>
      <c r="O38" s="33"/>
      <c r="P38" s="32"/>
      <c r="Q38" s="33"/>
      <c r="R38" s="32"/>
      <c r="S38" s="33"/>
      <c r="T38" s="32"/>
      <c r="U38" s="33"/>
      <c r="V38" s="32"/>
      <c r="W38" s="33"/>
    </row>
    <row r="39" hidden="1" spans="1:23" x14ac:dyDescent="0.25" outlineLevel="1">
      <c r="A39" s="21" t="s">
        <v>57</v>
      </c>
      <c r="C39" s="22" t="s">
        <v>57</v>
      </c>
      <c r="D39" s="23"/>
      <c r="E39" s="24"/>
      <c r="F39" s="25">
        <f>M39/$E$3</f>
      </c>
      <c r="G39" s="25">
        <f>O39/$E$3</f>
      </c>
      <c r="H39" s="25">
        <f>Q39/$E$3</f>
      </c>
      <c r="I39" s="25">
        <f>S39/$E$3</f>
      </c>
      <c r="J39" s="25">
        <f>U39/$E$3</f>
      </c>
      <c r="K39" s="25">
        <f>W39/$E$3</f>
      </c>
      <c r="L39" s="24"/>
      <c r="M39" s="25">
        <f>SUM(M40:M40)</f>
      </c>
      <c r="N39" s="26">
        <f>SUMIFS('Détail fonctionnement'!$J$5:$J$505,'Détail fonctionnement'!$A$5:$A$505,N$2,'Détail fonctionnement'!$G$5:$G$505,"O",'Détail fonctionnement'!$B$5:$B$505,$A39)</f>
      </c>
      <c r="O39" s="27">
        <f>M39+N39</f>
      </c>
      <c r="P39" s="26">
        <f>SUMIFS('Détail fonctionnement'!$J$5:$J$505,'Détail fonctionnement'!$A$5:$A$505,P$2,'Détail fonctionnement'!$G$5:$G$505,"O",'Détail fonctionnement'!$B$5:$B$505,$A39)</f>
      </c>
      <c r="Q39" s="27">
        <f>O39+P39</f>
      </c>
      <c r="R39" s="26">
        <f>SUMIFS('Détail fonctionnement'!$J$5:$J$505,'Détail fonctionnement'!$A$5:$A$505,R$2,'Détail fonctionnement'!$G$5:$G$505,"O",'Détail fonctionnement'!$B$5:$B$505,$A39)</f>
      </c>
      <c r="S39" s="27">
        <f>Q39+R39</f>
      </c>
      <c r="T39" s="26">
        <f>SUMIFS('Détail fonctionnement'!$J$5:$J$505,'Détail fonctionnement'!$A$5:$A$505,T$2,'Détail fonctionnement'!$G$5:$G$505,"O",'Détail fonctionnement'!$B$5:$B$505,$A39)</f>
      </c>
      <c r="U39" s="27">
        <f>S39+T39</f>
      </c>
      <c r="V39" s="26">
        <f>SUMIFS('Détail fonctionnement'!$J$5:$J$505,'Détail fonctionnement'!$A$5:$A$505,V$2,'Détail fonctionnement'!$G$5:$G$505,"O",'Détail fonctionnement'!$B$5:$B$505,$A39)</f>
      </c>
      <c r="W39" s="27">
        <f>U39+V39</f>
      </c>
    </row>
    <row r="40" hidden="1" spans="3:23" x14ac:dyDescent="0.25" outlineLevel="1">
      <c r="C40" s="28" t="s">
        <v>58</v>
      </c>
      <c r="D40" s="29" t="s">
        <v>27</v>
      </c>
      <c r="F40" s="30">
        <f>M40/$E$3</f>
      </c>
      <c r="G40" s="31"/>
      <c r="H40" s="31"/>
      <c r="I40" s="31"/>
      <c r="J40" s="31"/>
      <c r="K40" s="31"/>
      <c r="M40" s="30">
        <f>'Position CI 30-09'!F26</f>
      </c>
      <c r="N40" s="32"/>
      <c r="O40" s="33"/>
      <c r="P40" s="32"/>
      <c r="Q40" s="33"/>
      <c r="R40" s="32"/>
      <c r="S40" s="33"/>
      <c r="T40" s="32"/>
      <c r="U40" s="33"/>
      <c r="V40" s="32"/>
      <c r="W40" s="33"/>
    </row>
    <row r="41" hidden="1" spans="1:23" x14ac:dyDescent="0.25" outlineLevel="1">
      <c r="A41" s="21" t="s">
        <v>59</v>
      </c>
      <c r="C41" s="22" t="s">
        <v>59</v>
      </c>
      <c r="D41" s="23"/>
      <c r="E41" s="24"/>
      <c r="F41" s="25">
        <f>M41/$E$3</f>
      </c>
      <c r="G41" s="25">
        <f>O41/$E$3</f>
      </c>
      <c r="H41" s="25">
        <f>Q41/$E$3</f>
      </c>
      <c r="I41" s="25">
        <f>S41/$E$3</f>
      </c>
      <c r="J41" s="25">
        <f>U41/$E$3</f>
      </c>
      <c r="K41" s="25">
        <f>W41/$E$3</f>
      </c>
      <c r="L41" s="24"/>
      <c r="M41" s="25">
        <f>SUM(M42:M42)</f>
      </c>
      <c r="N41" s="26">
        <f>SUMIFS('Détail fonctionnement'!$J$5:$J$505,'Détail fonctionnement'!$A$5:$A$505,N$2,'Détail fonctionnement'!$G$5:$G$505,"O",'Détail fonctionnement'!$B$5:$B$505,$A41)</f>
      </c>
      <c r="O41" s="27">
        <f>M41+N41</f>
      </c>
      <c r="P41" s="26">
        <f>SUMIFS('Détail fonctionnement'!$J$5:$J$505,'Détail fonctionnement'!$A$5:$A$505,P$2,'Détail fonctionnement'!$G$5:$G$505,"O",'Détail fonctionnement'!$B$5:$B$505,$A41)</f>
      </c>
      <c r="Q41" s="27">
        <f>O41+P41</f>
      </c>
      <c r="R41" s="26">
        <f>SUMIFS('Détail fonctionnement'!$J$5:$J$505,'Détail fonctionnement'!$A$5:$A$505,R$2,'Détail fonctionnement'!$G$5:$G$505,"O",'Détail fonctionnement'!$B$5:$B$505,$A41)</f>
      </c>
      <c r="S41" s="27">
        <f>Q41+R41</f>
      </c>
      <c r="T41" s="26">
        <f>SUMIFS('Détail fonctionnement'!$J$5:$J$505,'Détail fonctionnement'!$A$5:$A$505,T$2,'Détail fonctionnement'!$G$5:$G$505,"O",'Détail fonctionnement'!$B$5:$B$505,$A41)</f>
      </c>
      <c r="U41" s="27">
        <f>S41+T41</f>
      </c>
      <c r="V41" s="26">
        <f>SUMIFS('Détail fonctionnement'!$J$5:$J$505,'Détail fonctionnement'!$A$5:$A$505,V$2,'Détail fonctionnement'!$G$5:$G$505,"O",'Détail fonctionnement'!$B$5:$B$505,$A41)</f>
      </c>
      <c r="W41" s="27">
        <f>U41+V41</f>
      </c>
    </row>
    <row r="42" hidden="1" spans="3:23" x14ac:dyDescent="0.25" outlineLevel="1">
      <c r="C42" s="28" t="s">
        <v>60</v>
      </c>
      <c r="D42" s="29" t="s">
        <v>27</v>
      </c>
      <c r="F42" s="30">
        <f>M42/$E$3</f>
      </c>
      <c r="G42" s="31"/>
      <c r="H42" s="31"/>
      <c r="I42" s="31"/>
      <c r="J42" s="31"/>
      <c r="K42" s="31"/>
      <c r="M42" s="30">
        <f>'Position CI 30-09'!F27</f>
      </c>
      <c r="N42" s="32"/>
      <c r="O42" s="33"/>
      <c r="P42" s="32"/>
      <c r="Q42" s="33"/>
      <c r="R42" s="32"/>
      <c r="S42" s="33"/>
      <c r="T42" s="32"/>
      <c r="U42" s="33"/>
      <c r="V42" s="32"/>
      <c r="W42" s="33"/>
    </row>
    <row r="43" hidden="1" spans="1:23" x14ac:dyDescent="0.25" outlineLevel="1">
      <c r="A43" s="21" t="s">
        <v>61</v>
      </c>
      <c r="C43" s="22" t="s">
        <v>61</v>
      </c>
      <c r="D43" s="23"/>
      <c r="E43" s="24"/>
      <c r="F43" s="25">
        <f>M43/$E$3</f>
      </c>
      <c r="G43" s="25">
        <f>O43/$E$3</f>
      </c>
      <c r="H43" s="25">
        <f>Q43/$E$3</f>
      </c>
      <c r="I43" s="25">
        <f>S43/$E$3</f>
      </c>
      <c r="J43" s="25">
        <f>U43/$E$3</f>
      </c>
      <c r="K43" s="25">
        <f>W43/$E$3</f>
      </c>
      <c r="L43" s="24"/>
      <c r="M43" s="25">
        <v>0</v>
      </c>
      <c r="N43" s="26">
        <f>SUMIFS('Détail fonctionnement'!$J$5:$J$505,'Détail fonctionnement'!$A$5:$A$505,N$2,'Détail fonctionnement'!$G$5:$G$505,"O",'Détail fonctionnement'!$B$5:$B$505,$A43)</f>
      </c>
      <c r="O43" s="27">
        <f>M43+N43</f>
      </c>
      <c r="P43" s="26">
        <f>SUMIFS('Détail fonctionnement'!$J$5:$J$505,'Détail fonctionnement'!$A$5:$A$505,P$2,'Détail fonctionnement'!$G$5:$G$505,"O",'Détail fonctionnement'!$B$5:$B$505,$A43)</f>
      </c>
      <c r="Q43" s="27">
        <f>O43+P43</f>
      </c>
      <c r="R43" s="26">
        <f>SUMIFS('Détail fonctionnement'!$J$5:$J$505,'Détail fonctionnement'!$A$5:$A$505,R$2,'Détail fonctionnement'!$G$5:$G$505,"O",'Détail fonctionnement'!$B$5:$B$505,$A43)</f>
      </c>
      <c r="S43" s="27">
        <f>Q43+R43</f>
      </c>
      <c r="T43" s="26">
        <f>SUMIFS('Détail fonctionnement'!$J$5:$J$505,'Détail fonctionnement'!$A$5:$A$505,T$2,'Détail fonctionnement'!$G$5:$G$505,"O",'Détail fonctionnement'!$B$5:$B$505,$A43)</f>
      </c>
      <c r="U43" s="27">
        <f>S43+T43</f>
      </c>
      <c r="V43" s="26">
        <f>SUMIFS('Détail fonctionnement'!$J$5:$J$505,'Détail fonctionnement'!$A$5:$A$505,V$2,'Détail fonctionnement'!$G$5:$G$505,"O",'Détail fonctionnement'!$B$5:$B$505,$A43)</f>
      </c>
      <c r="W43" s="27">
        <f>U43+V43</f>
      </c>
    </row>
    <row r="44" hidden="1" spans="3:23" x14ac:dyDescent="0.25" outlineLevel="1">
      <c r="C44" s="34" t="s">
        <v>62</v>
      </c>
      <c r="D44" s="35"/>
      <c r="F44" s="36">
        <f>F11+F15+F18+F21+F23+F29+F32+F35+F39+F41+F43</f>
      </c>
      <c r="G44" s="36">
        <f>G11+G15+G18+G21+G23+G29+G32+G35+G39+G41+G43</f>
      </c>
      <c r="H44" s="36">
        <f>H11+H15+H18+H21+H23+H29+H32+H35+H39+H41+H43</f>
      </c>
      <c r="I44" s="36">
        <f>I11+I15+I18+I21+I23+I29+I32+I35+I39+I41+I43</f>
      </c>
      <c r="J44" s="36">
        <f>J11+J15+J18+J21+J23+J29+J32+J35+J39+J41+J43</f>
      </c>
      <c r="K44" s="36">
        <f>K11+K15+K18+K21+K23+K29+K32+K35+K39+K41+K43</f>
      </c>
      <c r="M44" s="36">
        <f>M11+M15+M18+M21+M23+M29+M32+M35+M39+M41+M43</f>
      </c>
      <c r="N44" s="37">
        <f>N11+N15+N18+N21+N23+N29+N32+N35+N39+N41+N43</f>
      </c>
      <c r="O44" s="38">
        <f>O11+O15+O18+O21+O23+O29+O32+O35+O39+O41+O43</f>
      </c>
      <c r="P44" s="37">
        <f>P11+P15+P18+P21+P23+P29+P32+P35+P39+P41+P43</f>
      </c>
      <c r="Q44" s="38">
        <f>Q11+Q15+Q18+Q21+Q23+Q29+Q32+Q35+Q39+Q41+Q43</f>
      </c>
      <c r="R44" s="37">
        <f>R11+R15+R18+R21+R23+R29+R32+R35+R39+R41+R43</f>
      </c>
      <c r="S44" s="38">
        <f>S11+S15+S18+S21+S23+S29+S32+S35+S39+S41+S43</f>
      </c>
      <c r="T44" s="37">
        <f>T11+T15+T18+T21+T23+T29+T32+T35+T39+T41+T43</f>
      </c>
      <c r="U44" s="38">
        <f>U11+U15+U18+U21+U23+U29+U32+U35+U39+U41+U43</f>
      </c>
      <c r="V44" s="37">
        <f>V11+V15+V18+V21+V23+V29+V32+V35+V39+V41+V43</f>
      </c>
      <c r="W44" s="38">
        <f>W11+W15+W18+W21+W23+W29+W32+W35+W39+W41+W43</f>
      </c>
    </row>
    <row r="45" hidden="1" outlineLevel="1"/>
    <row r="46" hidden="1" spans="3:3" x14ac:dyDescent="0.25" outlineLevel="1">
      <c r="C46" s="2" t="s">
        <v>63</v>
      </c>
    </row>
    <row r="47" hidden="1" spans="1:23" x14ac:dyDescent="0.25" outlineLevel="1">
      <c r="A47" s="21" t="s">
        <v>64</v>
      </c>
      <c r="C47" s="39" t="s">
        <v>65</v>
      </c>
      <c r="D47" s="40" t="s">
        <v>66</v>
      </c>
      <c r="F47" s="41">
        <f>M47/$E$3</f>
      </c>
      <c r="G47" s="41">
        <f>O47/$E$3</f>
      </c>
      <c r="H47" s="41">
        <f>Q47/$E$3</f>
      </c>
      <c r="I47" s="41">
        <f>S47/$E$3</f>
      </c>
      <c r="J47" s="41">
        <f>U47/$E$3</f>
      </c>
      <c r="K47" s="41">
        <f>W47/$E$3</f>
      </c>
      <c r="M47" s="41">
        <f>'Position CI 30-09'!F13</f>
      </c>
      <c r="N47" s="26">
        <f>SUMIFS('Détail projets &amp; dettes'!$M$5:$M$500,'Détail projets &amp; dettes'!$A$5:$A$500,N$2,'Détail projets &amp; dettes'!$J$5:$J$500,"O",'Détail projets &amp; dettes'!$B$5:$B$500,$A47)</f>
      </c>
      <c r="O47" s="27">
        <f>M47+N47</f>
      </c>
      <c r="P47" s="26">
        <f>SUMIFS('Détail projets &amp; dettes'!$M$5:$M$500,'Détail projets &amp; dettes'!$A$5:$A$500,P$2,'Détail projets &amp; dettes'!$J$5:$J$500,"O",'Détail projets &amp; dettes'!$B$5:$B$500,$A47)</f>
      </c>
      <c r="Q47" s="27">
        <f>O47+P47</f>
      </c>
      <c r="R47" s="26">
        <f>SUMIFS('Détail projets &amp; dettes'!$M$5:$M$500,'Détail projets &amp; dettes'!$A$5:$A$500,R$2,'Détail projets &amp; dettes'!$J$5:$J$500,"O",'Détail projets &amp; dettes'!$B$5:$B$500,$A47)</f>
      </c>
      <c r="S47" s="27">
        <f>Q47+R47</f>
      </c>
      <c r="T47" s="26">
        <f>SUMIFS('Détail projets &amp; dettes'!$M$5:$M$500,'Détail projets &amp; dettes'!$A$5:$A$500,T$2,'Détail projets &amp; dettes'!$J$5:$J$500,"O",'Détail projets &amp; dettes'!$B$5:$B$500,$A47)</f>
      </c>
      <c r="U47" s="27">
        <f>S47+T47</f>
      </c>
      <c r="V47" s="26">
        <f>SUMIFS('Détail projets &amp; dettes'!$M$5:$M$500,'Détail projets &amp; dettes'!$A$5:$A$500,V$2,'Détail projets &amp; dettes'!$J$5:$J$500,"O",'Détail projets &amp; dettes'!$B$5:$B$500,$A47)</f>
      </c>
      <c r="W47" s="27">
        <f>U47+V47</f>
      </c>
    </row>
    <row r="48" hidden="1" spans="1:23" x14ac:dyDescent="0.25" outlineLevel="1">
      <c r="A48" s="21" t="s">
        <v>67</v>
      </c>
      <c r="C48" s="39" t="s">
        <v>68</v>
      </c>
      <c r="D48" s="40" t="s">
        <v>69</v>
      </c>
      <c r="F48" s="41">
        <f>M48/$E$3</f>
      </c>
      <c r="G48" s="41">
        <f>O48/$E$3</f>
      </c>
      <c r="H48" s="41">
        <f>Q48/$E$3</f>
      </c>
      <c r="I48" s="41">
        <f>S48/$E$3</f>
      </c>
      <c r="J48" s="41">
        <f>U48/$E$3</f>
      </c>
      <c r="K48" s="41">
        <f>W48/$E$3</f>
      </c>
      <c r="M48" s="41">
        <f>'Position CI 30-09'!F28</f>
      </c>
      <c r="N48" s="26">
        <f>SUMIFS('Détail projets &amp; dettes'!$M$5:$M$500,'Détail projets &amp; dettes'!$A$5:$A$500,N$2,'Détail projets &amp; dettes'!$J$5:$J$500,"O",'Détail projets &amp; dettes'!$B$5:$B$500,$A48)</f>
      </c>
      <c r="O48" s="27">
        <f>M48+N48</f>
      </c>
      <c r="P48" s="26">
        <f>SUMIFS('Détail projets &amp; dettes'!$M$5:$M$500,'Détail projets &amp; dettes'!$A$5:$A$500,P$2,'Détail projets &amp; dettes'!$J$5:$J$500,"O",'Détail projets &amp; dettes'!$B$5:$B$500,$A48)</f>
      </c>
      <c r="Q48" s="27">
        <f>O48+P48</f>
      </c>
      <c r="R48" s="26">
        <f>SUMIFS('Détail projets &amp; dettes'!$M$5:$M$500,'Détail projets &amp; dettes'!$A$5:$A$500,R$2,'Détail projets &amp; dettes'!$J$5:$J$500,"O",'Détail projets &amp; dettes'!$B$5:$B$500,$A48)</f>
      </c>
      <c r="S48" s="27">
        <f>Q48+R48</f>
      </c>
      <c r="T48" s="26">
        <f>SUMIFS('Détail projets &amp; dettes'!$M$5:$M$500,'Détail projets &amp; dettes'!$A$5:$A$500,T$2,'Détail projets &amp; dettes'!$J$5:$J$500,"O",'Détail projets &amp; dettes'!$B$5:$B$500,$A48)</f>
      </c>
      <c r="U48" s="27">
        <f>S48+T48</f>
      </c>
      <c r="V48" s="26">
        <f>SUMIFS('Détail projets &amp; dettes'!$M$5:$M$500,'Détail projets &amp; dettes'!$A$5:$A$500,V$2,'Détail projets &amp; dettes'!$J$5:$J$500,"O",'Détail projets &amp; dettes'!$B$5:$B$500,$A48)</f>
      </c>
      <c r="W48" s="27">
        <f>U48+V48</f>
      </c>
    </row>
    <row r="49" hidden="1" spans="1:23" x14ac:dyDescent="0.25" outlineLevel="1">
      <c r="A49" s="21" t="s">
        <v>70</v>
      </c>
      <c r="C49" s="39" t="s">
        <v>71</v>
      </c>
      <c r="D49" s="40" t="s">
        <v>69</v>
      </c>
      <c r="F49" s="41">
        <f>M49/$E$3</f>
      </c>
      <c r="G49" s="41">
        <f>O49/$E$3</f>
      </c>
      <c r="H49" s="41">
        <f>Q49/$E$3</f>
      </c>
      <c r="I49" s="41">
        <f>S49/$E$3</f>
      </c>
      <c r="J49" s="41">
        <f>U49/$E$3</f>
      </c>
      <c r="K49" s="41">
        <f>W49/$E$3</f>
      </c>
      <c r="M49" s="41">
        <f>'Position CI 30-09'!F29</f>
      </c>
      <c r="N49" s="26">
        <f>SUMIFS('Détail projets &amp; dettes'!$M$5:$M$500,'Détail projets &amp; dettes'!$A$5:$A$500,N$2,'Détail projets &amp; dettes'!$J$5:$J$500,"O",'Détail projets &amp; dettes'!$B$5:$B$500,$A49)</f>
      </c>
      <c r="O49" s="27">
        <f>M49+N49</f>
      </c>
      <c r="P49" s="26">
        <f>SUMIFS('Détail projets &amp; dettes'!$M$5:$M$500,'Détail projets &amp; dettes'!$A$5:$A$500,P$2,'Détail projets &amp; dettes'!$J$5:$J$500,"O",'Détail projets &amp; dettes'!$B$5:$B$500,$A49)</f>
      </c>
      <c r="Q49" s="27">
        <f>O49+P49</f>
      </c>
      <c r="R49" s="26">
        <f>SUMIFS('Détail projets &amp; dettes'!$M$5:$M$500,'Détail projets &amp; dettes'!$A$5:$A$500,R$2,'Détail projets &amp; dettes'!$J$5:$J$500,"O",'Détail projets &amp; dettes'!$B$5:$B$500,$A49)</f>
      </c>
      <c r="S49" s="27">
        <f>Q49+R49</f>
      </c>
      <c r="T49" s="26">
        <f>SUMIFS('Détail projets &amp; dettes'!$M$5:$M$500,'Détail projets &amp; dettes'!$A$5:$A$500,T$2,'Détail projets &amp; dettes'!$J$5:$J$500,"O",'Détail projets &amp; dettes'!$B$5:$B$500,$A49)</f>
      </c>
      <c r="U49" s="27">
        <f>S49+T49</f>
      </c>
      <c r="V49" s="26">
        <f>SUMIFS('Détail projets &amp; dettes'!$M$5:$M$500,'Détail projets &amp; dettes'!$A$5:$A$500,V$2,'Détail projets &amp; dettes'!$J$5:$J$500,"O",'Détail projets &amp; dettes'!$B$5:$B$500,$A49)</f>
      </c>
      <c r="W49" s="27">
        <f>U49+V49</f>
      </c>
    </row>
    <row r="50" hidden="1" spans="1:23" x14ac:dyDescent="0.25" outlineLevel="1">
      <c r="A50" s="21" t="s">
        <v>72</v>
      </c>
      <c r="C50" s="39" t="s">
        <v>73</v>
      </c>
      <c r="D50" s="40" t="s">
        <v>74</v>
      </c>
      <c r="F50" s="41">
        <f>M50/$E$3</f>
      </c>
      <c r="G50" s="41">
        <f>O50/$E$3</f>
      </c>
      <c r="H50" s="41">
        <f>Q50/$E$3</f>
      </c>
      <c r="I50" s="41">
        <f>S50/$E$3</f>
      </c>
      <c r="J50" s="41">
        <f>U50/$E$3</f>
      </c>
      <c r="K50" s="41">
        <f>W50/$E$3</f>
      </c>
      <c r="M50" s="41">
        <f>'Position CI 30-09'!F30</f>
      </c>
      <c r="N50" s="26">
        <f>SUMIFS('Détail projets &amp; dettes'!$M$5:$M$500,'Détail projets &amp; dettes'!$A$5:$A$500,N$2,'Détail projets &amp; dettes'!$J$5:$J$500,"O",'Détail projets &amp; dettes'!$B$5:$B$500,$A50)</f>
      </c>
      <c r="O50" s="27">
        <f>M50+N50</f>
      </c>
      <c r="P50" s="26">
        <f>SUMIFS('Détail projets &amp; dettes'!$M$5:$M$500,'Détail projets &amp; dettes'!$A$5:$A$500,P$2,'Détail projets &amp; dettes'!$J$5:$J$500,"O",'Détail projets &amp; dettes'!$B$5:$B$500,$A50)</f>
      </c>
      <c r="Q50" s="27">
        <f>O50+P50</f>
      </c>
      <c r="R50" s="26">
        <f>SUMIFS('Détail projets &amp; dettes'!$M$5:$M$500,'Détail projets &amp; dettes'!$A$5:$A$500,R$2,'Détail projets &amp; dettes'!$J$5:$J$500,"O",'Détail projets &amp; dettes'!$B$5:$B$500,$A50)</f>
      </c>
      <c r="S50" s="27">
        <f>Q50+R50</f>
      </c>
      <c r="T50" s="26">
        <f>SUMIFS('Détail projets &amp; dettes'!$M$5:$M$500,'Détail projets &amp; dettes'!$A$5:$A$500,T$2,'Détail projets &amp; dettes'!$J$5:$J$500,"O",'Détail projets &amp; dettes'!$B$5:$B$500,$A50)</f>
      </c>
      <c r="U50" s="27">
        <f>S50+T50</f>
      </c>
      <c r="V50" s="26">
        <f>SUMIFS('Détail projets &amp; dettes'!$M$5:$M$500,'Détail projets &amp; dettes'!$A$5:$A$500,V$2,'Détail projets &amp; dettes'!$J$5:$J$500,"O",'Détail projets &amp; dettes'!$B$5:$B$500,$A50)</f>
      </c>
      <c r="W50" s="27">
        <f>U50+V50</f>
      </c>
    </row>
    <row r="51" hidden="1" spans="3:23" x14ac:dyDescent="0.25" outlineLevel="1">
      <c r="C51" s="34" t="s">
        <v>75</v>
      </c>
      <c r="D51" s="35"/>
      <c r="F51" s="36">
        <f>SUM(F47:F50)</f>
      </c>
      <c r="G51" s="36">
        <f>SUM(G47:G50)</f>
      </c>
      <c r="H51" s="36">
        <f>SUM(H47:H50)</f>
      </c>
      <c r="I51" s="36">
        <f>SUM(I47:I50)</f>
      </c>
      <c r="J51" s="36">
        <f>SUM(J47:J50)</f>
      </c>
      <c r="K51" s="36">
        <f>SUM(K47:K50)</f>
      </c>
      <c r="M51" s="36">
        <f>SUM(M47:M50)</f>
      </c>
      <c r="N51" s="37">
        <f>SUM(N47:N50)</f>
      </c>
      <c r="O51" s="38">
        <f>SUM(O47:O50)</f>
      </c>
      <c r="P51" s="37">
        <f>SUM(P47:P50)</f>
      </c>
      <c r="Q51" s="38">
        <f>SUM(Q47:Q50)</f>
      </c>
      <c r="R51" s="37">
        <f>SUM(R47:R50)</f>
      </c>
      <c r="S51" s="38">
        <f>SUM(S47:S50)</f>
      </c>
      <c r="T51" s="37">
        <f>SUM(T47:T50)</f>
      </c>
      <c r="U51" s="38">
        <f>SUM(U47:U50)</f>
      </c>
      <c r="V51" s="37">
        <f>SUM(V47:V50)</f>
      </c>
      <c r="W51" s="38">
        <f>SUM(W47:W50)</f>
      </c>
    </row>
    <row r="52" hidden="1" spans="3:23" x14ac:dyDescent="0.25" outlineLevel="1">
      <c r="C52" s="34" t="s">
        <v>76</v>
      </c>
      <c r="D52" s="35"/>
      <c r="F52" s="36">
        <f>F44+F51</f>
      </c>
      <c r="G52" s="36">
        <f>G44+G51</f>
      </c>
      <c r="H52" s="36">
        <f>H44+H51</f>
      </c>
      <c r="I52" s="36">
        <f>I44+I51</f>
      </c>
      <c r="J52" s="36">
        <f>J44+J51</f>
      </c>
      <c r="K52" s="36">
        <f>K44+K51</f>
      </c>
      <c r="M52" s="36">
        <f>M44+M51</f>
      </c>
      <c r="N52" s="37">
        <f>N44+N51</f>
      </c>
      <c r="O52" s="38">
        <f>O44+O51</f>
      </c>
      <c r="P52" s="37">
        <f>P44+P51</f>
      </c>
      <c r="Q52" s="38">
        <f>Q44+Q51</f>
      </c>
      <c r="R52" s="37">
        <f>R44+R51</f>
      </c>
      <c r="S52" s="38">
        <f>S44+S51</f>
      </c>
      <c r="T52" s="37">
        <f>T44+T51</f>
      </c>
      <c r="U52" s="38">
        <f>U44+U51</f>
      </c>
      <c r="V52" s="37">
        <f>V44+V51</f>
      </c>
      <c r="W52" s="38">
        <f>W44+W51</f>
      </c>
    </row>
    <row r="53" hidden="1" outlineLevel="1"/>
    <row r="54" hidden="1" spans="3:3" x14ac:dyDescent="0.25" outlineLevel="1">
      <c r="C54" s="2" t="s">
        <v>77</v>
      </c>
    </row>
    <row r="55" hidden="1" spans="1:23" x14ac:dyDescent="0.25" outlineLevel="1">
      <c r="A55" s="21" t="s">
        <v>29</v>
      </c>
      <c r="C55" s="42" t="s">
        <v>78</v>
      </c>
      <c r="D55" s="43" t="s">
        <v>79</v>
      </c>
      <c r="F55" s="44">
        <f>M55/$E$3</f>
      </c>
      <c r="G55" s="44">
        <f>O55/$E$3</f>
      </c>
      <c r="H55" s="44">
        <f>Q55/$E$3</f>
      </c>
      <c r="I55" s="44">
        <f>S55/$E$3</f>
      </c>
      <c r="J55" s="44">
        <f>U55/$E$3</f>
      </c>
      <c r="K55" s="44">
        <f>W55/$E$3</f>
      </c>
      <c r="M55" s="45">
        <f>'Position CI 30-09'!F35</f>
      </c>
      <c r="N55" s="46"/>
      <c r="O55" s="47">
        <f>M55</f>
      </c>
      <c r="P55" s="46"/>
      <c r="Q55" s="47">
        <f>O55</f>
      </c>
      <c r="R55" s="46"/>
      <c r="S55" s="47">
        <f>Q55</f>
      </c>
      <c r="T55" s="46"/>
      <c r="U55" s="47">
        <f>S55</f>
      </c>
      <c r="V55" s="46"/>
      <c r="W55" s="47">
        <f>U55</f>
      </c>
    </row>
    <row r="56" hidden="1" spans="1:23" x14ac:dyDescent="0.25" outlineLevel="1">
      <c r="A56" s="21" t="s">
        <v>29</v>
      </c>
      <c r="C56" s="42" t="s">
        <v>80</v>
      </c>
      <c r="D56" s="43" t="s">
        <v>79</v>
      </c>
      <c r="F56" s="44">
        <f>M56/$E$3</f>
      </c>
      <c r="G56" s="44">
        <f>O56/$E$3</f>
      </c>
      <c r="H56" s="44">
        <f>Q56/$E$3</f>
      </c>
      <c r="I56" s="44">
        <f>S56/$E$3</f>
      </c>
      <c r="J56" s="44">
        <f>U56/$E$3</f>
      </c>
      <c r="K56" s="44">
        <f>W56/$E$3</f>
      </c>
      <c r="M56" s="45">
        <f>'Position CI 30-09'!F36</f>
      </c>
      <c r="N56" s="46"/>
      <c r="O56" s="47">
        <f>M56</f>
      </c>
      <c r="P56" s="46"/>
      <c r="Q56" s="47">
        <f>O56</f>
      </c>
      <c r="R56" s="46"/>
      <c r="S56" s="47">
        <f>Q56</f>
      </c>
      <c r="T56" s="46"/>
      <c r="U56" s="47">
        <f>S56</f>
      </c>
      <c r="V56" s="46"/>
      <c r="W56" s="47">
        <f>U56</f>
      </c>
    </row>
    <row r="57" hidden="1" spans="1:23" x14ac:dyDescent="0.25" outlineLevel="1">
      <c r="A57" s="21" t="s">
        <v>29</v>
      </c>
      <c r="C57" s="42" t="s">
        <v>81</v>
      </c>
      <c r="D57" s="43" t="s">
        <v>79</v>
      </c>
      <c r="F57" s="44">
        <f>M57/$E$3</f>
      </c>
      <c r="G57" s="44">
        <f>O57/$E$3</f>
      </c>
      <c r="H57" s="44">
        <f>Q57/$E$3</f>
      </c>
      <c r="I57" s="44">
        <f>S57/$E$3</f>
      </c>
      <c r="J57" s="44">
        <f>U57/$E$3</f>
      </c>
      <c r="K57" s="44">
        <f>W57/$E$3</f>
      </c>
      <c r="M57" s="45">
        <f>'Position CI 30-09'!F37</f>
      </c>
      <c r="N57" s="46"/>
      <c r="O57" s="47">
        <f>M57</f>
      </c>
      <c r="P57" s="46"/>
      <c r="Q57" s="47">
        <f>O57</f>
      </c>
      <c r="R57" s="46"/>
      <c r="S57" s="47">
        <f>Q57</f>
      </c>
      <c r="T57" s="46"/>
      <c r="U57" s="47">
        <f>S57</f>
      </c>
      <c r="V57" s="46"/>
      <c r="W57" s="47">
        <f>U57</f>
      </c>
    </row>
    <row r="58" hidden="1" spans="1:23" x14ac:dyDescent="0.25" outlineLevel="1">
      <c r="A58" s="21" t="s">
        <v>36</v>
      </c>
      <c r="C58" s="42" t="s">
        <v>82</v>
      </c>
      <c r="D58" s="43" t="s">
        <v>79</v>
      </c>
      <c r="F58" s="44">
        <f>M58/$E$3</f>
      </c>
      <c r="G58" s="44">
        <f>O58/$E$3</f>
      </c>
      <c r="H58" s="44">
        <f>Q58/$E$3</f>
      </c>
      <c r="I58" s="44">
        <f>S58/$E$3</f>
      </c>
      <c r="J58" s="44">
        <f>U58/$E$3</f>
      </c>
      <c r="K58" s="44">
        <f>W58/$E$3</f>
      </c>
      <c r="M58" s="45">
        <f>'Position CI 30-09'!F38</f>
      </c>
      <c r="N58" s="46"/>
      <c r="O58" s="47">
        <f>M58</f>
      </c>
      <c r="P58" s="46"/>
      <c r="Q58" s="47">
        <f>O58</f>
      </c>
      <c r="R58" s="46"/>
      <c r="S58" s="47">
        <f>Q58</f>
      </c>
      <c r="T58" s="46"/>
      <c r="U58" s="47">
        <f>S58</f>
      </c>
      <c r="V58" s="46"/>
      <c r="W58" s="47">
        <f>U58</f>
      </c>
    </row>
    <row r="59" hidden="1" spans="1:23" x14ac:dyDescent="0.25" outlineLevel="1">
      <c r="A59" s="21" t="s">
        <v>36</v>
      </c>
      <c r="C59" s="42" t="s">
        <v>83</v>
      </c>
      <c r="D59" s="43" t="s">
        <v>79</v>
      </c>
      <c r="F59" s="44">
        <f>M59/$E$3</f>
      </c>
      <c r="G59" s="44">
        <f>O59/$E$3</f>
      </c>
      <c r="H59" s="44">
        <f>Q59/$E$3</f>
      </c>
      <c r="I59" s="44">
        <f>S59/$E$3</f>
      </c>
      <c r="J59" s="44">
        <f>U59/$E$3</f>
      </c>
      <c r="K59" s="44">
        <f>W59/$E$3</f>
      </c>
      <c r="M59" s="45">
        <f>'Position CI 30-09'!F39</f>
      </c>
      <c r="N59" s="46"/>
      <c r="O59" s="47">
        <f>M59</f>
      </c>
      <c r="P59" s="46"/>
      <c r="Q59" s="47">
        <f>O59</f>
      </c>
      <c r="R59" s="46"/>
      <c r="S59" s="47">
        <f>Q59</f>
      </c>
      <c r="T59" s="46"/>
      <c r="U59" s="47">
        <f>S59</f>
      </c>
      <c r="V59" s="46"/>
      <c r="W59" s="47">
        <f>U59</f>
      </c>
    </row>
    <row r="60" hidden="1" spans="3:3" x14ac:dyDescent="0.25" outlineLevel="1">
      <c r="C60" s="48" t="s">
        <v>84</v>
      </c>
    </row>
    <row r="61" collapsed="1"/>
    <row r="62" spans="3:3" x14ac:dyDescent="0.25">
      <c r="C62" s="2" t="s">
        <v>85</v>
      </c>
    </row>
    <row r="63" spans="3:23" x14ac:dyDescent="0.25">
      <c r="C63" s="49" t="s">
        <v>86</v>
      </c>
      <c r="D63" s="50"/>
      <c r="F63" s="50"/>
      <c r="G63" s="51">
        <f>N63/$E$3</f>
      </c>
      <c r="H63" s="51">
        <f>P63/$E$3</f>
      </c>
      <c r="I63" s="51">
        <f>R63/$E$3</f>
      </c>
      <c r="J63" s="51">
        <f>T63/$E$3</f>
      </c>
      <c r="K63" s="51">
        <f>V63/$E$3</f>
      </c>
      <c r="M63" s="50"/>
      <c r="N63" s="52">
        <f>SUMIFS('Détail fonctionnement'!$J$5:$J$505,'Détail fonctionnement'!$A$5:$A$505,N$2,'Détail fonctionnement'!$G$5:$G$505,"O")</f>
      </c>
      <c r="O63" s="53"/>
      <c r="P63" s="52">
        <f>SUMIFS('Détail fonctionnement'!$J$5:$J$505,'Détail fonctionnement'!$A$5:$A$505,P$2,'Détail fonctionnement'!$G$5:$G$505,"O")</f>
      </c>
      <c r="Q63" s="53"/>
      <c r="R63" s="52">
        <f>SUMIFS('Détail fonctionnement'!$J$5:$J$505,'Détail fonctionnement'!$A$5:$A$505,R$2,'Détail fonctionnement'!$G$5:$G$505,"O")</f>
      </c>
      <c r="S63" s="53"/>
      <c r="T63" s="52">
        <f>SUMIFS('Détail fonctionnement'!$J$5:$J$505,'Détail fonctionnement'!$A$5:$A$505,T$2,'Détail fonctionnement'!$G$5:$G$505,"O")</f>
      </c>
      <c r="U63" s="53"/>
      <c r="V63" s="52">
        <f>SUMIFS('Détail fonctionnement'!$J$5:$J$505,'Détail fonctionnement'!$A$5:$A$505,V$2,'Détail fonctionnement'!$G$5:$G$505,"O")</f>
      </c>
      <c r="W63" s="53"/>
    </row>
    <row r="64" spans="3:23" x14ac:dyDescent="0.25">
      <c r="C64" s="49" t="s">
        <v>87</v>
      </c>
      <c r="D64" s="50"/>
      <c r="F64" s="50"/>
      <c r="G64" s="51">
        <f>N64/$E$3</f>
      </c>
      <c r="H64" s="51">
        <f>P64/$E$3</f>
      </c>
      <c r="I64" s="51">
        <f>R64/$E$3</f>
      </c>
      <c r="J64" s="51">
        <f>T64/$E$3</f>
      </c>
      <c r="K64" s="51">
        <f>V64/$E$3</f>
      </c>
      <c r="M64" s="50"/>
      <c r="N64" s="52">
        <f>SUMIFS('Détail projets &amp; dettes'!$M$5:$M$500,'Détail projets &amp; dettes'!$A$5:$A$500,N$2,'Détail projets &amp; dettes'!$J$5:$J$500,"O")</f>
      </c>
      <c r="O64" s="53"/>
      <c r="P64" s="52">
        <f>SUMIFS('Détail projets &amp; dettes'!$M$5:$M$500,'Détail projets &amp; dettes'!$A$5:$A$500,P$2,'Détail projets &amp; dettes'!$J$5:$J$500,"O")</f>
      </c>
      <c r="Q64" s="53"/>
      <c r="R64" s="52">
        <f>SUMIFS('Détail projets &amp; dettes'!$M$5:$M$500,'Détail projets &amp; dettes'!$A$5:$A$500,R$2,'Détail projets &amp; dettes'!$J$5:$J$500,"O")</f>
      </c>
      <c r="S64" s="53"/>
      <c r="T64" s="52">
        <f>SUMIFS('Détail projets &amp; dettes'!$M$5:$M$500,'Détail projets &amp; dettes'!$A$5:$A$500,T$2,'Détail projets &amp; dettes'!$J$5:$J$500,"O")</f>
      </c>
      <c r="U64" s="53"/>
      <c r="V64" s="52">
        <f>SUMIFS('Détail projets &amp; dettes'!$M$5:$M$500,'Détail projets &amp; dettes'!$A$5:$A$500,V$2,'Détail projets &amp; dettes'!$J$5:$J$500,"O")</f>
      </c>
      <c r="W64" s="53"/>
    </row>
    <row r="65" spans="3:23" x14ac:dyDescent="0.25">
      <c r="C65" s="54" t="s">
        <v>88</v>
      </c>
      <c r="D65" s="50"/>
      <c r="F65" s="50"/>
      <c r="G65" s="55">
        <f>N65/$E$3</f>
      </c>
      <c r="H65" s="55">
        <f>P65/$E$3</f>
      </c>
      <c r="I65" s="55">
        <f>R65/$E$3</f>
      </c>
      <c r="J65" s="55">
        <f>T65/$E$3</f>
      </c>
      <c r="K65" s="55">
        <f>V65/$E$3</f>
      </c>
      <c r="M65" s="50"/>
      <c r="N65" s="56">
        <f>N63+N64</f>
      </c>
      <c r="O65" s="53"/>
      <c r="P65" s="56">
        <f>P63+P64</f>
      </c>
      <c r="Q65" s="53"/>
      <c r="R65" s="56">
        <f>R63+R64</f>
      </c>
      <c r="S65" s="53"/>
      <c r="T65" s="56">
        <f>T63+T64</f>
      </c>
      <c r="U65" s="53"/>
      <c r="V65" s="56">
        <f>V63+V64</f>
      </c>
      <c r="W65" s="53"/>
    </row>
    <row r="66" spans="3:23" x14ac:dyDescent="0.25">
      <c r="C66" s="57" t="s">
        <v>89</v>
      </c>
      <c r="D66" s="58"/>
      <c r="F66" s="58"/>
      <c r="G66" s="59">
        <f>O66/$E$3</f>
      </c>
      <c r="H66" s="59">
        <f>Q66/$E$3</f>
      </c>
      <c r="I66" s="59">
        <f>S66/$E$3</f>
      </c>
      <c r="J66" s="59">
        <f>U66/$E$3</f>
      </c>
      <c r="K66" s="59">
        <f>W66/$E$3</f>
      </c>
      <c r="M66" s="58"/>
      <c r="N66" s="60"/>
      <c r="O66" s="61">
        <f>O44</f>
      </c>
      <c r="P66" s="60"/>
      <c r="Q66" s="61">
        <f>Q44</f>
      </c>
      <c r="R66" s="60"/>
      <c r="S66" s="61">
        <f>S44</f>
      </c>
      <c r="T66" s="60"/>
      <c r="U66" s="61">
        <f>U44</f>
      </c>
      <c r="V66" s="60"/>
      <c r="W66" s="61">
        <f>W44</f>
      </c>
    </row>
    <row r="67" spans="3:23" x14ac:dyDescent="0.25">
      <c r="C67" s="62" t="s">
        <v>90</v>
      </c>
      <c r="D67" s="50"/>
      <c r="F67" s="50"/>
      <c r="G67" s="63">
        <f>O67/$E$3</f>
      </c>
      <c r="H67" s="63">
        <f>Q67/$E$3</f>
      </c>
      <c r="I67" s="63">
        <f>S67/$E$3</f>
      </c>
      <c r="J67" s="63">
        <f>U67/$E$3</f>
      </c>
      <c r="K67" s="63">
        <f>W67/$E$3</f>
      </c>
      <c r="M67" s="50"/>
      <c r="N67" s="64"/>
      <c r="O67" s="65">
        <f>O11</f>
      </c>
      <c r="P67" s="64"/>
      <c r="Q67" s="65">
        <f>Q11</f>
      </c>
      <c r="R67" s="64"/>
      <c r="S67" s="65">
        <f>S11</f>
      </c>
      <c r="T67" s="64"/>
      <c r="U67" s="65">
        <f>U11</f>
      </c>
      <c r="V67" s="64"/>
      <c r="W67" s="65">
        <f>W11</f>
      </c>
    </row>
    <row r="68" spans="3:23" x14ac:dyDescent="0.25">
      <c r="C68" s="62" t="s">
        <v>91</v>
      </c>
      <c r="D68" s="50"/>
      <c r="F68" s="50"/>
      <c r="G68" s="63">
        <f>O68/$E$3</f>
      </c>
      <c r="H68" s="63">
        <f>Q68/$E$3</f>
      </c>
      <c r="I68" s="63">
        <f>S68/$E$3</f>
      </c>
      <c r="J68" s="63">
        <f>U68/$E$3</f>
      </c>
      <c r="K68" s="63">
        <f>W68/$E$3</f>
      </c>
      <c r="M68" s="50"/>
      <c r="N68" s="64"/>
      <c r="O68" s="65">
        <f>O15</f>
      </c>
      <c r="P68" s="64"/>
      <c r="Q68" s="65">
        <f>Q15</f>
      </c>
      <c r="R68" s="64"/>
      <c r="S68" s="65">
        <f>S15</f>
      </c>
      <c r="T68" s="64"/>
      <c r="U68" s="65">
        <f>U15</f>
      </c>
      <c r="V68" s="64"/>
      <c r="W68" s="65">
        <f>W15</f>
      </c>
    </row>
    <row r="69" spans="3:23" x14ac:dyDescent="0.25">
      <c r="C69" s="57" t="s">
        <v>92</v>
      </c>
      <c r="D69" s="58"/>
      <c r="F69" s="58"/>
      <c r="G69" s="59">
        <f>O69/$E$3</f>
      </c>
      <c r="H69" s="59">
        <f>Q69/$E$3</f>
      </c>
      <c r="I69" s="59">
        <f>S69/$E$3</f>
      </c>
      <c r="J69" s="59">
        <f>U69/$E$3</f>
      </c>
      <c r="K69" s="59">
        <f>W69/$E$3</f>
      </c>
      <c r="M69" s="58"/>
      <c r="N69" s="60"/>
      <c r="O69" s="61">
        <f>O51</f>
      </c>
      <c r="P69" s="60"/>
      <c r="Q69" s="61">
        <f>Q51</f>
      </c>
      <c r="R69" s="60"/>
      <c r="S69" s="61">
        <f>S51</f>
      </c>
      <c r="T69" s="60"/>
      <c r="U69" s="61">
        <f>U51</f>
      </c>
      <c r="V69" s="60"/>
      <c r="W69" s="61">
        <f>W51</f>
      </c>
    </row>
    <row r="70" spans="3:23" x14ac:dyDescent="0.25">
      <c r="C70" s="62" t="s">
        <v>93</v>
      </c>
      <c r="D70" s="50"/>
      <c r="F70" s="50"/>
      <c r="G70" s="63">
        <f>O70/$E$3</f>
      </c>
      <c r="H70" s="63">
        <f>Q70/$E$3</f>
      </c>
      <c r="I70" s="63">
        <f>S70/$E$3</f>
      </c>
      <c r="J70" s="63">
        <f>U70/$E$3</f>
      </c>
      <c r="K70" s="63">
        <f>W70/$E$3</f>
      </c>
      <c r="M70" s="50"/>
      <c r="N70" s="64"/>
      <c r="O70" s="65">
        <f>O47+O48</f>
      </c>
      <c r="P70" s="64"/>
      <c r="Q70" s="65">
        <f>Q47+Q48</f>
      </c>
      <c r="R70" s="64"/>
      <c r="S70" s="65">
        <f>S47+S48</f>
      </c>
      <c r="T70" s="64"/>
      <c r="U70" s="65">
        <f>U47+U48</f>
      </c>
      <c r="V70" s="64"/>
      <c r="W70" s="65">
        <f>W47+W48</f>
      </c>
    </row>
    <row r="71" spans="3:23" x14ac:dyDescent="0.25">
      <c r="C71" s="62" t="s">
        <v>94</v>
      </c>
      <c r="D71" s="50"/>
      <c r="F71" s="50"/>
      <c r="G71" s="63">
        <f>O71/$E$3</f>
      </c>
      <c r="H71" s="63">
        <f>Q71/$E$3</f>
      </c>
      <c r="I71" s="63">
        <f>S71/$E$3</f>
      </c>
      <c r="J71" s="63">
        <f>U71/$E$3</f>
      </c>
      <c r="K71" s="63">
        <f>W71/$E$3</f>
      </c>
      <c r="M71" s="50"/>
      <c r="N71" s="64"/>
      <c r="O71" s="65">
        <f>O49</f>
      </c>
      <c r="P71" s="64"/>
      <c r="Q71" s="65">
        <f>Q49</f>
      </c>
      <c r="R71" s="64"/>
      <c r="S71" s="65">
        <f>S49</f>
      </c>
      <c r="T71" s="64"/>
      <c r="U71" s="65">
        <f>U49</f>
      </c>
      <c r="V71" s="64"/>
      <c r="W71" s="65">
        <f>W49</f>
      </c>
    </row>
    <row r="73" spans="3:3" x14ac:dyDescent="0.25">
      <c r="C73" s="2" t="s">
        <v>95</v>
      </c>
    </row>
    <row r="74" spans="1:4" x14ac:dyDescent="0.25">
      <c r="A74" s="66" t="s">
        <v>96</v>
      </c>
      <c r="B74" s="67"/>
      <c r="C74" s="67"/>
      <c r="D74" s="67"/>
    </row>
    <row r="75" ht="28.5" customHeight="1" hidden="1" spans="2:25" x14ac:dyDescent="0.25" outlineLevel="1">
      <c r="B75" s="68" t="s">
        <v>2</v>
      </c>
      <c r="C75" s="68" t="s">
        <v>97</v>
      </c>
      <c r="D75" s="68" t="s">
        <v>98</v>
      </c>
      <c r="F75" s="69" t="s">
        <v>99</v>
      </c>
      <c r="G75" s="69" t="s">
        <v>100</v>
      </c>
      <c r="H75" s="69" t="s">
        <v>101</v>
      </c>
      <c r="M75" s="70" t="s">
        <v>102</v>
      </c>
      <c r="N75" s="70" t="s">
        <v>103</v>
      </c>
      <c r="O75" s="70" t="s">
        <v>104</v>
      </c>
      <c r="P75" s="70" t="s">
        <v>105</v>
      </c>
      <c r="Q75" s="70"/>
      <c r="R75" s="70"/>
      <c r="S75" s="70"/>
      <c r="T75" s="70"/>
      <c r="U75" s="70"/>
      <c r="V75" s="70"/>
      <c r="W75" s="70"/>
      <c r="X75" s="70"/>
      <c r="Y75" s="70"/>
    </row>
    <row r="76" hidden="1" spans="3:4" x14ac:dyDescent="0.25" outlineLevel="1">
      <c r="C76" s="71" t="s">
        <v>106</v>
      </c>
      <c r="D76" s="71" t="s">
        <v>15</v>
      </c>
    </row>
    <row r="77" hidden="1" spans="2:25" x14ac:dyDescent="0.25" outlineLevel="1">
      <c r="B77" s="10" t="s">
        <v>3</v>
      </c>
      <c r="C77" s="28" t="s">
        <v>22</v>
      </c>
      <c r="D77" s="28" t="s">
        <v>107</v>
      </c>
      <c r="F77" s="72">
        <f>M77/$E$3</f>
      </c>
      <c r="G77" s="72">
        <f>IF(N77="","",N77/$E$3)</f>
      </c>
      <c r="H77" s="72">
        <f>IF(G77="","",G77-F77)</f>
      </c>
      <c r="M77" s="72">
        <f>SUMIFS('Détail fonctionnement'!$J$5:$J$505,'Détail fonctionnement'!$A$5:$A$505,$B77,'Détail fonctionnement'!$G$5:$G$505,"O",'Détail fonctionnement'!$B$5:$B$505,$C77,'Détail fonctionnement'!$C$5:$C$505,$D77)</f>
      </c>
      <c r="N77" s="72"/>
      <c r="O77" s="72">
        <f>IF(N77="","",N77-M77)</f>
      </c>
      <c r="Q77"/>
      <c r="R77"/>
      <c r="S77"/>
      <c r="T77"/>
      <c r="U77"/>
      <c r="V77"/>
      <c r="W77"/>
      <c r="X77"/>
      <c r="Y77"/>
    </row>
    <row r="78" hidden="1" spans="2:25" x14ac:dyDescent="0.25" outlineLevel="1">
      <c r="B78" s="10" t="s">
        <v>3</v>
      </c>
      <c r="C78" s="28" t="s">
        <v>22</v>
      </c>
      <c r="D78" s="28" t="s">
        <v>108</v>
      </c>
      <c r="F78" s="72">
        <f>M78/$E$3</f>
      </c>
      <c r="G78" s="72">
        <f>IF(N78="","",N78/$E$3)</f>
      </c>
      <c r="H78" s="72">
        <f>IF(G78="","",G78-F78)</f>
      </c>
      <c r="M78" s="72">
        <f>SUMIFS('Détail fonctionnement'!$J$5:$J$505,'Détail fonctionnement'!$A$5:$A$505,$B78,'Détail fonctionnement'!$G$5:$G$505,"O",'Détail fonctionnement'!$B$5:$B$505,$C78,'Détail fonctionnement'!$C$5:$C$505,$D78)</f>
      </c>
      <c r="N78" s="72"/>
      <c r="O78" s="72">
        <f>IF(N78="","",N78-M78)</f>
      </c>
      <c r="Q78"/>
      <c r="R78"/>
      <c r="S78"/>
      <c r="T78"/>
      <c r="U78"/>
      <c r="V78"/>
      <c r="W78"/>
      <c r="X78"/>
      <c r="Y78"/>
    </row>
    <row r="79" hidden="1" spans="2:25" x14ac:dyDescent="0.25" outlineLevel="1">
      <c r="B79" s="10" t="s">
        <v>3</v>
      </c>
      <c r="C79" s="28" t="s">
        <v>22</v>
      </c>
      <c r="D79" s="28" t="s">
        <v>109</v>
      </c>
      <c r="F79" s="72">
        <f>M79/$E$3</f>
      </c>
      <c r="G79" s="72">
        <f>IF(N79="","",N79/$E$3)</f>
      </c>
      <c r="H79" s="72">
        <f>IF(G79="","",G79-F79)</f>
      </c>
      <c r="M79" s="72">
        <f>SUMIFS('Détail fonctionnement'!$J$5:$J$505,'Détail fonctionnement'!$A$5:$A$505,$B79,'Détail fonctionnement'!$G$5:$G$505,"O",'Détail fonctionnement'!$B$5:$B$505,$C79,'Détail fonctionnement'!$C$5:$C$505,$D79)</f>
      </c>
      <c r="N79" s="72"/>
      <c r="O79" s="72">
        <f>IF(N79="","",N79-M79)</f>
      </c>
      <c r="Q79"/>
      <c r="R79"/>
      <c r="S79"/>
      <c r="T79"/>
      <c r="U79"/>
      <c r="V79"/>
      <c r="W79"/>
      <c r="X79"/>
      <c r="Y79"/>
    </row>
    <row r="80" hidden="1" spans="2:25" x14ac:dyDescent="0.25" outlineLevel="1">
      <c r="B80" s="10" t="s">
        <v>3</v>
      </c>
      <c r="C80" s="28" t="s">
        <v>29</v>
      </c>
      <c r="D80" s="28" t="s">
        <v>107</v>
      </c>
      <c r="F80" s="72">
        <f>M80/$E$3</f>
      </c>
      <c r="G80" s="72">
        <f>IF(N80="","",N80/$E$3)</f>
      </c>
      <c r="H80" s="72">
        <f>IF(G80="","",G80-F80)</f>
      </c>
      <c r="M80" s="72">
        <f>SUMIFS('Détail fonctionnement'!$J$5:$J$505,'Détail fonctionnement'!$A$5:$A$505,$B80,'Détail fonctionnement'!$G$5:$G$505,"O",'Détail fonctionnement'!$B$5:$B$505,$C80,'Détail fonctionnement'!$C$5:$C$505,$D80)</f>
      </c>
      <c r="N80" s="72"/>
      <c r="O80" s="72">
        <f>IF(N80="","",N80-M80)</f>
      </c>
      <c r="Q80"/>
      <c r="R80"/>
      <c r="S80"/>
      <c r="T80"/>
      <c r="U80"/>
      <c r="V80"/>
      <c r="W80"/>
      <c r="X80"/>
      <c r="Y80"/>
    </row>
    <row r="81" hidden="1" spans="2:25" x14ac:dyDescent="0.25" outlineLevel="1">
      <c r="B81" s="10" t="s">
        <v>3</v>
      </c>
      <c r="C81" s="28" t="s">
        <v>29</v>
      </c>
      <c r="D81" s="28" t="s">
        <v>108</v>
      </c>
      <c r="F81" s="72">
        <f>M81/$E$3</f>
      </c>
      <c r="G81" s="72">
        <f>IF(N81="","",N81/$E$3)</f>
      </c>
      <c r="H81" s="72">
        <f>IF(G81="","",G81-F81)</f>
      </c>
      <c r="M81" s="72">
        <f>SUMIFS('Détail fonctionnement'!$J$5:$J$505,'Détail fonctionnement'!$A$5:$A$505,$B81,'Détail fonctionnement'!$G$5:$G$505,"O",'Détail fonctionnement'!$B$5:$B$505,$C81,'Détail fonctionnement'!$C$5:$C$505,$D81)</f>
      </c>
      <c r="N81" s="72"/>
      <c r="O81" s="72">
        <f>IF(N81="","",N81-M81)</f>
      </c>
      <c r="Q81"/>
      <c r="R81"/>
      <c r="S81"/>
      <c r="T81"/>
      <c r="U81"/>
      <c r="V81"/>
      <c r="W81"/>
      <c r="X81"/>
      <c r="Y81"/>
    </row>
    <row r="82" hidden="1" spans="2:25" x14ac:dyDescent="0.25" outlineLevel="1">
      <c r="B82" s="10" t="s">
        <v>3</v>
      </c>
      <c r="C82" s="28" t="s">
        <v>29</v>
      </c>
      <c r="D82" s="28" t="s">
        <v>110</v>
      </c>
      <c r="F82" s="72">
        <f>M82/$E$3</f>
      </c>
      <c r="G82" s="72">
        <f>IF(N82="","",N82/$E$3)</f>
      </c>
      <c r="H82" s="72">
        <f>IF(G82="","",G82-F82)</f>
      </c>
      <c r="M82" s="72">
        <f>SUMIFS('Détail fonctionnement'!$J$5:$J$505,'Détail fonctionnement'!$A$5:$A$505,$B82,'Détail fonctionnement'!$G$5:$G$505,"O",'Détail fonctionnement'!$B$5:$B$505,$C82,'Détail fonctionnement'!$C$5:$C$505,$D82)</f>
      </c>
      <c r="N82" s="72"/>
      <c r="O82" s="72">
        <f>IF(N82="","",N82-M82)</f>
      </c>
      <c r="Q82"/>
      <c r="R82"/>
      <c r="S82"/>
      <c r="T82"/>
      <c r="U82"/>
      <c r="V82"/>
      <c r="W82"/>
      <c r="X82"/>
      <c r="Y82"/>
    </row>
    <row r="83" hidden="1" spans="2:25" x14ac:dyDescent="0.25" outlineLevel="1">
      <c r="B83" s="10" t="s">
        <v>3</v>
      </c>
      <c r="C83" s="28" t="s">
        <v>33</v>
      </c>
      <c r="D83" s="28" t="s">
        <v>107</v>
      </c>
      <c r="F83" s="72">
        <f>M83/$E$3</f>
      </c>
      <c r="G83" s="72">
        <f>IF(N83="","",N83/$E$3)</f>
      </c>
      <c r="H83" s="72">
        <f>IF(G83="","",G83-F83)</f>
      </c>
      <c r="M83" s="72">
        <f>SUMIFS('Détail fonctionnement'!$J$5:$J$505,'Détail fonctionnement'!$A$5:$A$505,$B83,'Détail fonctionnement'!$G$5:$G$505,"O",'Détail fonctionnement'!$B$5:$B$505,$C83,'Détail fonctionnement'!$C$5:$C$505,$D83)</f>
      </c>
      <c r="N83" s="72"/>
      <c r="O83" s="72">
        <f>IF(N83="","",N83-M83)</f>
      </c>
      <c r="Q83"/>
      <c r="R83"/>
      <c r="S83"/>
      <c r="T83"/>
      <c r="U83"/>
      <c r="V83"/>
      <c r="W83"/>
      <c r="X83"/>
      <c r="Y83"/>
    </row>
    <row r="84" hidden="1" spans="2:25" x14ac:dyDescent="0.25" outlineLevel="1">
      <c r="B84" s="10" t="s">
        <v>3</v>
      </c>
      <c r="C84" s="28" t="s">
        <v>33</v>
      </c>
      <c r="D84" s="28" t="s">
        <v>108</v>
      </c>
      <c r="F84" s="72">
        <f>M84/$E$3</f>
      </c>
      <c r="G84" s="72">
        <f>IF(N84="","",N84/$E$3)</f>
      </c>
      <c r="H84" s="72">
        <f>IF(G84="","",G84-F84)</f>
      </c>
      <c r="M84" s="72">
        <f>SUMIFS('Détail fonctionnement'!$J$5:$J$505,'Détail fonctionnement'!$A$5:$A$505,$B84,'Détail fonctionnement'!$G$5:$G$505,"O",'Détail fonctionnement'!$B$5:$B$505,$C84,'Détail fonctionnement'!$C$5:$C$505,$D84)</f>
      </c>
      <c r="N84" s="72"/>
      <c r="O84" s="72">
        <f>IF(N84="","",N84-M84)</f>
      </c>
      <c r="Q84"/>
      <c r="R84"/>
      <c r="S84"/>
      <c r="T84"/>
      <c r="U84"/>
      <c r="V84"/>
      <c r="W84"/>
      <c r="X84"/>
      <c r="Y84"/>
    </row>
    <row r="85" hidden="1" spans="2:25" x14ac:dyDescent="0.25" outlineLevel="1">
      <c r="B85" s="10" t="s">
        <v>3</v>
      </c>
      <c r="C85" s="28" t="s">
        <v>36</v>
      </c>
      <c r="D85" s="28" t="s">
        <v>107</v>
      </c>
      <c r="F85" s="72">
        <f>M85/$E$3</f>
      </c>
      <c r="G85" s="72">
        <f>IF(N85="","",N85/$E$3)</f>
      </c>
      <c r="H85" s="72">
        <f>IF(G85="","",G85-F85)</f>
      </c>
      <c r="M85" s="72">
        <f>SUMIFS('Détail fonctionnement'!$J$5:$J$505,'Détail fonctionnement'!$A$5:$A$505,$B85,'Détail fonctionnement'!$G$5:$G$505,"O",'Détail fonctionnement'!$B$5:$B$505,$C85,'Détail fonctionnement'!$C$5:$C$505,$D85)</f>
      </c>
      <c r="N85" s="72"/>
      <c r="O85" s="72">
        <f>IF(N85="","",N85-M85)</f>
      </c>
      <c r="Q85"/>
      <c r="R85"/>
      <c r="S85"/>
      <c r="T85"/>
      <c r="U85"/>
      <c r="V85"/>
      <c r="W85"/>
      <c r="X85"/>
      <c r="Y85"/>
    </row>
    <row r="86" hidden="1" spans="2:25" x14ac:dyDescent="0.25" outlineLevel="1">
      <c r="B86" s="10" t="s">
        <v>3</v>
      </c>
      <c r="C86" s="28" t="s">
        <v>36</v>
      </c>
      <c r="D86" s="28" t="s">
        <v>108</v>
      </c>
      <c r="F86" s="72">
        <f>M86/$E$3</f>
      </c>
      <c r="G86" s="72">
        <f>IF(N86="","",N86/$E$3)</f>
      </c>
      <c r="H86" s="72">
        <f>IF(G86="","",G86-F86)</f>
      </c>
      <c r="M86" s="72">
        <f>SUMIFS('Détail fonctionnement'!$J$5:$J$505,'Détail fonctionnement'!$A$5:$A$505,$B86,'Détail fonctionnement'!$G$5:$G$505,"O",'Détail fonctionnement'!$B$5:$B$505,$C86,'Détail fonctionnement'!$C$5:$C$505,$D86)</f>
      </c>
      <c r="N86" s="72"/>
      <c r="O86" s="72">
        <f>IF(N86="","",N86-M86)</f>
      </c>
      <c r="Q86"/>
      <c r="R86"/>
      <c r="S86"/>
      <c r="T86"/>
      <c r="U86"/>
      <c r="V86"/>
      <c r="W86"/>
      <c r="X86"/>
      <c r="Y86"/>
    </row>
    <row r="87" hidden="1" spans="2:25" x14ac:dyDescent="0.25" outlineLevel="1">
      <c r="B87" s="10" t="s">
        <v>3</v>
      </c>
      <c r="C87" s="28" t="s">
        <v>36</v>
      </c>
      <c r="D87" s="28" t="s">
        <v>109</v>
      </c>
      <c r="F87" s="72">
        <f>M87/$E$3</f>
      </c>
      <c r="G87" s="72">
        <f>IF(N87="","",N87/$E$3)</f>
      </c>
      <c r="H87" s="72">
        <f>IF(G87="","",G87-F87)</f>
      </c>
      <c r="M87" s="72">
        <f>SUMIFS('Détail fonctionnement'!$J$5:$J$505,'Détail fonctionnement'!$A$5:$A$505,$B87,'Détail fonctionnement'!$G$5:$G$505,"O",'Détail fonctionnement'!$B$5:$B$505,$C87,'Détail fonctionnement'!$C$5:$C$505,$D87)</f>
      </c>
      <c r="N87" s="72"/>
      <c r="O87" s="72">
        <f>IF(N87="","",N87-M87)</f>
      </c>
      <c r="Q87"/>
      <c r="R87"/>
      <c r="S87"/>
      <c r="T87"/>
      <c r="U87"/>
      <c r="V87"/>
      <c r="W87"/>
      <c r="X87"/>
      <c r="Y87"/>
    </row>
    <row r="88" hidden="1" spans="2:25" x14ac:dyDescent="0.25" outlineLevel="1">
      <c r="B88" s="10" t="s">
        <v>3</v>
      </c>
      <c r="C88" s="28" t="s">
        <v>39</v>
      </c>
      <c r="D88" s="28" t="s">
        <v>107</v>
      </c>
      <c r="F88" s="72">
        <f>M88/$E$3</f>
      </c>
      <c r="G88" s="72">
        <f>IF(N88="","",N88/$E$3)</f>
      </c>
      <c r="H88" s="72">
        <f>IF(G88="","",G88-F88)</f>
      </c>
      <c r="M88" s="72">
        <f>SUMIFS('Détail fonctionnement'!$J$5:$J$505,'Détail fonctionnement'!$A$5:$A$505,$B88,'Détail fonctionnement'!$G$5:$G$505,"O",'Détail fonctionnement'!$B$5:$B$505,$C88,'Détail fonctionnement'!$C$5:$C$505,$D88)</f>
      </c>
      <c r="N88" s="72"/>
      <c r="O88" s="72">
        <f>IF(N88="","",N88-M88)</f>
      </c>
      <c r="Q88"/>
      <c r="R88"/>
      <c r="S88"/>
      <c r="T88"/>
      <c r="U88"/>
      <c r="V88"/>
      <c r="W88"/>
      <c r="X88"/>
      <c r="Y88"/>
    </row>
    <row r="89" hidden="1" spans="2:25" x14ac:dyDescent="0.25" outlineLevel="1">
      <c r="B89" s="10" t="s">
        <v>3</v>
      </c>
      <c r="C89" s="28" t="s">
        <v>39</v>
      </c>
      <c r="D89" s="28" t="s">
        <v>111</v>
      </c>
      <c r="F89" s="72">
        <f>M89/$E$3</f>
      </c>
      <c r="G89" s="72">
        <f>IF(N89="","",N89/$E$3)</f>
      </c>
      <c r="H89" s="72">
        <f>IF(G89="","",G89-F89)</f>
      </c>
      <c r="M89" s="72">
        <f>SUMIFS('Détail fonctionnement'!$J$5:$J$505,'Détail fonctionnement'!$A$5:$A$505,$B89,'Détail fonctionnement'!$G$5:$G$505,"O",'Détail fonctionnement'!$B$5:$B$505,$C89,'Détail fonctionnement'!$C$5:$C$505,$D89)</f>
      </c>
      <c r="N89" s="72"/>
      <c r="O89" s="72">
        <f>IF(N89="","",N89-M89)</f>
      </c>
      <c r="Q89"/>
      <c r="R89"/>
      <c r="S89"/>
      <c r="T89"/>
      <c r="U89"/>
      <c r="V89"/>
      <c r="W89"/>
      <c r="X89"/>
      <c r="Y89"/>
    </row>
    <row r="90" hidden="1" spans="2:25" x14ac:dyDescent="0.25" outlineLevel="1">
      <c r="B90" s="10" t="s">
        <v>3</v>
      </c>
      <c r="C90" s="28" t="s">
        <v>46</v>
      </c>
      <c r="D90" s="28" t="s">
        <v>107</v>
      </c>
      <c r="F90" s="72">
        <f>M90/$E$3</f>
      </c>
      <c r="G90" s="72">
        <f>IF(N90="","",N90/$E$3)</f>
      </c>
      <c r="H90" s="72">
        <f>IF(G90="","",G90-F90)</f>
      </c>
      <c r="M90" s="72">
        <f>SUMIFS('Détail fonctionnement'!$J$5:$J$505,'Détail fonctionnement'!$A$5:$A$505,$B90,'Détail fonctionnement'!$G$5:$G$505,"O",'Détail fonctionnement'!$B$5:$B$505,$C90,'Détail fonctionnement'!$C$5:$C$505,$D90)</f>
      </c>
      <c r="N90" s="72"/>
      <c r="O90" s="72">
        <f>IF(N90="","",N90-M90)</f>
      </c>
      <c r="Q90"/>
      <c r="R90"/>
      <c r="S90"/>
      <c r="T90"/>
      <c r="U90"/>
      <c r="V90"/>
      <c r="W90"/>
      <c r="X90"/>
      <c r="Y90"/>
    </row>
    <row r="91" hidden="1" spans="2:25" x14ac:dyDescent="0.25" outlineLevel="1">
      <c r="B91" s="10" t="s">
        <v>3</v>
      </c>
      <c r="C91" s="28" t="s">
        <v>46</v>
      </c>
      <c r="D91" s="28" t="s">
        <v>108</v>
      </c>
      <c r="F91" s="72">
        <f>M91/$E$3</f>
      </c>
      <c r="G91" s="72">
        <f>IF(N91="","",N91/$E$3)</f>
      </c>
      <c r="H91" s="72">
        <f>IF(G91="","",G91-F91)</f>
      </c>
      <c r="M91" s="72">
        <f>SUMIFS('Détail fonctionnement'!$J$5:$J$505,'Détail fonctionnement'!$A$5:$A$505,$B91,'Détail fonctionnement'!$G$5:$G$505,"O",'Détail fonctionnement'!$B$5:$B$505,$C91,'Détail fonctionnement'!$C$5:$C$505,$D91)</f>
      </c>
      <c r="N91" s="72"/>
      <c r="O91" s="72">
        <f>IF(N91="","",N91-M91)</f>
      </c>
      <c r="Q91"/>
      <c r="R91"/>
      <c r="S91"/>
      <c r="T91"/>
      <c r="U91"/>
      <c r="V91"/>
      <c r="W91"/>
      <c r="X91"/>
      <c r="Y91"/>
    </row>
    <row r="92" hidden="1" spans="2:25" x14ac:dyDescent="0.25" outlineLevel="1">
      <c r="B92" s="10" t="s">
        <v>3</v>
      </c>
      <c r="C92" s="28" t="s">
        <v>46</v>
      </c>
      <c r="D92" s="28" t="s">
        <v>109</v>
      </c>
      <c r="F92" s="72">
        <f>M92/$E$3</f>
      </c>
      <c r="G92" s="72">
        <f>IF(N92="","",N92/$E$3)</f>
      </c>
      <c r="H92" s="72">
        <f>IF(G92="","",G92-F92)</f>
      </c>
      <c r="M92" s="72">
        <f>SUMIFS('Détail fonctionnement'!$J$5:$J$505,'Détail fonctionnement'!$A$5:$A$505,$B92,'Détail fonctionnement'!$G$5:$G$505,"O",'Détail fonctionnement'!$B$5:$B$505,$C92,'Détail fonctionnement'!$C$5:$C$505,$D92)</f>
      </c>
      <c r="N92" s="72"/>
      <c r="O92" s="72">
        <f>IF(N92="","",N92-M92)</f>
      </c>
      <c r="Q92"/>
      <c r="R92"/>
      <c r="S92"/>
      <c r="T92"/>
      <c r="U92"/>
      <c r="V92"/>
      <c r="W92"/>
      <c r="X92"/>
      <c r="Y92"/>
    </row>
    <row r="93" hidden="1" spans="2:25" x14ac:dyDescent="0.25" outlineLevel="1">
      <c r="B93" s="10" t="s">
        <v>3</v>
      </c>
      <c r="C93" s="28" t="s">
        <v>50</v>
      </c>
      <c r="D93" s="28" t="s">
        <v>107</v>
      </c>
      <c r="F93" s="72">
        <f>M93/$E$3</f>
      </c>
      <c r="G93" s="72">
        <f>IF(N93="","",N93/$E$3)</f>
      </c>
      <c r="H93" s="72">
        <f>IF(G93="","",G93-F93)</f>
      </c>
      <c r="M93" s="72">
        <f>SUMIFS('Détail fonctionnement'!$J$5:$J$505,'Détail fonctionnement'!$A$5:$A$505,$B93,'Détail fonctionnement'!$G$5:$G$505,"O",'Détail fonctionnement'!$B$5:$B$505,$C93,'Détail fonctionnement'!$C$5:$C$505,$D93)</f>
      </c>
      <c r="N93" s="72"/>
      <c r="O93" s="72">
        <f>IF(N93="","",N93-M93)</f>
      </c>
      <c r="Q93"/>
      <c r="R93"/>
      <c r="S93"/>
      <c r="T93"/>
      <c r="U93"/>
      <c r="V93"/>
      <c r="W93"/>
      <c r="X93"/>
      <c r="Y93"/>
    </row>
    <row r="94" hidden="1" spans="2:25" x14ac:dyDescent="0.25" outlineLevel="1">
      <c r="B94" s="10" t="s">
        <v>3</v>
      </c>
      <c r="C94" s="28" t="s">
        <v>50</v>
      </c>
      <c r="D94" s="28" t="s">
        <v>108</v>
      </c>
      <c r="F94" s="72">
        <f>M94/$E$3</f>
      </c>
      <c r="G94" s="72">
        <f>IF(N94="","",N94/$E$3)</f>
      </c>
      <c r="H94" s="72">
        <f>IF(G94="","",G94-F94)</f>
      </c>
      <c r="M94" s="72">
        <f>SUMIFS('Détail fonctionnement'!$J$5:$J$505,'Détail fonctionnement'!$A$5:$A$505,$B94,'Détail fonctionnement'!$G$5:$G$505,"O",'Détail fonctionnement'!$B$5:$B$505,$C94,'Détail fonctionnement'!$C$5:$C$505,$D94)</f>
      </c>
      <c r="N94" s="72"/>
      <c r="O94" s="72">
        <f>IF(N94="","",N94-M94)</f>
      </c>
      <c r="Q94"/>
      <c r="R94"/>
      <c r="S94"/>
      <c r="T94"/>
      <c r="U94"/>
      <c r="V94"/>
      <c r="W94"/>
      <c r="X94"/>
      <c r="Y94"/>
    </row>
    <row r="95" hidden="1" spans="2:25" x14ac:dyDescent="0.25" outlineLevel="1">
      <c r="B95" s="10" t="s">
        <v>3</v>
      </c>
      <c r="C95" s="28" t="s">
        <v>53</v>
      </c>
      <c r="D95" s="28" t="s">
        <v>107</v>
      </c>
      <c r="F95" s="72">
        <f>M95/$E$3</f>
      </c>
      <c r="G95" s="72">
        <f>IF(N95="","",N95/$E$3)</f>
      </c>
      <c r="H95" s="72">
        <f>IF(G95="","",G95-F95)</f>
      </c>
      <c r="M95" s="72">
        <f>SUMIFS('Détail fonctionnement'!$J$5:$J$505,'Détail fonctionnement'!$A$5:$A$505,$B95,'Détail fonctionnement'!$G$5:$G$505,"O",'Détail fonctionnement'!$B$5:$B$505,$C95,'Détail fonctionnement'!$C$5:$C$505,$D95)</f>
      </c>
      <c r="N95" s="72"/>
      <c r="O95" s="72">
        <f>IF(N95="","",N95-M95)</f>
      </c>
      <c r="Q95"/>
      <c r="R95"/>
      <c r="S95"/>
      <c r="T95"/>
      <c r="U95"/>
      <c r="V95"/>
      <c r="W95"/>
      <c r="X95"/>
      <c r="Y95"/>
    </row>
    <row r="96" hidden="1" spans="2:25" x14ac:dyDescent="0.25" outlineLevel="1">
      <c r="B96" s="10" t="s">
        <v>3</v>
      </c>
      <c r="C96" s="28" t="s">
        <v>53</v>
      </c>
      <c r="D96" s="28" t="s">
        <v>108</v>
      </c>
      <c r="F96" s="72">
        <f>M96/$E$3</f>
      </c>
      <c r="G96" s="72">
        <f>IF(N96="","",N96/$E$3)</f>
      </c>
      <c r="H96" s="72">
        <f>IF(G96="","",G96-F96)</f>
      </c>
      <c r="M96" s="72">
        <f>SUMIFS('Détail fonctionnement'!$J$5:$J$505,'Détail fonctionnement'!$A$5:$A$505,$B96,'Détail fonctionnement'!$G$5:$G$505,"O",'Détail fonctionnement'!$B$5:$B$505,$C96,'Détail fonctionnement'!$C$5:$C$505,$D96)</f>
      </c>
      <c r="N96" s="72"/>
      <c r="O96" s="72">
        <f>IF(N96="","",N96-M96)</f>
      </c>
      <c r="Q96"/>
      <c r="R96"/>
      <c r="S96"/>
      <c r="T96"/>
      <c r="U96"/>
      <c r="V96"/>
      <c r="W96"/>
      <c r="X96"/>
      <c r="Y96"/>
    </row>
    <row r="97" hidden="1" spans="2:25" x14ac:dyDescent="0.25" outlineLevel="1">
      <c r="B97" s="10" t="s">
        <v>3</v>
      </c>
      <c r="C97" s="28" t="s">
        <v>53</v>
      </c>
      <c r="D97" s="28" t="s">
        <v>109</v>
      </c>
      <c r="F97" s="72">
        <f>M97/$E$3</f>
      </c>
      <c r="G97" s="72">
        <f>IF(N97="","",N97/$E$3)</f>
      </c>
      <c r="H97" s="72">
        <f>IF(G97="","",G97-F97)</f>
      </c>
      <c r="M97" s="72">
        <f>SUMIFS('Détail fonctionnement'!$J$5:$J$505,'Détail fonctionnement'!$A$5:$A$505,$B97,'Détail fonctionnement'!$G$5:$G$505,"O",'Détail fonctionnement'!$B$5:$B$505,$C97,'Détail fonctionnement'!$C$5:$C$505,$D97)</f>
      </c>
      <c r="N97" s="72"/>
      <c r="O97" s="72">
        <f>IF(N97="","",N97-M97)</f>
      </c>
      <c r="Q97"/>
      <c r="R97"/>
      <c r="S97"/>
      <c r="T97"/>
      <c r="U97"/>
      <c r="V97"/>
      <c r="W97"/>
      <c r="X97"/>
      <c r="Y97"/>
    </row>
    <row r="98" hidden="1" spans="2:25" x14ac:dyDescent="0.25" outlineLevel="1">
      <c r="B98" s="10" t="s">
        <v>3</v>
      </c>
      <c r="C98" s="28" t="s">
        <v>59</v>
      </c>
      <c r="D98" s="28" t="s">
        <v>107</v>
      </c>
      <c r="F98" s="72">
        <f>M98/$E$3</f>
      </c>
      <c r="G98" s="72">
        <f>IF(N98="","",N98/$E$3)</f>
      </c>
      <c r="H98" s="72">
        <f>IF(G98="","",G98-F98)</f>
      </c>
      <c r="M98" s="72">
        <f>SUMIFS('Détail fonctionnement'!$J$5:$J$505,'Détail fonctionnement'!$A$5:$A$505,$B98,'Détail fonctionnement'!$G$5:$G$505,"O",'Détail fonctionnement'!$B$5:$B$505,$C98,'Détail fonctionnement'!$C$5:$C$505,$D98)</f>
      </c>
      <c r="N98" s="72"/>
      <c r="O98" s="72">
        <f>IF(N98="","",N98-M98)</f>
      </c>
      <c r="Q98"/>
      <c r="R98"/>
      <c r="S98"/>
      <c r="T98"/>
      <c r="U98"/>
      <c r="V98"/>
      <c r="W98"/>
      <c r="X98"/>
      <c r="Y98"/>
    </row>
    <row r="99" hidden="1" spans="2:25" x14ac:dyDescent="0.25" outlineLevel="1">
      <c r="B99" s="10" t="s">
        <v>3</v>
      </c>
      <c r="C99" s="28" t="s">
        <v>59</v>
      </c>
      <c r="D99" s="28" t="s">
        <v>108</v>
      </c>
      <c r="F99" s="72">
        <f>M99/$E$3</f>
      </c>
      <c r="G99" s="72">
        <f>IF(N99="","",N99/$E$3)</f>
      </c>
      <c r="H99" s="72">
        <f>IF(G99="","",G99-F99)</f>
      </c>
      <c r="M99" s="72">
        <f>SUMIFS('Détail fonctionnement'!$J$5:$J$505,'Détail fonctionnement'!$A$5:$A$505,$B99,'Détail fonctionnement'!$G$5:$G$505,"O",'Détail fonctionnement'!$B$5:$B$505,$C99,'Détail fonctionnement'!$C$5:$C$505,$D99)</f>
      </c>
      <c r="N99" s="72"/>
      <c r="O99" s="72">
        <f>IF(N99="","",N99-M99)</f>
      </c>
      <c r="Q99"/>
      <c r="R99"/>
      <c r="S99"/>
      <c r="T99"/>
      <c r="U99"/>
      <c r="V99"/>
      <c r="W99"/>
      <c r="X99"/>
      <c r="Y99"/>
    </row>
    <row r="100" hidden="1" spans="2:25" x14ac:dyDescent="0.25" outlineLevel="1">
      <c r="B100" s="10" t="s">
        <v>3</v>
      </c>
      <c r="C100" s="28" t="s">
        <v>61</v>
      </c>
      <c r="D100" s="28" t="s">
        <v>108</v>
      </c>
      <c r="F100" s="72">
        <f>M100/$E$3</f>
      </c>
      <c r="G100" s="72">
        <f>IF(N100="","",N100/$E$3)</f>
      </c>
      <c r="H100" s="72">
        <f>IF(G100="","",G100-F100)</f>
      </c>
      <c r="M100" s="72">
        <f>SUMIFS('Détail fonctionnement'!$J$5:$J$505,'Détail fonctionnement'!$A$5:$A$505,$B100,'Détail fonctionnement'!$G$5:$G$505,"O",'Détail fonctionnement'!$B$5:$B$505,$C100,'Détail fonctionnement'!$C$5:$C$505,$D100)</f>
      </c>
      <c r="N100" s="72"/>
      <c r="O100" s="72">
        <f>IF(N100="","",N100-M100)</f>
      </c>
      <c r="Q100"/>
      <c r="R100"/>
      <c r="S100"/>
      <c r="T100"/>
      <c r="U100"/>
      <c r="V100"/>
      <c r="W100"/>
      <c r="X100"/>
      <c r="Y100"/>
    </row>
    <row r="101" hidden="1" spans="2:25" x14ac:dyDescent="0.25" outlineLevel="1">
      <c r="B101" s="10" t="s">
        <v>3</v>
      </c>
      <c r="C101" s="28" t="s">
        <v>61</v>
      </c>
      <c r="D101" s="28" t="s">
        <v>109</v>
      </c>
      <c r="F101" s="72">
        <f>M101/$E$3</f>
      </c>
      <c r="G101" s="72">
        <f>IF(N101="","",N101/$E$3)</f>
      </c>
      <c r="H101" s="72">
        <f>IF(G101="","",G101-F101)</f>
      </c>
      <c r="M101" s="72">
        <f>SUMIFS('Détail fonctionnement'!$J$5:$J$505,'Détail fonctionnement'!$A$5:$A$505,$B101,'Détail fonctionnement'!$G$5:$G$505,"O",'Détail fonctionnement'!$B$5:$B$505,$C101,'Détail fonctionnement'!$C$5:$C$505,$D101)</f>
      </c>
      <c r="N101" s="72"/>
      <c r="O101" s="72">
        <f>IF(N101="","",N101-M101)</f>
      </c>
      <c r="Q101"/>
      <c r="R101"/>
      <c r="S101"/>
      <c r="T101"/>
      <c r="U101"/>
      <c r="V101"/>
      <c r="W101"/>
      <c r="X101"/>
      <c r="Y101"/>
    </row>
    <row r="102" hidden="1" spans="3:15" x14ac:dyDescent="0.25" outlineLevel="1">
      <c r="C102" s="54" t="s">
        <v>112</v>
      </c>
      <c r="D102" s="50"/>
      <c r="F102" s="55">
        <f>SUM(F77:F101)</f>
      </c>
      <c r="G102" s="55">
        <f>SUM(G77:G101)</f>
      </c>
      <c r="H102" s="55">
        <f>SUM(H77:H101)</f>
      </c>
      <c r="M102" s="55">
        <f>SUM(M77:M101)</f>
      </c>
      <c r="N102" s="55">
        <f>SUM(N77:N101)</f>
      </c>
      <c r="O102" s="55">
        <f>SUM(O77:O101)</f>
      </c>
    </row>
    <row r="103" hidden="1" outlineLevel="1"/>
    <row r="104" hidden="1" spans="3:4" x14ac:dyDescent="0.25" outlineLevel="1">
      <c r="C104" s="71" t="s">
        <v>113</v>
      </c>
      <c r="D104" s="71" t="s">
        <v>15</v>
      </c>
    </row>
    <row r="105" hidden="1" spans="2:25" x14ac:dyDescent="0.25" outlineLevel="1">
      <c r="B105" s="10" t="s">
        <v>4</v>
      </c>
      <c r="C105" s="28" t="s">
        <v>22</v>
      </c>
      <c r="D105" s="28" t="s">
        <v>108</v>
      </c>
      <c r="F105" s="72">
        <f>M105/$E$3</f>
      </c>
      <c r="G105" s="72">
        <f>IF(N105="","",N105/$E$3)</f>
      </c>
      <c r="H105" s="72">
        <f>IF(G105="","",G105-F105)</f>
      </c>
      <c r="M105" s="72">
        <f>SUMIFS('Détail fonctionnement'!$J$5:$J$505,'Détail fonctionnement'!$A$5:$A$505,$B105,'Détail fonctionnement'!$G$5:$G$505,"O",'Détail fonctionnement'!$B$5:$B$505,$C105,'Détail fonctionnement'!$C$5:$C$505,$D105)</f>
      </c>
      <c r="N105" s="72"/>
      <c r="O105" s="72">
        <f>IF(N105="","",N105-M105)</f>
      </c>
      <c r="Q105"/>
      <c r="R105"/>
      <c r="S105"/>
      <c r="T105"/>
      <c r="U105"/>
      <c r="V105"/>
      <c r="W105"/>
      <c r="X105"/>
      <c r="Y105"/>
    </row>
    <row r="106" hidden="1" spans="2:25" x14ac:dyDescent="0.25" outlineLevel="1">
      <c r="B106" s="10" t="s">
        <v>4</v>
      </c>
      <c r="C106" s="28" t="s">
        <v>22</v>
      </c>
      <c r="D106" s="28" t="s">
        <v>109</v>
      </c>
      <c r="F106" s="72">
        <f>M106/$E$3</f>
      </c>
      <c r="G106" s="72">
        <f>IF(N106="","",N106/$E$3)</f>
      </c>
      <c r="H106" s="72">
        <f>IF(G106="","",G106-F106)</f>
      </c>
      <c r="M106" s="72">
        <f>SUMIFS('Détail fonctionnement'!$J$5:$J$505,'Détail fonctionnement'!$A$5:$A$505,$B106,'Détail fonctionnement'!$G$5:$G$505,"O",'Détail fonctionnement'!$B$5:$B$505,$C106,'Détail fonctionnement'!$C$5:$C$505,$D106)</f>
      </c>
      <c r="N106" s="72"/>
      <c r="O106" s="72">
        <f>IF(N106="","",N106-M106)</f>
      </c>
      <c r="Q106"/>
      <c r="R106"/>
      <c r="S106"/>
      <c r="T106"/>
      <c r="U106"/>
      <c r="V106"/>
      <c r="W106"/>
      <c r="X106"/>
      <c r="Y106"/>
    </row>
    <row r="107" hidden="1" spans="2:25" x14ac:dyDescent="0.25" outlineLevel="1">
      <c r="B107" s="10" t="s">
        <v>4</v>
      </c>
      <c r="C107" s="28" t="s">
        <v>29</v>
      </c>
      <c r="D107" s="28" t="s">
        <v>107</v>
      </c>
      <c r="F107" s="72">
        <f>M107/$E$3</f>
      </c>
      <c r="G107" s="72">
        <f>IF(N107="","",N107/$E$3)</f>
      </c>
      <c r="H107" s="72">
        <f>IF(G107="","",G107-F107)</f>
      </c>
      <c r="M107" s="72">
        <f>SUMIFS('Détail fonctionnement'!$J$5:$J$505,'Détail fonctionnement'!$A$5:$A$505,$B107,'Détail fonctionnement'!$G$5:$G$505,"O",'Détail fonctionnement'!$B$5:$B$505,$C107,'Détail fonctionnement'!$C$5:$C$505,$D107)</f>
      </c>
      <c r="N107" s="72"/>
      <c r="O107" s="72">
        <f>IF(N107="","",N107-M107)</f>
      </c>
      <c r="Q107"/>
      <c r="R107"/>
      <c r="S107"/>
      <c r="T107"/>
      <c r="U107"/>
      <c r="V107"/>
      <c r="W107"/>
      <c r="X107"/>
      <c r="Y107"/>
    </row>
    <row r="108" hidden="1" spans="2:25" x14ac:dyDescent="0.25" outlineLevel="1">
      <c r="B108" s="10" t="s">
        <v>4</v>
      </c>
      <c r="C108" s="28" t="s">
        <v>29</v>
      </c>
      <c r="D108" s="28" t="s">
        <v>111</v>
      </c>
      <c r="F108" s="72">
        <f>M108/$E$3</f>
      </c>
      <c r="G108" s="72">
        <f>IF(N108="","",N108/$E$3)</f>
      </c>
      <c r="H108" s="72">
        <f>IF(G108="","",G108-F108)</f>
      </c>
      <c r="M108" s="72">
        <f>SUMIFS('Détail fonctionnement'!$J$5:$J$505,'Détail fonctionnement'!$A$5:$A$505,$B108,'Détail fonctionnement'!$G$5:$G$505,"O",'Détail fonctionnement'!$B$5:$B$505,$C108,'Détail fonctionnement'!$C$5:$C$505,$D108)</f>
      </c>
      <c r="N108" s="72"/>
      <c r="O108" s="72">
        <f>IF(N108="","",N108-M108)</f>
      </c>
      <c r="Q108"/>
      <c r="R108"/>
      <c r="S108"/>
      <c r="T108"/>
      <c r="U108"/>
      <c r="V108"/>
      <c r="W108"/>
      <c r="X108"/>
      <c r="Y108"/>
    </row>
    <row r="109" hidden="1" spans="2:25" x14ac:dyDescent="0.25" outlineLevel="1">
      <c r="B109" s="10" t="s">
        <v>4</v>
      </c>
      <c r="C109" s="28" t="s">
        <v>36</v>
      </c>
      <c r="D109" s="28" t="s">
        <v>108</v>
      </c>
      <c r="F109" s="72">
        <f>M109/$E$3</f>
      </c>
      <c r="G109" s="72">
        <f>IF(N109="","",N109/$E$3)</f>
      </c>
      <c r="H109" s="72">
        <f>IF(G109="","",G109-F109)</f>
      </c>
      <c r="M109" s="72">
        <f>SUMIFS('Détail fonctionnement'!$J$5:$J$505,'Détail fonctionnement'!$A$5:$A$505,$B109,'Détail fonctionnement'!$G$5:$G$505,"O",'Détail fonctionnement'!$B$5:$B$505,$C109,'Détail fonctionnement'!$C$5:$C$505,$D109)</f>
      </c>
      <c r="N109" s="72"/>
      <c r="O109" s="72">
        <f>IF(N109="","",N109-M109)</f>
      </c>
      <c r="Q109"/>
      <c r="R109"/>
      <c r="S109"/>
      <c r="T109"/>
      <c r="U109"/>
      <c r="V109"/>
      <c r="W109"/>
      <c r="X109"/>
      <c r="Y109"/>
    </row>
    <row r="110" hidden="1" spans="2:25" x14ac:dyDescent="0.25" outlineLevel="1">
      <c r="B110" s="10" t="s">
        <v>4</v>
      </c>
      <c r="C110" s="28" t="s">
        <v>36</v>
      </c>
      <c r="D110" s="28" t="s">
        <v>109</v>
      </c>
      <c r="F110" s="72">
        <f>M110/$E$3</f>
      </c>
      <c r="G110" s="72">
        <f>IF(N110="","",N110/$E$3)</f>
      </c>
      <c r="H110" s="72">
        <f>IF(G110="","",G110-F110)</f>
      </c>
      <c r="M110" s="72">
        <f>SUMIFS('Détail fonctionnement'!$J$5:$J$505,'Détail fonctionnement'!$A$5:$A$505,$B110,'Détail fonctionnement'!$G$5:$G$505,"O",'Détail fonctionnement'!$B$5:$B$505,$C110,'Détail fonctionnement'!$C$5:$C$505,$D110)</f>
      </c>
      <c r="N110" s="72"/>
      <c r="O110" s="72">
        <f>IF(N110="","",N110-M110)</f>
      </c>
      <c r="Q110"/>
      <c r="R110"/>
      <c r="S110"/>
      <c r="T110"/>
      <c r="U110"/>
      <c r="V110"/>
      <c r="W110"/>
      <c r="X110"/>
      <c r="Y110"/>
    </row>
    <row r="111" hidden="1" spans="2:25" x14ac:dyDescent="0.25" outlineLevel="1">
      <c r="B111" s="10" t="s">
        <v>4</v>
      </c>
      <c r="C111" s="28" t="s">
        <v>39</v>
      </c>
      <c r="D111" s="28" t="s">
        <v>107</v>
      </c>
      <c r="F111" s="72">
        <f>M111/$E$3</f>
      </c>
      <c r="G111" s="72">
        <f>IF(N111="","",N111/$E$3)</f>
      </c>
      <c r="H111" s="72">
        <f>IF(G111="","",G111-F111)</f>
      </c>
      <c r="M111" s="72">
        <f>SUMIFS('Détail fonctionnement'!$J$5:$J$505,'Détail fonctionnement'!$A$5:$A$505,$B111,'Détail fonctionnement'!$G$5:$G$505,"O",'Détail fonctionnement'!$B$5:$B$505,$C111,'Détail fonctionnement'!$C$5:$C$505,$D111)</f>
      </c>
      <c r="N111" s="72"/>
      <c r="O111" s="72">
        <f>IF(N111="","",N111-M111)</f>
      </c>
      <c r="Q111"/>
      <c r="R111"/>
      <c r="S111"/>
      <c r="T111"/>
      <c r="U111"/>
      <c r="V111"/>
      <c r="W111"/>
      <c r="X111"/>
      <c r="Y111"/>
    </row>
    <row r="112" hidden="1" spans="2:25" x14ac:dyDescent="0.25" outlineLevel="1">
      <c r="B112" s="10" t="s">
        <v>4</v>
      </c>
      <c r="C112" s="28" t="s">
        <v>39</v>
      </c>
      <c r="D112" s="28" t="s">
        <v>114</v>
      </c>
      <c r="F112" s="72">
        <f>M112/$E$3</f>
      </c>
      <c r="G112" s="72">
        <f>IF(N112="","",N112/$E$3)</f>
      </c>
      <c r="H112" s="72">
        <f>IF(G112="","",G112-F112)</f>
      </c>
      <c r="M112" s="72">
        <f>SUMIFS('Détail fonctionnement'!$J$5:$J$505,'Détail fonctionnement'!$A$5:$A$505,$B112,'Détail fonctionnement'!$G$5:$G$505,"O",'Détail fonctionnement'!$B$5:$B$505,$C112,'Détail fonctionnement'!$C$5:$C$505,$D112)</f>
      </c>
      <c r="N112" s="72"/>
      <c r="O112" s="72">
        <f>IF(N112="","",N112-M112)</f>
      </c>
      <c r="Q112"/>
      <c r="R112"/>
      <c r="S112"/>
      <c r="T112"/>
      <c r="U112"/>
      <c r="V112"/>
      <c r="W112"/>
      <c r="X112"/>
      <c r="Y112"/>
    </row>
    <row r="113" hidden="1" spans="2:25" x14ac:dyDescent="0.25" outlineLevel="1">
      <c r="B113" s="10" t="s">
        <v>4</v>
      </c>
      <c r="C113" s="28" t="s">
        <v>39</v>
      </c>
      <c r="D113" s="28" t="s">
        <v>109</v>
      </c>
      <c r="F113" s="72">
        <f>M113/$E$3</f>
      </c>
      <c r="G113" s="72">
        <f>IF(N113="","",N113/$E$3)</f>
      </c>
      <c r="H113" s="72">
        <f>IF(G113="","",G113-F113)</f>
      </c>
      <c r="M113" s="72">
        <f>SUMIFS('Détail fonctionnement'!$J$5:$J$505,'Détail fonctionnement'!$A$5:$A$505,$B113,'Détail fonctionnement'!$G$5:$G$505,"O",'Détail fonctionnement'!$B$5:$B$505,$C113,'Détail fonctionnement'!$C$5:$C$505,$D113)</f>
      </c>
      <c r="N113" s="72"/>
      <c r="O113" s="72">
        <f>IF(N113="","",N113-M113)</f>
      </c>
      <c r="Q113"/>
      <c r="R113"/>
      <c r="S113"/>
      <c r="T113"/>
      <c r="U113"/>
      <c r="V113"/>
      <c r="W113"/>
      <c r="X113"/>
      <c r="Y113"/>
    </row>
    <row r="114" hidden="1" spans="2:25" x14ac:dyDescent="0.25" outlineLevel="1">
      <c r="B114" s="10" t="s">
        <v>4</v>
      </c>
      <c r="C114" s="28" t="s">
        <v>39</v>
      </c>
      <c r="D114" s="28" t="s">
        <v>111</v>
      </c>
      <c r="F114" s="72">
        <f>M114/$E$3</f>
      </c>
      <c r="G114" s="72">
        <f>IF(N114="","",N114/$E$3)</f>
      </c>
      <c r="H114" s="72">
        <f>IF(G114="","",G114-F114)</f>
      </c>
      <c r="M114" s="72">
        <f>SUMIFS('Détail fonctionnement'!$J$5:$J$505,'Détail fonctionnement'!$A$5:$A$505,$B114,'Détail fonctionnement'!$G$5:$G$505,"O",'Détail fonctionnement'!$B$5:$B$505,$C114,'Détail fonctionnement'!$C$5:$C$505,$D114)</f>
      </c>
      <c r="N114" s="72"/>
      <c r="O114" s="72">
        <f>IF(N114="","",N114-M114)</f>
      </c>
      <c r="Q114"/>
      <c r="R114"/>
      <c r="S114"/>
      <c r="T114"/>
      <c r="U114"/>
      <c r="V114"/>
      <c r="W114"/>
      <c r="X114"/>
      <c r="Y114"/>
    </row>
    <row r="115" hidden="1" spans="2:25" x14ac:dyDescent="0.25" outlineLevel="1">
      <c r="B115" s="10" t="s">
        <v>4</v>
      </c>
      <c r="C115" s="28" t="s">
        <v>46</v>
      </c>
      <c r="D115" s="28" t="s">
        <v>108</v>
      </c>
      <c r="F115" s="72">
        <f>M115/$E$3</f>
      </c>
      <c r="G115" s="72">
        <f>IF(N115="","",N115/$E$3)</f>
      </c>
      <c r="H115" s="72">
        <f>IF(G115="","",G115-F115)</f>
      </c>
      <c r="M115" s="72">
        <f>SUMIFS('Détail fonctionnement'!$J$5:$J$505,'Détail fonctionnement'!$A$5:$A$505,$B115,'Détail fonctionnement'!$G$5:$G$505,"O",'Détail fonctionnement'!$B$5:$B$505,$C115,'Détail fonctionnement'!$C$5:$C$505,$D115)</f>
      </c>
      <c r="N115" s="72"/>
      <c r="O115" s="72">
        <f>IF(N115="","",N115-M115)</f>
      </c>
      <c r="Q115"/>
      <c r="R115"/>
      <c r="S115"/>
      <c r="T115"/>
      <c r="U115"/>
      <c r="V115"/>
      <c r="W115"/>
      <c r="X115"/>
      <c r="Y115"/>
    </row>
    <row r="116" hidden="1" spans="2:25" x14ac:dyDescent="0.25" outlineLevel="1">
      <c r="B116" s="10" t="s">
        <v>4</v>
      </c>
      <c r="C116" s="28" t="s">
        <v>46</v>
      </c>
      <c r="D116" s="28" t="s">
        <v>109</v>
      </c>
      <c r="F116" s="72">
        <f>M116/$E$3</f>
      </c>
      <c r="G116" s="72">
        <f>IF(N116="","",N116/$E$3)</f>
      </c>
      <c r="H116" s="72">
        <f>IF(G116="","",G116-F116)</f>
      </c>
      <c r="M116" s="72">
        <f>SUMIFS('Détail fonctionnement'!$J$5:$J$505,'Détail fonctionnement'!$A$5:$A$505,$B116,'Détail fonctionnement'!$G$5:$G$505,"O",'Détail fonctionnement'!$B$5:$B$505,$C116,'Détail fonctionnement'!$C$5:$C$505,$D116)</f>
      </c>
      <c r="N116" s="72"/>
      <c r="O116" s="72">
        <f>IF(N116="","",N116-M116)</f>
      </c>
      <c r="Q116"/>
      <c r="R116"/>
      <c r="S116"/>
      <c r="T116"/>
      <c r="U116"/>
      <c r="V116"/>
      <c r="W116"/>
      <c r="X116"/>
      <c r="Y116"/>
    </row>
    <row r="117" hidden="1" spans="2:25" x14ac:dyDescent="0.25" outlineLevel="1">
      <c r="B117" s="10" t="s">
        <v>4</v>
      </c>
      <c r="C117" s="28" t="s">
        <v>53</v>
      </c>
      <c r="D117" s="28" t="s">
        <v>108</v>
      </c>
      <c r="F117" s="72">
        <f>M117/$E$3</f>
      </c>
      <c r="G117" s="72">
        <f>IF(N117="","",N117/$E$3)</f>
      </c>
      <c r="H117" s="72">
        <f>IF(G117="","",G117-F117)</f>
      </c>
      <c r="M117" s="72">
        <f>SUMIFS('Détail fonctionnement'!$J$5:$J$505,'Détail fonctionnement'!$A$5:$A$505,$B117,'Détail fonctionnement'!$G$5:$G$505,"O",'Détail fonctionnement'!$B$5:$B$505,$C117,'Détail fonctionnement'!$C$5:$C$505,$D117)</f>
      </c>
      <c r="N117" s="72"/>
      <c r="O117" s="72">
        <f>IF(N117="","",N117-M117)</f>
      </c>
      <c r="Q117"/>
      <c r="R117"/>
      <c r="S117"/>
      <c r="T117"/>
      <c r="U117"/>
      <c r="V117"/>
      <c r="W117"/>
      <c r="X117"/>
      <c r="Y117"/>
    </row>
    <row r="118" hidden="1" spans="2:25" x14ac:dyDescent="0.25" outlineLevel="1">
      <c r="B118" s="10" t="s">
        <v>4</v>
      </c>
      <c r="C118" s="28" t="s">
        <v>53</v>
      </c>
      <c r="D118" s="28" t="s">
        <v>109</v>
      </c>
      <c r="F118" s="72">
        <f>M118/$E$3</f>
      </c>
      <c r="G118" s="72">
        <f>IF(N118="","",N118/$E$3)</f>
      </c>
      <c r="H118" s="72">
        <f>IF(G118="","",G118-F118)</f>
      </c>
      <c r="M118" s="72">
        <f>SUMIFS('Détail fonctionnement'!$J$5:$J$505,'Détail fonctionnement'!$A$5:$A$505,$B118,'Détail fonctionnement'!$G$5:$G$505,"O",'Détail fonctionnement'!$B$5:$B$505,$C118,'Détail fonctionnement'!$C$5:$C$505,$D118)</f>
      </c>
      <c r="N118" s="72"/>
      <c r="O118" s="72">
        <f>IF(N118="","",N118-M118)</f>
      </c>
      <c r="Q118"/>
      <c r="R118"/>
      <c r="S118"/>
      <c r="T118"/>
      <c r="U118"/>
      <c r="V118"/>
      <c r="W118"/>
      <c r="X118"/>
      <c r="Y118"/>
    </row>
    <row r="119" hidden="1" spans="2:25" x14ac:dyDescent="0.25" outlineLevel="1">
      <c r="B119" s="10" t="s">
        <v>4</v>
      </c>
      <c r="C119" s="28" t="s">
        <v>61</v>
      </c>
      <c r="D119" s="28" t="s">
        <v>108</v>
      </c>
      <c r="F119" s="72">
        <f>M119/$E$3</f>
      </c>
      <c r="G119" s="72">
        <f>IF(N119="","",N119/$E$3)</f>
      </c>
      <c r="H119" s="72">
        <f>IF(G119="","",G119-F119)</f>
      </c>
      <c r="M119" s="72">
        <f>SUMIFS('Détail fonctionnement'!$J$5:$J$505,'Détail fonctionnement'!$A$5:$A$505,$B119,'Détail fonctionnement'!$G$5:$G$505,"O",'Détail fonctionnement'!$B$5:$B$505,$C119,'Détail fonctionnement'!$C$5:$C$505,$D119)</f>
      </c>
      <c r="N119" s="72"/>
      <c r="O119" s="72">
        <f>IF(N119="","",N119-M119)</f>
      </c>
      <c r="Q119"/>
      <c r="R119"/>
      <c r="S119"/>
      <c r="T119"/>
      <c r="U119"/>
      <c r="V119"/>
      <c r="W119"/>
      <c r="X119"/>
      <c r="Y119"/>
    </row>
    <row r="120" hidden="1" spans="2:25" x14ac:dyDescent="0.25" outlineLevel="1">
      <c r="B120" s="10" t="s">
        <v>4</v>
      </c>
      <c r="C120" s="28" t="s">
        <v>61</v>
      </c>
      <c r="D120" s="28" t="s">
        <v>109</v>
      </c>
      <c r="F120" s="72">
        <f>M120/$E$3</f>
      </c>
      <c r="G120" s="72">
        <f>IF(N120="","",N120/$E$3)</f>
      </c>
      <c r="H120" s="72">
        <f>IF(G120="","",G120-F120)</f>
      </c>
      <c r="M120" s="72">
        <f>SUMIFS('Détail fonctionnement'!$J$5:$J$505,'Détail fonctionnement'!$A$5:$A$505,$B120,'Détail fonctionnement'!$G$5:$G$505,"O",'Détail fonctionnement'!$B$5:$B$505,$C120,'Détail fonctionnement'!$C$5:$C$505,$D120)</f>
      </c>
      <c r="N120" s="72"/>
      <c r="O120" s="72">
        <f>IF(N120="","",N120-M120)</f>
      </c>
      <c r="Q120"/>
      <c r="R120"/>
      <c r="S120"/>
      <c r="T120"/>
      <c r="U120"/>
      <c r="V120"/>
      <c r="W120"/>
      <c r="X120"/>
      <c r="Y120"/>
    </row>
    <row r="121" hidden="1" spans="3:15" x14ac:dyDescent="0.25" outlineLevel="1">
      <c r="C121" s="54" t="s">
        <v>115</v>
      </c>
      <c r="D121" s="50"/>
      <c r="F121" s="55">
        <f>SUM(F105:F120)</f>
      </c>
      <c r="G121" s="55">
        <f>SUM(G105:G120)</f>
      </c>
      <c r="H121" s="55">
        <f>SUM(H105:H120)</f>
      </c>
      <c r="M121" s="55">
        <f>SUM(M105:M120)</f>
      </c>
      <c r="N121" s="55">
        <f>SUM(N105:N120)</f>
      </c>
      <c r="O121" s="55">
        <f>SUM(O105:O120)</f>
      </c>
    </row>
    <row r="122" hidden="1" outlineLevel="1"/>
    <row r="123" hidden="1" spans="3:4" x14ac:dyDescent="0.25" outlineLevel="1">
      <c r="C123" s="71" t="s">
        <v>116</v>
      </c>
      <c r="D123" s="71" t="s">
        <v>15</v>
      </c>
    </row>
    <row r="124" hidden="1" spans="2:25" x14ac:dyDescent="0.25" outlineLevel="1">
      <c r="B124" s="10" t="s">
        <v>5</v>
      </c>
      <c r="C124" s="28" t="s">
        <v>22</v>
      </c>
      <c r="D124" s="28" t="s">
        <v>109</v>
      </c>
      <c r="F124" s="72">
        <f>M124/$E$3</f>
      </c>
      <c r="G124" s="72">
        <f>IF(N124="","",N124/$E$3)</f>
      </c>
      <c r="H124" s="72">
        <f>IF(G124="","",G124-F124)</f>
      </c>
      <c r="M124" s="72">
        <f>SUMIFS('Détail fonctionnement'!$J$5:$J$505,'Détail fonctionnement'!$A$5:$A$505,$B124,'Détail fonctionnement'!$G$5:$G$505,"O",'Détail fonctionnement'!$B$5:$B$505,$C124,'Détail fonctionnement'!$C$5:$C$505,$D124)</f>
      </c>
      <c r="N124" s="72"/>
      <c r="O124" s="72">
        <f>IF(N124="","",N124-M124)</f>
      </c>
      <c r="Q124"/>
      <c r="R124"/>
      <c r="S124"/>
      <c r="T124"/>
      <c r="U124"/>
      <c r="V124"/>
      <c r="W124"/>
      <c r="X124"/>
      <c r="Y124"/>
    </row>
    <row r="125" hidden="1" spans="2:25" x14ac:dyDescent="0.25" outlineLevel="1">
      <c r="B125" s="10" t="s">
        <v>5</v>
      </c>
      <c r="C125" s="28" t="s">
        <v>22</v>
      </c>
      <c r="D125" s="28" t="s">
        <v>117</v>
      </c>
      <c r="F125" s="72">
        <f>M125/$E$3</f>
      </c>
      <c r="G125" s="72">
        <f>IF(N125="","",N125/$E$3)</f>
      </c>
      <c r="H125" s="72">
        <f>IF(G125="","",G125-F125)</f>
      </c>
      <c r="M125" s="72">
        <f>SUMIFS('Détail fonctionnement'!$J$5:$J$505,'Détail fonctionnement'!$A$5:$A$505,$B125,'Détail fonctionnement'!$G$5:$G$505,"O",'Détail fonctionnement'!$B$5:$B$505,$C125,'Détail fonctionnement'!$C$5:$C$505,$D125)</f>
      </c>
      <c r="N125" s="72"/>
      <c r="O125" s="72">
        <f>IF(N125="","",N125-M125)</f>
      </c>
      <c r="Q125"/>
      <c r="R125"/>
      <c r="S125"/>
      <c r="T125"/>
      <c r="U125"/>
      <c r="V125"/>
      <c r="W125"/>
      <c r="X125"/>
      <c r="Y125"/>
    </row>
    <row r="126" hidden="1" spans="2:25" x14ac:dyDescent="0.25" outlineLevel="1">
      <c r="B126" s="10" t="s">
        <v>5</v>
      </c>
      <c r="C126" s="28" t="s">
        <v>29</v>
      </c>
      <c r="D126" s="28" t="s">
        <v>110</v>
      </c>
      <c r="F126" s="72">
        <f>M126/$E$3</f>
      </c>
      <c r="G126" s="72">
        <f>IF(N126="","",N126/$E$3)</f>
      </c>
      <c r="H126" s="72">
        <f>IF(G126="","",G126-F126)</f>
      </c>
      <c r="M126" s="72">
        <f>SUMIFS('Détail fonctionnement'!$J$5:$J$505,'Détail fonctionnement'!$A$5:$A$505,$B126,'Détail fonctionnement'!$G$5:$G$505,"O",'Détail fonctionnement'!$B$5:$B$505,$C126,'Détail fonctionnement'!$C$5:$C$505,$D126)</f>
      </c>
      <c r="N126" s="72"/>
      <c r="O126" s="72">
        <f>IF(N126="","",N126-M126)</f>
      </c>
      <c r="Q126"/>
      <c r="R126"/>
      <c r="S126"/>
      <c r="T126"/>
      <c r="U126"/>
      <c r="V126"/>
      <c r="W126"/>
      <c r="X126"/>
      <c r="Y126"/>
    </row>
    <row r="127" hidden="1" spans="2:25" x14ac:dyDescent="0.25" outlineLevel="1">
      <c r="B127" s="10" t="s">
        <v>5</v>
      </c>
      <c r="C127" s="28" t="s">
        <v>36</v>
      </c>
      <c r="D127" s="28" t="s">
        <v>109</v>
      </c>
      <c r="F127" s="72">
        <f>M127/$E$3</f>
      </c>
      <c r="G127" s="72">
        <f>IF(N127="","",N127/$E$3)</f>
      </c>
      <c r="H127" s="72">
        <f>IF(G127="","",G127-F127)</f>
      </c>
      <c r="M127" s="72">
        <f>SUMIFS('Détail fonctionnement'!$J$5:$J$505,'Détail fonctionnement'!$A$5:$A$505,$B127,'Détail fonctionnement'!$G$5:$G$505,"O",'Détail fonctionnement'!$B$5:$B$505,$C127,'Détail fonctionnement'!$C$5:$C$505,$D127)</f>
      </c>
      <c r="N127" s="72"/>
      <c r="O127" s="72">
        <f>IF(N127="","",N127-M127)</f>
      </c>
      <c r="Q127"/>
      <c r="R127"/>
      <c r="S127"/>
      <c r="T127"/>
      <c r="U127"/>
      <c r="V127"/>
      <c r="W127"/>
      <c r="X127"/>
      <c r="Y127"/>
    </row>
    <row r="128" hidden="1" spans="2:25" x14ac:dyDescent="0.25" outlineLevel="1">
      <c r="B128" s="10" t="s">
        <v>5</v>
      </c>
      <c r="C128" s="28" t="s">
        <v>39</v>
      </c>
      <c r="D128" s="28" t="s">
        <v>107</v>
      </c>
      <c r="F128" s="72">
        <f>M128/$E$3</f>
      </c>
      <c r="G128" s="72">
        <f>IF(N128="","",N128/$E$3)</f>
      </c>
      <c r="H128" s="72">
        <f>IF(G128="","",G128-F128)</f>
      </c>
      <c r="M128" s="72">
        <f>SUMIFS('Détail fonctionnement'!$J$5:$J$505,'Détail fonctionnement'!$A$5:$A$505,$B128,'Détail fonctionnement'!$G$5:$G$505,"O",'Détail fonctionnement'!$B$5:$B$505,$C128,'Détail fonctionnement'!$C$5:$C$505,$D128)</f>
      </c>
      <c r="N128" s="72"/>
      <c r="O128" s="72">
        <f>IF(N128="","",N128-M128)</f>
      </c>
      <c r="Q128"/>
      <c r="R128"/>
      <c r="S128"/>
      <c r="T128"/>
      <c r="U128"/>
      <c r="V128"/>
      <c r="W128"/>
      <c r="X128"/>
      <c r="Y128"/>
    </row>
    <row r="129" hidden="1" spans="2:25" x14ac:dyDescent="0.25" outlineLevel="1">
      <c r="B129" s="10" t="s">
        <v>5</v>
      </c>
      <c r="C129" s="28" t="s">
        <v>39</v>
      </c>
      <c r="D129" s="28" t="s">
        <v>114</v>
      </c>
      <c r="F129" s="72">
        <f>M129/$E$3</f>
      </c>
      <c r="G129" s="72">
        <f>IF(N129="","",N129/$E$3)</f>
      </c>
      <c r="H129" s="72">
        <f>IF(G129="","",G129-F129)</f>
      </c>
      <c r="M129" s="72">
        <f>SUMIFS('Détail fonctionnement'!$J$5:$J$505,'Détail fonctionnement'!$A$5:$A$505,$B129,'Détail fonctionnement'!$G$5:$G$505,"O",'Détail fonctionnement'!$B$5:$B$505,$C129,'Détail fonctionnement'!$C$5:$C$505,$D129)</f>
      </c>
      <c r="N129" s="72"/>
      <c r="O129" s="72">
        <f>IF(N129="","",N129-M129)</f>
      </c>
      <c r="Q129"/>
      <c r="R129"/>
      <c r="S129"/>
      <c r="T129"/>
      <c r="U129"/>
      <c r="V129"/>
      <c r="W129"/>
      <c r="X129"/>
      <c r="Y129"/>
    </row>
    <row r="130" hidden="1" spans="2:25" x14ac:dyDescent="0.25" outlineLevel="1">
      <c r="B130" s="10" t="s">
        <v>5</v>
      </c>
      <c r="C130" s="28" t="s">
        <v>39</v>
      </c>
      <c r="D130" s="28" t="s">
        <v>108</v>
      </c>
      <c r="F130" s="72">
        <f>M130/$E$3</f>
      </c>
      <c r="G130" s="72">
        <f>IF(N130="","",N130/$E$3)</f>
      </c>
      <c r="H130" s="72">
        <f>IF(G130="","",G130-F130)</f>
      </c>
      <c r="M130" s="72">
        <f>SUMIFS('Détail fonctionnement'!$J$5:$J$505,'Détail fonctionnement'!$A$5:$A$505,$B130,'Détail fonctionnement'!$G$5:$G$505,"O",'Détail fonctionnement'!$B$5:$B$505,$C130,'Détail fonctionnement'!$C$5:$C$505,$D130)</f>
      </c>
      <c r="N130" s="72"/>
      <c r="O130" s="72">
        <f>IF(N130="","",N130-M130)</f>
      </c>
      <c r="Q130"/>
      <c r="R130"/>
      <c r="S130"/>
      <c r="T130"/>
      <c r="U130"/>
      <c r="V130"/>
      <c r="W130"/>
      <c r="X130"/>
      <c r="Y130"/>
    </row>
    <row r="131" hidden="1" spans="2:25" x14ac:dyDescent="0.25" outlineLevel="1">
      <c r="B131" s="10" t="s">
        <v>5</v>
      </c>
      <c r="C131" s="28" t="s">
        <v>39</v>
      </c>
      <c r="D131" s="28" t="s">
        <v>117</v>
      </c>
      <c r="F131" s="72">
        <f>M131/$E$3</f>
      </c>
      <c r="G131" s="72">
        <f>IF(N131="","",N131/$E$3)</f>
      </c>
      <c r="H131" s="72">
        <f>IF(G131="","",G131-F131)</f>
      </c>
      <c r="M131" s="72">
        <f>SUMIFS('Détail fonctionnement'!$J$5:$J$505,'Détail fonctionnement'!$A$5:$A$505,$B131,'Détail fonctionnement'!$G$5:$G$505,"O",'Détail fonctionnement'!$B$5:$B$505,$C131,'Détail fonctionnement'!$C$5:$C$505,$D131)</f>
      </c>
      <c r="N131" s="72"/>
      <c r="O131" s="72">
        <f>IF(N131="","",N131-M131)</f>
      </c>
      <c r="Q131"/>
      <c r="R131"/>
      <c r="S131"/>
      <c r="T131"/>
      <c r="U131"/>
      <c r="V131"/>
      <c r="W131"/>
      <c r="X131"/>
      <c r="Y131"/>
    </row>
    <row r="132" hidden="1" spans="2:25" x14ac:dyDescent="0.25" outlineLevel="1">
      <c r="B132" s="10" t="s">
        <v>5</v>
      </c>
      <c r="C132" s="28" t="s">
        <v>39</v>
      </c>
      <c r="D132" s="28" t="s">
        <v>111</v>
      </c>
      <c r="F132" s="72">
        <f>M132/$E$3</f>
      </c>
      <c r="G132" s="72">
        <f>IF(N132="","",N132/$E$3)</f>
      </c>
      <c r="H132" s="72">
        <f>IF(G132="","",G132-F132)</f>
      </c>
      <c r="M132" s="72">
        <f>SUMIFS('Détail fonctionnement'!$J$5:$J$505,'Détail fonctionnement'!$A$5:$A$505,$B132,'Détail fonctionnement'!$G$5:$G$505,"O",'Détail fonctionnement'!$B$5:$B$505,$C132,'Détail fonctionnement'!$C$5:$C$505,$D132)</f>
      </c>
      <c r="N132" s="72"/>
      <c r="O132" s="72">
        <f>IF(N132="","",N132-M132)</f>
      </c>
      <c r="Q132"/>
      <c r="R132"/>
      <c r="S132"/>
      <c r="T132"/>
      <c r="U132"/>
      <c r="V132"/>
      <c r="W132"/>
      <c r="X132"/>
      <c r="Y132"/>
    </row>
    <row r="133" hidden="1" spans="2:25" x14ac:dyDescent="0.25" outlineLevel="1">
      <c r="B133" s="10" t="s">
        <v>5</v>
      </c>
      <c r="C133" s="28" t="s">
        <v>46</v>
      </c>
      <c r="D133" s="28" t="s">
        <v>109</v>
      </c>
      <c r="F133" s="72">
        <f>M133/$E$3</f>
      </c>
      <c r="G133" s="72">
        <f>IF(N133="","",N133/$E$3)</f>
      </c>
      <c r="H133" s="72">
        <f>IF(G133="","",G133-F133)</f>
      </c>
      <c r="M133" s="72">
        <f>SUMIFS('Détail fonctionnement'!$J$5:$J$505,'Détail fonctionnement'!$A$5:$A$505,$B133,'Détail fonctionnement'!$G$5:$G$505,"O",'Détail fonctionnement'!$B$5:$B$505,$C133,'Détail fonctionnement'!$C$5:$C$505,$D133)</f>
      </c>
      <c r="N133" s="72"/>
      <c r="O133" s="72">
        <f>IF(N133="","",N133-M133)</f>
      </c>
      <c r="Q133"/>
      <c r="R133"/>
      <c r="S133"/>
      <c r="T133"/>
      <c r="U133"/>
      <c r="V133"/>
      <c r="W133"/>
      <c r="X133"/>
      <c r="Y133"/>
    </row>
    <row r="134" hidden="1" spans="2:25" x14ac:dyDescent="0.25" outlineLevel="1">
      <c r="B134" s="10" t="s">
        <v>5</v>
      </c>
      <c r="C134" s="28" t="s">
        <v>46</v>
      </c>
      <c r="D134" s="28" t="s">
        <v>117</v>
      </c>
      <c r="F134" s="72">
        <f>M134/$E$3</f>
      </c>
      <c r="G134" s="72">
        <f>IF(N134="","",N134/$E$3)</f>
      </c>
      <c r="H134" s="72">
        <f>IF(G134="","",G134-F134)</f>
      </c>
      <c r="M134" s="72">
        <f>SUMIFS('Détail fonctionnement'!$J$5:$J$505,'Détail fonctionnement'!$A$5:$A$505,$B134,'Détail fonctionnement'!$G$5:$G$505,"O",'Détail fonctionnement'!$B$5:$B$505,$C134,'Détail fonctionnement'!$C$5:$C$505,$D134)</f>
      </c>
      <c r="N134" s="72"/>
      <c r="O134" s="72">
        <f>IF(N134="","",N134-M134)</f>
      </c>
      <c r="Q134"/>
      <c r="R134"/>
      <c r="S134"/>
      <c r="T134"/>
      <c r="U134"/>
      <c r="V134"/>
      <c r="W134"/>
      <c r="X134"/>
      <c r="Y134"/>
    </row>
    <row r="135" hidden="1" spans="2:25" x14ac:dyDescent="0.25" outlineLevel="1">
      <c r="B135" s="10" t="s">
        <v>5</v>
      </c>
      <c r="C135" s="28" t="s">
        <v>53</v>
      </c>
      <c r="D135" s="28" t="s">
        <v>109</v>
      </c>
      <c r="F135" s="72">
        <f>M135/$E$3</f>
      </c>
      <c r="G135" s="72">
        <f>IF(N135="","",N135/$E$3)</f>
      </c>
      <c r="H135" s="72">
        <f>IF(G135="","",G135-F135)</f>
      </c>
      <c r="M135" s="72">
        <f>SUMIFS('Détail fonctionnement'!$J$5:$J$505,'Détail fonctionnement'!$A$5:$A$505,$B135,'Détail fonctionnement'!$G$5:$G$505,"O",'Détail fonctionnement'!$B$5:$B$505,$C135,'Détail fonctionnement'!$C$5:$C$505,$D135)</f>
      </c>
      <c r="N135" s="72"/>
      <c r="O135" s="72">
        <f>IF(N135="","",N135-M135)</f>
      </c>
      <c r="Q135"/>
      <c r="R135"/>
      <c r="S135"/>
      <c r="T135"/>
      <c r="U135"/>
      <c r="V135"/>
      <c r="W135"/>
      <c r="X135"/>
      <c r="Y135"/>
    </row>
    <row r="136" hidden="1" spans="2:25" x14ac:dyDescent="0.25" outlineLevel="1">
      <c r="B136" s="10" t="s">
        <v>5</v>
      </c>
      <c r="C136" s="28" t="s">
        <v>53</v>
      </c>
      <c r="D136" s="28" t="s">
        <v>117</v>
      </c>
      <c r="F136" s="72">
        <f>M136/$E$3</f>
      </c>
      <c r="G136" s="72">
        <f>IF(N136="","",N136/$E$3)</f>
      </c>
      <c r="H136" s="72">
        <f>IF(G136="","",G136-F136)</f>
      </c>
      <c r="M136" s="72">
        <f>SUMIFS('Détail fonctionnement'!$J$5:$J$505,'Détail fonctionnement'!$A$5:$A$505,$B136,'Détail fonctionnement'!$G$5:$G$505,"O",'Détail fonctionnement'!$B$5:$B$505,$C136,'Détail fonctionnement'!$C$5:$C$505,$D136)</f>
      </c>
      <c r="N136" s="72"/>
      <c r="O136" s="72">
        <f>IF(N136="","",N136-M136)</f>
      </c>
      <c r="Q136"/>
      <c r="R136"/>
      <c r="S136"/>
      <c r="T136"/>
      <c r="U136"/>
      <c r="V136"/>
      <c r="W136"/>
      <c r="X136"/>
      <c r="Y136"/>
    </row>
    <row r="137" hidden="1" spans="2:25" x14ac:dyDescent="0.25" outlineLevel="1">
      <c r="B137" s="10" t="s">
        <v>5</v>
      </c>
      <c r="C137" s="28" t="s">
        <v>61</v>
      </c>
      <c r="D137" s="28" t="s">
        <v>109</v>
      </c>
      <c r="F137" s="72">
        <f>M137/$E$3</f>
      </c>
      <c r="G137" s="72">
        <f>IF(N137="","",N137/$E$3)</f>
      </c>
      <c r="H137" s="72">
        <f>IF(G137="","",G137-F137)</f>
      </c>
      <c r="M137" s="72">
        <f>SUMIFS('Détail fonctionnement'!$J$5:$J$505,'Détail fonctionnement'!$A$5:$A$505,$B137,'Détail fonctionnement'!$G$5:$G$505,"O",'Détail fonctionnement'!$B$5:$B$505,$C137,'Détail fonctionnement'!$C$5:$C$505,$D137)</f>
      </c>
      <c r="N137" s="72"/>
      <c r="O137" s="72">
        <f>IF(N137="","",N137-M137)</f>
      </c>
      <c r="Q137"/>
      <c r="R137"/>
      <c r="S137"/>
      <c r="T137"/>
      <c r="U137"/>
      <c r="V137"/>
      <c r="W137"/>
      <c r="X137"/>
      <c r="Y137"/>
    </row>
    <row r="138" hidden="1" spans="3:15" x14ac:dyDescent="0.25" outlineLevel="1">
      <c r="C138" s="54" t="s">
        <v>118</v>
      </c>
      <c r="D138" s="50"/>
      <c r="F138" s="55">
        <f>SUM(F124:F137)</f>
      </c>
      <c r="G138" s="55">
        <f>SUM(G124:G137)</f>
      </c>
      <c r="H138" s="55">
        <f>SUM(H124:H137)</f>
      </c>
      <c r="M138" s="55">
        <f>SUM(M124:M137)</f>
      </c>
      <c r="N138" s="55">
        <f>SUM(N124:N137)</f>
      </c>
      <c r="O138" s="55">
        <f>SUM(O124:O137)</f>
      </c>
    </row>
    <row r="139" hidden="1" outlineLevel="1"/>
    <row r="140" hidden="1" spans="3:4" x14ac:dyDescent="0.25" outlineLevel="1">
      <c r="C140" s="71" t="s">
        <v>119</v>
      </c>
      <c r="D140" s="71" t="s">
        <v>15</v>
      </c>
    </row>
    <row r="141" hidden="1" spans="2:25" x14ac:dyDescent="0.25" outlineLevel="1">
      <c r="B141" s="10" t="s">
        <v>6</v>
      </c>
      <c r="C141" s="28" t="s">
        <v>39</v>
      </c>
      <c r="D141" s="28" t="s">
        <v>107</v>
      </c>
      <c r="F141" s="72">
        <f>M141/$E$3</f>
      </c>
      <c r="G141" s="72">
        <f>IF(N141="","",N141/$E$3)</f>
      </c>
      <c r="H141" s="72">
        <f>IF(G141="","",G141-F141)</f>
      </c>
      <c r="M141" s="72">
        <f>SUMIFS('Détail fonctionnement'!$J$5:$J$505,'Détail fonctionnement'!$A$5:$A$505,$B141,'Détail fonctionnement'!$G$5:$G$505,"O",'Détail fonctionnement'!$B$5:$B$505,$C141,'Détail fonctionnement'!$C$5:$C$505,$D141)</f>
      </c>
      <c r="N141" s="72"/>
      <c r="O141" s="72">
        <f>IF(N141="","",N141-M141)</f>
      </c>
      <c r="Q141"/>
      <c r="R141"/>
      <c r="S141"/>
      <c r="T141"/>
      <c r="U141"/>
      <c r="V141"/>
      <c r="W141"/>
      <c r="X141"/>
      <c r="Y141"/>
    </row>
    <row r="142" hidden="1" spans="2:25" x14ac:dyDescent="0.25" outlineLevel="1">
      <c r="B142" s="10" t="s">
        <v>6</v>
      </c>
      <c r="C142" s="28" t="s">
        <v>39</v>
      </c>
      <c r="D142" s="28" t="s">
        <v>114</v>
      </c>
      <c r="F142" s="72">
        <f>M142/$E$3</f>
      </c>
      <c r="G142" s="72">
        <f>IF(N142="","",N142/$E$3)</f>
      </c>
      <c r="H142" s="72">
        <f>IF(G142="","",G142-F142)</f>
      </c>
      <c r="M142" s="72">
        <f>SUMIFS('Détail fonctionnement'!$J$5:$J$505,'Détail fonctionnement'!$A$5:$A$505,$B142,'Détail fonctionnement'!$G$5:$G$505,"O",'Détail fonctionnement'!$B$5:$B$505,$C142,'Détail fonctionnement'!$C$5:$C$505,$D142)</f>
      </c>
      <c r="N142" s="72"/>
      <c r="O142" s="72">
        <f>IF(N142="","",N142-M142)</f>
      </c>
      <c r="Q142"/>
      <c r="R142"/>
      <c r="S142"/>
      <c r="T142"/>
      <c r="U142"/>
      <c r="V142"/>
      <c r="W142"/>
      <c r="X142"/>
      <c r="Y142"/>
    </row>
    <row r="143" hidden="1" spans="3:15" x14ac:dyDescent="0.25" outlineLevel="1">
      <c r="C143" s="54" t="s">
        <v>120</v>
      </c>
      <c r="D143" s="50"/>
      <c r="F143" s="55">
        <f>SUM(F141:F142)</f>
      </c>
      <c r="G143" s="55">
        <f>SUM(G141:G142)</f>
      </c>
      <c r="H143" s="55">
        <f>SUM(H141:H142)</f>
      </c>
      <c r="M143" s="55">
        <f>SUM(M141:M142)</f>
      </c>
      <c r="N143" s="55">
        <f>SUM(N141:N142)</f>
      </c>
      <c r="O143" s="55">
        <f>SUM(O141:O142)</f>
      </c>
    </row>
    <row r="144" hidden="1" outlineLevel="1"/>
    <row r="145" hidden="1" spans="3:4" x14ac:dyDescent="0.25" outlineLevel="1">
      <c r="C145" s="71" t="s">
        <v>121</v>
      </c>
      <c r="D145" s="71" t="s">
        <v>15</v>
      </c>
    </row>
    <row r="146" hidden="1" spans="2:25" x14ac:dyDescent="0.25" outlineLevel="1">
      <c r="B146" s="10" t="s">
        <v>7</v>
      </c>
      <c r="C146" s="28" t="s">
        <v>39</v>
      </c>
      <c r="D146" s="28" t="s">
        <v>107</v>
      </c>
      <c r="F146" s="72">
        <f>M146/$E$3</f>
      </c>
      <c r="G146" s="72">
        <f>IF(N146="","",N146/$E$3)</f>
      </c>
      <c r="H146" s="72">
        <f>IF(G146="","",G146-F146)</f>
      </c>
      <c r="M146" s="72">
        <f>SUMIFS('Détail fonctionnement'!$J$5:$J$505,'Détail fonctionnement'!$A$5:$A$505,$B146,'Détail fonctionnement'!$G$5:$G$505,"O",'Détail fonctionnement'!$B$5:$B$505,$C146,'Détail fonctionnement'!$C$5:$C$505,$D146)</f>
      </c>
      <c r="N146" s="72"/>
      <c r="O146" s="72">
        <f>IF(N146="","",N146-M146)</f>
      </c>
      <c r="Q146"/>
      <c r="R146"/>
      <c r="S146"/>
      <c r="T146"/>
      <c r="U146"/>
      <c r="V146"/>
      <c r="W146"/>
      <c r="X146"/>
      <c r="Y146"/>
    </row>
    <row r="147" hidden="1" spans="3:15" x14ac:dyDescent="0.25" outlineLevel="1">
      <c r="C147" s="54" t="s">
        <v>122</v>
      </c>
      <c r="D147" s="50"/>
      <c r="F147" s="55">
        <f>SUM(F146:F146)</f>
      </c>
      <c r="G147" s="55">
        <f>SUM(G146:G146)</f>
      </c>
      <c r="H147" s="55">
        <f>SUM(H146:H146)</f>
      </c>
      <c r="M147" s="55">
        <f>SUM(M146:M146)</f>
      </c>
      <c r="N147" s="55">
        <f>SUM(N146:N146)</f>
      </c>
      <c r="O147" s="55">
        <f>SUM(O146:O146)</f>
      </c>
    </row>
    <row r="148" collapsed="1"/>
    <row r="149" spans="1:4" x14ac:dyDescent="0.25">
      <c r="A149" s="66" t="s">
        <v>123</v>
      </c>
      <c r="B149" s="67"/>
      <c r="C149" s="67"/>
      <c r="D149" s="67"/>
    </row>
    <row r="150" ht="28.5" customHeight="1" hidden="1" spans="2:25" x14ac:dyDescent="0.25" outlineLevel="1">
      <c r="B150" s="68" t="s">
        <v>2</v>
      </c>
      <c r="C150" s="68" t="s">
        <v>97</v>
      </c>
      <c r="D150" s="68" t="s">
        <v>98</v>
      </c>
      <c r="F150" s="69" t="s">
        <v>99</v>
      </c>
      <c r="G150" s="69" t="s">
        <v>100</v>
      </c>
      <c r="H150" s="69" t="s">
        <v>101</v>
      </c>
      <c r="M150" s="70" t="s">
        <v>102</v>
      </c>
      <c r="N150" s="70" t="s">
        <v>103</v>
      </c>
      <c r="O150" s="70" t="s">
        <v>104</v>
      </c>
      <c r="P150" s="70" t="s">
        <v>105</v>
      </c>
      <c r="Q150" s="70"/>
      <c r="R150" s="70"/>
      <c r="S150" s="70"/>
      <c r="T150" s="70"/>
      <c r="U150" s="70"/>
      <c r="V150" s="70"/>
      <c r="W150" s="70"/>
      <c r="X150" s="70"/>
      <c r="Y150" s="70"/>
    </row>
    <row r="151" hidden="1" spans="3:4" x14ac:dyDescent="0.25" outlineLevel="1">
      <c r="C151" s="71" t="s">
        <v>106</v>
      </c>
      <c r="D151" s="71" t="s">
        <v>15</v>
      </c>
    </row>
    <row r="152" hidden="1" spans="2:25" x14ac:dyDescent="0.25" outlineLevel="1">
      <c r="B152" s="10" t="s">
        <v>3</v>
      </c>
      <c r="C152" s="28" t="s">
        <v>33</v>
      </c>
      <c r="D152" s="28" t="s">
        <v>124</v>
      </c>
      <c r="F152" s="72">
        <f>M152/$E$3</f>
      </c>
      <c r="G152" s="72">
        <f>IF(N152="","",N152/$E$3)</f>
      </c>
      <c r="H152" s="72">
        <f>IF(G152="","",G152-F152)</f>
      </c>
      <c r="M152" s="72">
        <f>SUMIFS('Détail projets &amp; dettes'!$M$5:$M$500,'Détail projets &amp; dettes'!$A$5:$A$500,$B152,'Détail projets &amp; dettes'!$J$5:$J$500,"O",'Détail projets &amp; dettes'!$C$5:$C$500,$C152,'Détail projets &amp; dettes'!$D$5:$D$500,$D152)</f>
      </c>
      <c r="N152" s="72"/>
      <c r="O152" s="72">
        <f>IF(N152="","",N152-M152)</f>
      </c>
      <c r="Q152"/>
      <c r="R152"/>
      <c r="S152"/>
      <c r="T152"/>
      <c r="U152"/>
      <c r="V152"/>
      <c r="W152"/>
      <c r="X152"/>
      <c r="Y152"/>
    </row>
    <row r="153" hidden="1" spans="2:25" x14ac:dyDescent="0.25" outlineLevel="1">
      <c r="B153" s="10" t="s">
        <v>3</v>
      </c>
      <c r="C153" s="28" t="s">
        <v>33</v>
      </c>
      <c r="D153" s="28" t="s">
        <v>125</v>
      </c>
      <c r="F153" s="72">
        <f>M153/$E$3</f>
      </c>
      <c r="G153" s="72">
        <f>IF(N153="","",N153/$E$3)</f>
      </c>
      <c r="H153" s="72">
        <f>IF(G153="","",G153-F153)</f>
      </c>
      <c r="M153" s="72">
        <f>SUMIFS('Détail projets &amp; dettes'!$M$5:$M$500,'Détail projets &amp; dettes'!$A$5:$A$500,$B153,'Détail projets &amp; dettes'!$J$5:$J$500,"O",'Détail projets &amp; dettes'!$C$5:$C$500,$C153,'Détail projets &amp; dettes'!$D$5:$D$500,$D153)</f>
      </c>
      <c r="N153" s="72"/>
      <c r="O153" s="72">
        <f>IF(N153="","",N153-M153)</f>
      </c>
      <c r="Q153"/>
      <c r="R153"/>
      <c r="S153"/>
      <c r="T153"/>
      <c r="U153"/>
      <c r="V153"/>
      <c r="W153"/>
      <c r="X153"/>
      <c r="Y153"/>
    </row>
    <row r="154" hidden="1" spans="2:25" x14ac:dyDescent="0.25" outlineLevel="1">
      <c r="B154" s="10" t="s">
        <v>3</v>
      </c>
      <c r="C154" s="28" t="s">
        <v>33</v>
      </c>
      <c r="D154" s="28" t="s">
        <v>126</v>
      </c>
      <c r="F154" s="72">
        <f>M154/$E$3</f>
      </c>
      <c r="G154" s="72">
        <f>IF(N154="","",N154/$E$3)</f>
      </c>
      <c r="H154" s="72">
        <f>IF(G154="","",G154-F154)</f>
      </c>
      <c r="M154" s="72">
        <f>SUMIFS('Détail projets &amp; dettes'!$M$5:$M$500,'Détail projets &amp; dettes'!$A$5:$A$500,$B154,'Détail projets &amp; dettes'!$J$5:$J$500,"O",'Détail projets &amp; dettes'!$C$5:$C$500,$C154,'Détail projets &amp; dettes'!$D$5:$D$500,$D154)</f>
      </c>
      <c r="N154" s="72"/>
      <c r="O154" s="72">
        <f>IF(N154="","",N154-M154)</f>
      </c>
      <c r="Q154"/>
      <c r="R154"/>
      <c r="S154"/>
      <c r="T154"/>
      <c r="U154"/>
      <c r="V154"/>
      <c r="W154"/>
      <c r="X154"/>
      <c r="Y154"/>
    </row>
    <row r="155" hidden="1" spans="2:25" x14ac:dyDescent="0.25" outlineLevel="1">
      <c r="B155" s="10" t="s">
        <v>3</v>
      </c>
      <c r="C155" s="28" t="s">
        <v>33</v>
      </c>
      <c r="D155" s="28" t="s">
        <v>127</v>
      </c>
      <c r="F155" s="72">
        <f>M155/$E$3</f>
      </c>
      <c r="G155" s="72">
        <f>IF(N155="","",N155/$E$3)</f>
      </c>
      <c r="H155" s="72">
        <f>IF(G155="","",G155-F155)</f>
      </c>
      <c r="M155" s="72">
        <f>SUMIFS('Détail projets &amp; dettes'!$M$5:$M$500,'Détail projets &amp; dettes'!$A$5:$A$500,$B155,'Détail projets &amp; dettes'!$J$5:$J$500,"O",'Détail projets &amp; dettes'!$C$5:$C$500,$C155,'Détail projets &amp; dettes'!$D$5:$D$500,$D155)</f>
      </c>
      <c r="N155" s="72"/>
      <c r="O155" s="72">
        <f>IF(N155="","",N155-M155)</f>
      </c>
      <c r="Q155"/>
      <c r="R155"/>
      <c r="S155"/>
      <c r="T155"/>
      <c r="U155"/>
      <c r="V155"/>
      <c r="W155"/>
      <c r="X155"/>
      <c r="Y155"/>
    </row>
    <row r="156" hidden="1" spans="2:25" x14ac:dyDescent="0.25" outlineLevel="1">
      <c r="B156" s="10" t="s">
        <v>3</v>
      </c>
      <c r="C156" s="28" t="s">
        <v>33</v>
      </c>
      <c r="D156" s="28" t="s">
        <v>128</v>
      </c>
      <c r="F156" s="72">
        <f>M156/$E$3</f>
      </c>
      <c r="G156" s="72">
        <f>IF(N156="","",N156/$E$3)</f>
      </c>
      <c r="H156" s="72">
        <f>IF(G156="","",G156-F156)</f>
      </c>
      <c r="M156" s="72">
        <f>SUMIFS('Détail projets &amp; dettes'!$M$5:$M$500,'Détail projets &amp; dettes'!$A$5:$A$500,$B156,'Détail projets &amp; dettes'!$J$5:$J$500,"O",'Détail projets &amp; dettes'!$C$5:$C$500,$C156,'Détail projets &amp; dettes'!$D$5:$D$500,$D156)</f>
      </c>
      <c r="N156" s="72"/>
      <c r="O156" s="72">
        <f>IF(N156="","",N156-M156)</f>
      </c>
      <c r="Q156"/>
      <c r="R156"/>
      <c r="S156"/>
      <c r="T156"/>
      <c r="U156"/>
      <c r="V156"/>
      <c r="W156"/>
      <c r="X156"/>
      <c r="Y156"/>
    </row>
    <row r="157" hidden="1" spans="2:25" x14ac:dyDescent="0.25" outlineLevel="1">
      <c r="B157" s="10" t="s">
        <v>3</v>
      </c>
      <c r="C157" s="28" t="s">
        <v>36</v>
      </c>
      <c r="D157" s="28" t="s">
        <v>124</v>
      </c>
      <c r="F157" s="72">
        <f>M157/$E$3</f>
      </c>
      <c r="G157" s="72">
        <f>IF(N157="","",N157/$E$3)</f>
      </c>
      <c r="H157" s="72">
        <f>IF(G157="","",G157-F157)</f>
      </c>
      <c r="M157" s="72">
        <f>SUMIFS('Détail projets &amp; dettes'!$M$5:$M$500,'Détail projets &amp; dettes'!$A$5:$A$500,$B157,'Détail projets &amp; dettes'!$J$5:$J$500,"O",'Détail projets &amp; dettes'!$C$5:$C$500,$C157,'Détail projets &amp; dettes'!$D$5:$D$500,$D157)</f>
      </c>
      <c r="N157" s="72"/>
      <c r="O157" s="72">
        <f>IF(N157="","",N157-M157)</f>
      </c>
      <c r="Q157"/>
      <c r="R157"/>
      <c r="S157"/>
      <c r="T157"/>
      <c r="U157"/>
      <c r="V157"/>
      <c r="W157"/>
      <c r="X157"/>
      <c r="Y157"/>
    </row>
    <row r="158" hidden="1" spans="2:25" x14ac:dyDescent="0.25" outlineLevel="1">
      <c r="B158" s="10" t="s">
        <v>3</v>
      </c>
      <c r="C158" s="28" t="s">
        <v>36</v>
      </c>
      <c r="D158" s="28" t="s">
        <v>125</v>
      </c>
      <c r="F158" s="72">
        <f>M158/$E$3</f>
      </c>
      <c r="G158" s="72">
        <f>IF(N158="","",N158/$E$3)</f>
      </c>
      <c r="H158" s="72">
        <f>IF(G158="","",G158-F158)</f>
      </c>
      <c r="M158" s="72">
        <f>SUMIFS('Détail projets &amp; dettes'!$M$5:$M$500,'Détail projets &amp; dettes'!$A$5:$A$500,$B158,'Détail projets &amp; dettes'!$J$5:$J$500,"O",'Détail projets &amp; dettes'!$C$5:$C$500,$C158,'Détail projets &amp; dettes'!$D$5:$D$500,$D158)</f>
      </c>
      <c r="N158" s="72"/>
      <c r="O158" s="72">
        <f>IF(N158="","",N158-M158)</f>
      </c>
      <c r="Q158"/>
      <c r="R158"/>
      <c r="S158"/>
      <c r="T158"/>
      <c r="U158"/>
      <c r="V158"/>
      <c r="W158"/>
      <c r="X158"/>
      <c r="Y158"/>
    </row>
    <row r="159" hidden="1" spans="2:25" x14ac:dyDescent="0.25" outlineLevel="1">
      <c r="B159" s="10" t="s">
        <v>3</v>
      </c>
      <c r="C159" s="28" t="s">
        <v>36</v>
      </c>
      <c r="D159" s="28" t="s">
        <v>126</v>
      </c>
      <c r="F159" s="72">
        <f>M159/$E$3</f>
      </c>
      <c r="G159" s="72">
        <f>IF(N159="","",N159/$E$3)</f>
      </c>
      <c r="H159" s="72">
        <f>IF(G159="","",G159-F159)</f>
      </c>
      <c r="M159" s="72">
        <f>SUMIFS('Détail projets &amp; dettes'!$M$5:$M$500,'Détail projets &amp; dettes'!$A$5:$A$500,$B159,'Détail projets &amp; dettes'!$J$5:$J$500,"O",'Détail projets &amp; dettes'!$C$5:$C$500,$C159,'Détail projets &amp; dettes'!$D$5:$D$500,$D159)</f>
      </c>
      <c r="N159" s="72"/>
      <c r="O159" s="72">
        <f>IF(N159="","",N159-M159)</f>
      </c>
      <c r="Q159"/>
      <c r="R159"/>
      <c r="S159"/>
      <c r="T159"/>
      <c r="U159"/>
      <c r="V159"/>
      <c r="W159"/>
      <c r="X159"/>
      <c r="Y159"/>
    </row>
    <row r="160" hidden="1" spans="2:25" x14ac:dyDescent="0.25" outlineLevel="1">
      <c r="B160" s="10" t="s">
        <v>3</v>
      </c>
      <c r="C160" s="28" t="s">
        <v>36</v>
      </c>
      <c r="D160" s="28" t="s">
        <v>127</v>
      </c>
      <c r="F160" s="72">
        <f>M160/$E$3</f>
      </c>
      <c r="G160" s="72">
        <f>IF(N160="","",N160/$E$3)</f>
      </c>
      <c r="H160" s="72">
        <f>IF(G160="","",G160-F160)</f>
      </c>
      <c r="M160" s="72">
        <f>SUMIFS('Détail projets &amp; dettes'!$M$5:$M$500,'Détail projets &amp; dettes'!$A$5:$A$500,$B160,'Détail projets &amp; dettes'!$J$5:$J$500,"O",'Détail projets &amp; dettes'!$C$5:$C$500,$C160,'Détail projets &amp; dettes'!$D$5:$D$500,$D160)</f>
      </c>
      <c r="N160" s="72"/>
      <c r="O160" s="72">
        <f>IF(N160="","",N160-M160)</f>
      </c>
      <c r="Q160"/>
      <c r="R160"/>
      <c r="S160"/>
      <c r="T160"/>
      <c r="U160"/>
      <c r="V160"/>
      <c r="W160"/>
      <c r="X160"/>
      <c r="Y160"/>
    </row>
    <row r="161" hidden="1" spans="2:25" x14ac:dyDescent="0.25" outlineLevel="1">
      <c r="B161" s="10" t="s">
        <v>3</v>
      </c>
      <c r="C161" s="28" t="s">
        <v>36</v>
      </c>
      <c r="D161" s="28" t="s">
        <v>128</v>
      </c>
      <c r="F161" s="72">
        <f>M161/$E$3</f>
      </c>
      <c r="G161" s="72">
        <f>IF(N161="","",N161/$E$3)</f>
      </c>
      <c r="H161" s="72">
        <f>IF(G161="","",G161-F161)</f>
      </c>
      <c r="M161" s="72">
        <f>SUMIFS('Détail projets &amp; dettes'!$M$5:$M$500,'Détail projets &amp; dettes'!$A$5:$A$500,$B161,'Détail projets &amp; dettes'!$J$5:$J$500,"O",'Détail projets &amp; dettes'!$C$5:$C$500,$C161,'Détail projets &amp; dettes'!$D$5:$D$500,$D161)</f>
      </c>
      <c r="N161" s="72"/>
      <c r="O161" s="72">
        <f>IF(N161="","",N161-M161)</f>
      </c>
      <c r="Q161"/>
      <c r="R161"/>
      <c r="S161"/>
      <c r="T161"/>
      <c r="U161"/>
      <c r="V161"/>
      <c r="W161"/>
      <c r="X161"/>
      <c r="Y161"/>
    </row>
    <row r="162" hidden="1" spans="3:15" x14ac:dyDescent="0.25" outlineLevel="1">
      <c r="C162" s="54" t="s">
        <v>112</v>
      </c>
      <c r="D162" s="50"/>
      <c r="F162" s="55">
        <f>SUM(F152:F161)</f>
      </c>
      <c r="G162" s="55">
        <f>SUM(G152:G161)</f>
      </c>
      <c r="H162" s="55">
        <f>SUM(H152:H161)</f>
      </c>
      <c r="M162" s="55">
        <f>SUM(M152:M161)</f>
      </c>
      <c r="N162" s="55">
        <f>SUM(N152:N161)</f>
      </c>
      <c r="O162" s="55">
        <f>SUM(O152:O161)</f>
      </c>
    </row>
    <row r="163" hidden="1" outlineLevel="1"/>
    <row r="164" hidden="1" spans="3:4" x14ac:dyDescent="0.25" outlineLevel="1">
      <c r="C164" s="71" t="s">
        <v>113</v>
      </c>
      <c r="D164" s="71" t="s">
        <v>15</v>
      </c>
    </row>
    <row r="165" hidden="1" spans="2:25" x14ac:dyDescent="0.25" outlineLevel="1">
      <c r="B165" s="10" t="s">
        <v>4</v>
      </c>
      <c r="C165" s="28" t="s">
        <v>33</v>
      </c>
      <c r="D165" s="28" t="s">
        <v>125</v>
      </c>
      <c r="F165" s="72">
        <f>M165/$E$3</f>
      </c>
      <c r="G165" s="72">
        <f>IF(N165="","",N165/$E$3)</f>
      </c>
      <c r="H165" s="72">
        <f>IF(G165="","",G165-F165)</f>
      </c>
      <c r="M165" s="72">
        <f>SUMIFS('Détail projets &amp; dettes'!$M$5:$M$500,'Détail projets &amp; dettes'!$A$5:$A$500,$B165,'Détail projets &amp; dettes'!$J$5:$J$500,"O",'Détail projets &amp; dettes'!$C$5:$C$500,$C165,'Détail projets &amp; dettes'!$D$5:$D$500,$D165)</f>
      </c>
      <c r="N165" s="72"/>
      <c r="O165" s="72">
        <f>IF(N165="","",N165-M165)</f>
      </c>
      <c r="Q165"/>
      <c r="R165"/>
      <c r="S165"/>
      <c r="T165"/>
      <c r="U165"/>
      <c r="V165"/>
      <c r="W165"/>
      <c r="X165"/>
      <c r="Y165"/>
    </row>
    <row r="166" hidden="1" spans="2:25" x14ac:dyDescent="0.25" outlineLevel="1">
      <c r="B166" s="10" t="s">
        <v>4</v>
      </c>
      <c r="C166" s="28" t="s">
        <v>33</v>
      </c>
      <c r="D166" s="28" t="s">
        <v>126</v>
      </c>
      <c r="F166" s="72">
        <f>M166/$E$3</f>
      </c>
      <c r="G166" s="72">
        <f>IF(N166="","",N166/$E$3)</f>
      </c>
      <c r="H166" s="72">
        <f>IF(G166="","",G166-F166)</f>
      </c>
      <c r="M166" s="72">
        <f>SUMIFS('Détail projets &amp; dettes'!$M$5:$M$500,'Détail projets &amp; dettes'!$A$5:$A$500,$B166,'Détail projets &amp; dettes'!$J$5:$J$500,"O",'Détail projets &amp; dettes'!$C$5:$C$500,$C166,'Détail projets &amp; dettes'!$D$5:$D$500,$D166)</f>
      </c>
      <c r="N166" s="72"/>
      <c r="O166" s="72">
        <f>IF(N166="","",N166-M166)</f>
      </c>
      <c r="Q166"/>
      <c r="R166"/>
      <c r="S166"/>
      <c r="T166"/>
      <c r="U166"/>
      <c r="V166"/>
      <c r="W166"/>
      <c r="X166"/>
      <c r="Y166"/>
    </row>
    <row r="167" hidden="1" spans="2:25" x14ac:dyDescent="0.25" outlineLevel="1">
      <c r="B167" s="10" t="s">
        <v>4</v>
      </c>
      <c r="C167" s="28" t="s">
        <v>33</v>
      </c>
      <c r="D167" s="28" t="s">
        <v>127</v>
      </c>
      <c r="F167" s="72">
        <f>M167/$E$3</f>
      </c>
      <c r="G167" s="72">
        <f>IF(N167="","",N167/$E$3)</f>
      </c>
      <c r="H167" s="72">
        <f>IF(G167="","",G167-F167)</f>
      </c>
      <c r="M167" s="72">
        <f>SUMIFS('Détail projets &amp; dettes'!$M$5:$M$500,'Détail projets &amp; dettes'!$A$5:$A$500,$B167,'Détail projets &amp; dettes'!$J$5:$J$500,"O",'Détail projets &amp; dettes'!$C$5:$C$500,$C167,'Détail projets &amp; dettes'!$D$5:$D$500,$D167)</f>
      </c>
      <c r="N167" s="72"/>
      <c r="O167" s="72">
        <f>IF(N167="","",N167-M167)</f>
      </c>
      <c r="Q167"/>
      <c r="R167"/>
      <c r="S167"/>
      <c r="T167"/>
      <c r="U167"/>
      <c r="V167"/>
      <c r="W167"/>
      <c r="X167"/>
      <c r="Y167"/>
    </row>
    <row r="168" hidden="1" spans="2:25" x14ac:dyDescent="0.25" outlineLevel="1">
      <c r="B168" s="10" t="s">
        <v>4</v>
      </c>
      <c r="C168" s="28" t="s">
        <v>36</v>
      </c>
      <c r="D168" s="28" t="s">
        <v>124</v>
      </c>
      <c r="F168" s="72">
        <f>M168/$E$3</f>
      </c>
      <c r="G168" s="72">
        <f>IF(N168="","",N168/$E$3)</f>
      </c>
      <c r="H168" s="72">
        <f>IF(G168="","",G168-F168)</f>
      </c>
      <c r="M168" s="72">
        <f>SUMIFS('Détail projets &amp; dettes'!$M$5:$M$500,'Détail projets &amp; dettes'!$A$5:$A$500,$B168,'Détail projets &amp; dettes'!$J$5:$J$500,"O",'Détail projets &amp; dettes'!$C$5:$C$500,$C168,'Détail projets &amp; dettes'!$D$5:$D$500,$D168)</f>
      </c>
      <c r="N168" s="72"/>
      <c r="O168" s="72">
        <f>IF(N168="","",N168-M168)</f>
      </c>
      <c r="Q168"/>
      <c r="R168"/>
      <c r="S168"/>
      <c r="T168"/>
      <c r="U168"/>
      <c r="V168"/>
      <c r="W168"/>
      <c r="X168"/>
      <c r="Y168"/>
    </row>
    <row r="169" hidden="1" spans="2:25" x14ac:dyDescent="0.25" outlineLevel="1">
      <c r="B169" s="10" t="s">
        <v>4</v>
      </c>
      <c r="C169" s="28" t="s">
        <v>36</v>
      </c>
      <c r="D169" s="28" t="s">
        <v>125</v>
      </c>
      <c r="F169" s="72">
        <f>M169/$E$3</f>
      </c>
      <c r="G169" s="72">
        <f>IF(N169="","",N169/$E$3)</f>
      </c>
      <c r="H169" s="72">
        <f>IF(G169="","",G169-F169)</f>
      </c>
      <c r="M169" s="72">
        <f>SUMIFS('Détail projets &amp; dettes'!$M$5:$M$500,'Détail projets &amp; dettes'!$A$5:$A$500,$B169,'Détail projets &amp; dettes'!$J$5:$J$500,"O",'Détail projets &amp; dettes'!$C$5:$C$500,$C169,'Détail projets &amp; dettes'!$D$5:$D$500,$D169)</f>
      </c>
      <c r="N169" s="72"/>
      <c r="O169" s="72">
        <f>IF(N169="","",N169-M169)</f>
      </c>
      <c r="Q169"/>
      <c r="R169"/>
      <c r="S169"/>
      <c r="T169"/>
      <c r="U169"/>
      <c r="V169"/>
      <c r="W169"/>
      <c r="X169"/>
      <c r="Y169"/>
    </row>
    <row r="170" hidden="1" spans="2:25" x14ac:dyDescent="0.25" outlineLevel="1">
      <c r="B170" s="10" t="s">
        <v>4</v>
      </c>
      <c r="C170" s="28" t="s">
        <v>36</v>
      </c>
      <c r="D170" s="28" t="s">
        <v>126</v>
      </c>
      <c r="F170" s="72">
        <f>M170/$E$3</f>
      </c>
      <c r="G170" s="72">
        <f>IF(N170="","",N170/$E$3)</f>
      </c>
      <c r="H170" s="72">
        <f>IF(G170="","",G170-F170)</f>
      </c>
      <c r="M170" s="72">
        <f>SUMIFS('Détail projets &amp; dettes'!$M$5:$M$500,'Détail projets &amp; dettes'!$A$5:$A$500,$B170,'Détail projets &amp; dettes'!$J$5:$J$500,"O",'Détail projets &amp; dettes'!$C$5:$C$500,$C170,'Détail projets &amp; dettes'!$D$5:$D$500,$D170)</f>
      </c>
      <c r="N170" s="72"/>
      <c r="O170" s="72">
        <f>IF(N170="","",N170-M170)</f>
      </c>
      <c r="Q170"/>
      <c r="R170"/>
      <c r="S170"/>
      <c r="T170"/>
      <c r="U170"/>
      <c r="V170"/>
      <c r="W170"/>
      <c r="X170"/>
      <c r="Y170"/>
    </row>
    <row r="171" hidden="1" spans="2:25" x14ac:dyDescent="0.25" outlineLevel="1">
      <c r="B171" s="10" t="s">
        <v>4</v>
      </c>
      <c r="C171" s="28" t="s">
        <v>36</v>
      </c>
      <c r="D171" s="28" t="s">
        <v>127</v>
      </c>
      <c r="F171" s="72">
        <f>M171/$E$3</f>
      </c>
      <c r="G171" s="72">
        <f>IF(N171="","",N171/$E$3)</f>
      </c>
      <c r="H171" s="72">
        <f>IF(G171="","",G171-F171)</f>
      </c>
      <c r="M171" s="72">
        <f>SUMIFS('Détail projets &amp; dettes'!$M$5:$M$500,'Détail projets &amp; dettes'!$A$5:$A$500,$B171,'Détail projets &amp; dettes'!$J$5:$J$500,"O",'Détail projets &amp; dettes'!$C$5:$C$500,$C171,'Détail projets &amp; dettes'!$D$5:$D$500,$D171)</f>
      </c>
      <c r="N171" s="72"/>
      <c r="O171" s="72">
        <f>IF(N171="","",N171-M171)</f>
      </c>
      <c r="Q171"/>
      <c r="R171"/>
      <c r="S171"/>
      <c r="T171"/>
      <c r="U171"/>
      <c r="V171"/>
      <c r="W171"/>
      <c r="X171"/>
      <c r="Y171"/>
    </row>
    <row r="172" hidden="1" spans="2:25" x14ac:dyDescent="0.25" outlineLevel="1">
      <c r="B172" s="10" t="s">
        <v>4</v>
      </c>
      <c r="C172" s="28" t="s">
        <v>36</v>
      </c>
      <c r="D172" s="28" t="s">
        <v>128</v>
      </c>
      <c r="F172" s="72">
        <f>M172/$E$3</f>
      </c>
      <c r="G172" s="72">
        <f>IF(N172="","",N172/$E$3)</f>
      </c>
      <c r="H172" s="72">
        <f>IF(G172="","",G172-F172)</f>
      </c>
      <c r="M172" s="72">
        <f>SUMIFS('Détail projets &amp; dettes'!$M$5:$M$500,'Détail projets &amp; dettes'!$A$5:$A$500,$B172,'Détail projets &amp; dettes'!$J$5:$J$500,"O",'Détail projets &amp; dettes'!$C$5:$C$500,$C172,'Détail projets &amp; dettes'!$D$5:$D$500,$D172)</f>
      </c>
      <c r="N172" s="72"/>
      <c r="O172" s="72">
        <f>IF(N172="","",N172-M172)</f>
      </c>
      <c r="Q172"/>
      <c r="R172"/>
      <c r="S172"/>
      <c r="T172"/>
      <c r="U172"/>
      <c r="V172"/>
      <c r="W172"/>
      <c r="X172"/>
      <c r="Y172"/>
    </row>
    <row r="173" hidden="1" spans="3:15" x14ac:dyDescent="0.25" outlineLevel="1">
      <c r="C173" s="54" t="s">
        <v>115</v>
      </c>
      <c r="D173" s="50"/>
      <c r="F173" s="55">
        <f>SUM(F165:F172)</f>
      </c>
      <c r="G173" s="55">
        <f>SUM(G165:G172)</f>
      </c>
      <c r="H173" s="55">
        <f>SUM(H165:H172)</f>
      </c>
      <c r="M173" s="55">
        <f>SUM(M165:M172)</f>
      </c>
      <c r="N173" s="55">
        <f>SUM(N165:N172)</f>
      </c>
      <c r="O173" s="55">
        <f>SUM(O165:O172)</f>
      </c>
    </row>
    <row r="174" hidden="1" outlineLevel="1"/>
    <row r="175" hidden="1" spans="3:4" x14ac:dyDescent="0.25" outlineLevel="1">
      <c r="C175" s="71" t="s">
        <v>116</v>
      </c>
      <c r="D175" s="71" t="s">
        <v>15</v>
      </c>
    </row>
    <row r="176" hidden="1" spans="3:15" x14ac:dyDescent="0.25" outlineLevel="1">
      <c r="C176" s="54" t="s">
        <v>118</v>
      </c>
      <c r="D176" s="50"/>
      <c r="F176" s="55">
        <v>0</v>
      </c>
      <c r="G176" s="55">
        <v>0</v>
      </c>
      <c r="H176" s="55">
        <v>0</v>
      </c>
      <c r="M176" s="55">
        <v>0</v>
      </c>
      <c r="N176" s="55">
        <v>0</v>
      </c>
      <c r="O176" s="55">
        <v>0</v>
      </c>
    </row>
    <row r="177" hidden="1" outlineLevel="1"/>
    <row r="178" hidden="1" spans="3:4" x14ac:dyDescent="0.25" outlineLevel="1">
      <c r="C178" s="71" t="s">
        <v>119</v>
      </c>
      <c r="D178" s="71" t="s">
        <v>15</v>
      </c>
    </row>
    <row r="179" hidden="1" spans="2:25" x14ac:dyDescent="0.25" outlineLevel="1">
      <c r="B179" s="10" t="s">
        <v>6</v>
      </c>
      <c r="C179" s="28" t="s">
        <v>33</v>
      </c>
      <c r="D179" s="28" t="s">
        <v>126</v>
      </c>
      <c r="F179" s="72">
        <f>M179/$E$3</f>
      </c>
      <c r="G179" s="72">
        <f>IF(N179="","",N179/$E$3)</f>
      </c>
      <c r="H179" s="72">
        <f>IF(G179="","",G179-F179)</f>
      </c>
      <c r="M179" s="72">
        <f>SUMIFS('Détail projets &amp; dettes'!$M$5:$M$500,'Détail projets &amp; dettes'!$A$5:$A$500,$B179,'Détail projets &amp; dettes'!$J$5:$J$500,"O",'Détail projets &amp; dettes'!$C$5:$C$500,$C179,'Détail projets &amp; dettes'!$D$5:$D$500,$D179)</f>
      </c>
      <c r="N179" s="72"/>
      <c r="O179" s="72">
        <f>IF(N179="","",N179-M179)</f>
      </c>
      <c r="Q179"/>
      <c r="R179"/>
      <c r="S179"/>
      <c r="T179"/>
      <c r="U179"/>
      <c r="V179"/>
      <c r="W179"/>
      <c r="X179"/>
      <c r="Y179"/>
    </row>
    <row r="180" hidden="1" spans="2:25" x14ac:dyDescent="0.25" outlineLevel="1">
      <c r="B180" s="10" t="s">
        <v>6</v>
      </c>
      <c r="C180" s="28" t="s">
        <v>36</v>
      </c>
      <c r="D180" s="28" t="s">
        <v>126</v>
      </c>
      <c r="F180" s="72">
        <f>M180/$E$3</f>
      </c>
      <c r="G180" s="72">
        <f>IF(N180="","",N180/$E$3)</f>
      </c>
      <c r="H180" s="72">
        <f>IF(G180="","",G180-F180)</f>
      </c>
      <c r="M180" s="72">
        <f>SUMIFS('Détail projets &amp; dettes'!$M$5:$M$500,'Détail projets &amp; dettes'!$A$5:$A$500,$B180,'Détail projets &amp; dettes'!$J$5:$J$500,"O",'Détail projets &amp; dettes'!$C$5:$C$500,$C180,'Détail projets &amp; dettes'!$D$5:$D$500,$D180)</f>
      </c>
      <c r="N180" s="72"/>
      <c r="O180" s="72">
        <f>IF(N180="","",N180-M180)</f>
      </c>
      <c r="Q180"/>
      <c r="R180"/>
      <c r="S180"/>
      <c r="T180"/>
      <c r="U180"/>
      <c r="V180"/>
      <c r="W180"/>
      <c r="X180"/>
      <c r="Y180"/>
    </row>
    <row r="181" hidden="1" spans="3:15" x14ac:dyDescent="0.25" outlineLevel="1">
      <c r="C181" s="54" t="s">
        <v>120</v>
      </c>
      <c r="D181" s="50"/>
      <c r="F181" s="55">
        <f>SUM(F179:F180)</f>
      </c>
      <c r="G181" s="55">
        <f>SUM(G179:G180)</f>
      </c>
      <c r="H181" s="55">
        <f>SUM(H179:H180)</f>
      </c>
      <c r="M181" s="55">
        <f>SUM(M179:M180)</f>
      </c>
      <c r="N181" s="55">
        <f>SUM(N179:N180)</f>
      </c>
      <c r="O181" s="55">
        <f>SUM(O179:O180)</f>
      </c>
    </row>
    <row r="182" hidden="1" outlineLevel="1"/>
    <row r="183" hidden="1" spans="3:4" x14ac:dyDescent="0.25" outlineLevel="1">
      <c r="C183" s="71" t="s">
        <v>121</v>
      </c>
      <c r="D183" s="71" t="s">
        <v>15</v>
      </c>
    </row>
    <row r="184" hidden="1" spans="3:15" x14ac:dyDescent="0.25" outlineLevel="1">
      <c r="C184" s="54" t="s">
        <v>122</v>
      </c>
      <c r="D184" s="50"/>
      <c r="F184" s="55">
        <v>0</v>
      </c>
      <c r="G184" s="55">
        <v>0</v>
      </c>
      <c r="H184" s="55">
        <v>0</v>
      </c>
      <c r="M184" s="55">
        <v>0</v>
      </c>
      <c r="N184" s="55">
        <v>0</v>
      </c>
      <c r="O184" s="55">
        <v>0</v>
      </c>
    </row>
    <row r="185" hidden="1" outlineLevel="1"/>
    <row r="186" hidden="1" spans="3:3" x14ac:dyDescent="0.25" outlineLevel="1">
      <c r="C186" s="2" t="s">
        <v>129</v>
      </c>
    </row>
    <row r="187" hidden="1" spans="3:13" x14ac:dyDescent="0.25" outlineLevel="1">
      <c r="C187" s="49" t="s">
        <v>36</v>
      </c>
      <c r="D187" s="49" t="s">
        <v>130</v>
      </c>
      <c r="F187" s="51">
        <f>M187/$E$3</f>
      </c>
      <c r="M187" s="51">
        <f>SUMIFS('Détail projets &amp; dettes'!$M$5:$M$500,'Détail projets &amp; dettes'!$A$5:$A$500,"Nov. 2026",'Détail projets &amp; dettes'!$J$5:$J$500,"O",'Détail projets &amp; dettes'!$C$5:$C$500,"RIVIERA")</f>
      </c>
    </row>
    <row r="188" hidden="1" spans="3:13" x14ac:dyDescent="0.25" outlineLevel="1">
      <c r="C188" s="49" t="s">
        <v>33</v>
      </c>
      <c r="D188" s="49" t="s">
        <v>130</v>
      </c>
      <c r="F188" s="51">
        <f>M188/$E$3</f>
      </c>
      <c r="M188" s="51">
        <f>SUMIFS('Détail projets &amp; dettes'!$M$5:$M$500,'Détail projets &amp; dettes'!$A$5:$A$500,"Nov. 2026",'Détail projets &amp; dettes'!$J$5:$J$500,"O",'Détail projets &amp; dettes'!$C$5:$C$500,"TERASSON")</f>
      </c>
    </row>
    <row r="189" hidden="1" outlineLevel="1"/>
    <row r="190" collapsed="1"/>
  </sheetData>
  <mergeCells count="100">
    <mergeCell ref="N2:O2"/>
    <mergeCell ref="P2:Q2"/>
    <mergeCell ref="R2:S2"/>
    <mergeCell ref="T2:U2"/>
    <mergeCell ref="V2:W2"/>
    <mergeCell ref="N3:O3"/>
    <mergeCell ref="P3:Q3"/>
    <mergeCell ref="R3:S3"/>
    <mergeCell ref="T3:U3"/>
    <mergeCell ref="V3:W3"/>
    <mergeCell ref="N4:O4"/>
    <mergeCell ref="P4:Q4"/>
    <mergeCell ref="R4:S4"/>
    <mergeCell ref="T4:U4"/>
    <mergeCell ref="V4:W4"/>
    <mergeCell ref="N8:O8"/>
    <mergeCell ref="P8:Q8"/>
    <mergeCell ref="R8:S8"/>
    <mergeCell ref="T8:U8"/>
    <mergeCell ref="V8:W8"/>
    <mergeCell ref="P75:Y75"/>
    <mergeCell ref="P77:Y77"/>
    <mergeCell ref="P78:Y78"/>
    <mergeCell ref="P79:Y79"/>
    <mergeCell ref="P80:Y80"/>
    <mergeCell ref="P81:Y81"/>
    <mergeCell ref="P82:Y82"/>
    <mergeCell ref="P83:Y83"/>
    <mergeCell ref="P84:Y84"/>
    <mergeCell ref="P85:Y85"/>
    <mergeCell ref="P86:Y86"/>
    <mergeCell ref="P87:Y87"/>
    <mergeCell ref="P88:Y88"/>
    <mergeCell ref="P89:Y89"/>
    <mergeCell ref="P90:Y90"/>
    <mergeCell ref="P91:Y91"/>
    <mergeCell ref="P92:Y92"/>
    <mergeCell ref="P93:Y93"/>
    <mergeCell ref="P94:Y94"/>
    <mergeCell ref="P95:Y95"/>
    <mergeCell ref="P96:Y96"/>
    <mergeCell ref="P97:Y97"/>
    <mergeCell ref="P98:Y98"/>
    <mergeCell ref="P99:Y99"/>
    <mergeCell ref="P100:Y100"/>
    <mergeCell ref="P101:Y101"/>
    <mergeCell ref="P105:Y105"/>
    <mergeCell ref="P106:Y106"/>
    <mergeCell ref="P107:Y107"/>
    <mergeCell ref="P108:Y108"/>
    <mergeCell ref="P109:Y109"/>
    <mergeCell ref="P110:Y110"/>
    <mergeCell ref="P111:Y111"/>
    <mergeCell ref="P112:Y112"/>
    <mergeCell ref="P113:Y113"/>
    <mergeCell ref="P114:Y114"/>
    <mergeCell ref="P115:Y115"/>
    <mergeCell ref="P116:Y116"/>
    <mergeCell ref="P117:Y117"/>
    <mergeCell ref="P118:Y118"/>
    <mergeCell ref="P119:Y119"/>
    <mergeCell ref="P120:Y120"/>
    <mergeCell ref="P124:Y124"/>
    <mergeCell ref="P125:Y125"/>
    <mergeCell ref="P126:Y126"/>
    <mergeCell ref="P127:Y127"/>
    <mergeCell ref="P128:Y128"/>
    <mergeCell ref="P129:Y129"/>
    <mergeCell ref="P130:Y130"/>
    <mergeCell ref="P131:Y131"/>
    <mergeCell ref="P132:Y132"/>
    <mergeCell ref="P133:Y133"/>
    <mergeCell ref="P134:Y134"/>
    <mergeCell ref="P135:Y135"/>
    <mergeCell ref="P136:Y136"/>
    <mergeCell ref="P137:Y137"/>
    <mergeCell ref="P141:Y141"/>
    <mergeCell ref="P142:Y142"/>
    <mergeCell ref="P146:Y146"/>
    <mergeCell ref="P150:Y150"/>
    <mergeCell ref="P152:Y152"/>
    <mergeCell ref="P153:Y153"/>
    <mergeCell ref="P154:Y154"/>
    <mergeCell ref="P155:Y155"/>
    <mergeCell ref="P156:Y156"/>
    <mergeCell ref="P157:Y157"/>
    <mergeCell ref="P158:Y158"/>
    <mergeCell ref="P159:Y159"/>
    <mergeCell ref="P160:Y160"/>
    <mergeCell ref="P161:Y161"/>
    <mergeCell ref="P165:Y165"/>
    <mergeCell ref="P166:Y166"/>
    <mergeCell ref="P167:Y167"/>
    <mergeCell ref="P168:Y168"/>
    <mergeCell ref="P169:Y169"/>
    <mergeCell ref="P170:Y170"/>
    <mergeCell ref="P171:Y171"/>
    <mergeCell ref="P172:Y172"/>
    <mergeCell ref="P179:Y179"/>
    <mergeCell ref="P180:Y180"/>
  </mergeCells>
  <conditionalFormatting sqref="O66">
    <cfRule type="cellIs" dxfId="0" priority="1" operator="lessThan">
      <formula>-0.5</formula>
    </cfRule>
    <cfRule type="cellIs" dxfId="1" priority="2" operator="greaterThan">
      <formula>0.5</formula>
    </cfRule>
  </conditionalFormatting>
  <conditionalFormatting sqref="Q66">
    <cfRule type="cellIs" dxfId="2" priority="3" operator="lessThan">
      <formula>-0.5</formula>
    </cfRule>
    <cfRule type="cellIs" dxfId="3" priority="4" operator="greaterThan">
      <formula>0.5</formula>
    </cfRule>
  </conditionalFormatting>
  <conditionalFormatting sqref="S66">
    <cfRule type="cellIs" dxfId="4" priority="5" operator="lessThan">
      <formula>-0.5</formula>
    </cfRule>
    <cfRule type="cellIs" dxfId="5" priority="6" operator="greaterThan">
      <formula>0.5</formula>
    </cfRule>
  </conditionalFormatting>
  <conditionalFormatting sqref="U66">
    <cfRule type="cellIs" dxfId="6" priority="7" operator="lessThan">
      <formula>-0.5</formula>
    </cfRule>
    <cfRule type="cellIs" dxfId="7" priority="8" operator="greaterThan">
      <formula>0.5</formula>
    </cfRule>
  </conditionalFormatting>
  <conditionalFormatting sqref="W66">
    <cfRule type="cellIs" dxfId="8" priority="9" operator="lessThan">
      <formula>-0.5</formula>
    </cfRule>
    <cfRule type="cellIs" dxfId="9" priority="10" operator="greaterThan">
      <formula>0.5</formula>
    </cfRule>
  </conditionalFormatting>
  <conditionalFormatting sqref="G66">
    <cfRule type="cellIs" dxfId="10" priority="11" operator="lessThan">
      <formula>-0.5</formula>
    </cfRule>
    <cfRule type="cellIs" dxfId="11" priority="12" operator="greaterThan">
      <formula>0.5</formula>
    </cfRule>
  </conditionalFormatting>
  <conditionalFormatting sqref="H66">
    <cfRule type="cellIs" dxfId="12" priority="13" operator="lessThan">
      <formula>-0.5</formula>
    </cfRule>
    <cfRule type="cellIs" dxfId="13" priority="14" operator="greaterThan">
      <formula>0.5</formula>
    </cfRule>
  </conditionalFormatting>
  <conditionalFormatting sqref="I66">
    <cfRule type="cellIs" dxfId="14" priority="15" operator="lessThan">
      <formula>-0.5</formula>
    </cfRule>
    <cfRule type="cellIs" dxfId="15" priority="16" operator="greaterThan">
      <formula>0.5</formula>
    </cfRule>
  </conditionalFormatting>
  <conditionalFormatting sqref="J66">
    <cfRule type="cellIs" dxfId="16" priority="17" operator="lessThan">
      <formula>-0.5</formula>
    </cfRule>
    <cfRule type="cellIs" dxfId="17" priority="18" operator="greaterThan">
      <formula>0.5</formula>
    </cfRule>
  </conditionalFormatting>
  <conditionalFormatting sqref="K66">
    <cfRule type="cellIs" dxfId="18" priority="19" operator="lessThan">
      <formula>-0.5</formula>
    </cfRule>
    <cfRule type="cellIs" dxfId="19" priority="20" operator="greaterThan">
      <formula>0.5</formula>
    </cfRule>
  </conditionalFormatting>
  <conditionalFormatting sqref="O67">
    <cfRule type="cellIs" dxfId="20" priority="21" operator="lessThan">
      <formula>-0.5</formula>
    </cfRule>
    <cfRule type="cellIs" dxfId="21" priority="22" operator="greaterThan">
      <formula>0.5</formula>
    </cfRule>
  </conditionalFormatting>
  <conditionalFormatting sqref="Q67">
    <cfRule type="cellIs" dxfId="22" priority="23" operator="lessThan">
      <formula>-0.5</formula>
    </cfRule>
    <cfRule type="cellIs" dxfId="23" priority="24" operator="greaterThan">
      <formula>0.5</formula>
    </cfRule>
  </conditionalFormatting>
  <conditionalFormatting sqref="S67">
    <cfRule type="cellIs" dxfId="24" priority="25" operator="lessThan">
      <formula>-0.5</formula>
    </cfRule>
    <cfRule type="cellIs" dxfId="25" priority="26" operator="greaterThan">
      <formula>0.5</formula>
    </cfRule>
  </conditionalFormatting>
  <conditionalFormatting sqref="U67">
    <cfRule type="cellIs" dxfId="26" priority="27" operator="lessThan">
      <formula>-0.5</formula>
    </cfRule>
    <cfRule type="cellIs" dxfId="27" priority="28" operator="greaterThan">
      <formula>0.5</formula>
    </cfRule>
  </conditionalFormatting>
  <conditionalFormatting sqref="W67">
    <cfRule type="cellIs" dxfId="28" priority="29" operator="lessThan">
      <formula>-0.5</formula>
    </cfRule>
    <cfRule type="cellIs" dxfId="29" priority="30" operator="greaterThan">
      <formula>0.5</formula>
    </cfRule>
  </conditionalFormatting>
  <conditionalFormatting sqref="G67">
    <cfRule type="cellIs" dxfId="30" priority="31" operator="lessThan">
      <formula>-0.5</formula>
    </cfRule>
    <cfRule type="cellIs" dxfId="31" priority="32" operator="greaterThan">
      <formula>0.5</formula>
    </cfRule>
  </conditionalFormatting>
  <conditionalFormatting sqref="H67">
    <cfRule type="cellIs" dxfId="32" priority="33" operator="lessThan">
      <formula>-0.5</formula>
    </cfRule>
    <cfRule type="cellIs" dxfId="33" priority="34" operator="greaterThan">
      <formula>0.5</formula>
    </cfRule>
  </conditionalFormatting>
  <conditionalFormatting sqref="I67">
    <cfRule type="cellIs" dxfId="34" priority="35" operator="lessThan">
      <formula>-0.5</formula>
    </cfRule>
    <cfRule type="cellIs" dxfId="35" priority="36" operator="greaterThan">
      <formula>0.5</formula>
    </cfRule>
  </conditionalFormatting>
  <conditionalFormatting sqref="J67">
    <cfRule type="cellIs" dxfId="36" priority="37" operator="lessThan">
      <formula>-0.5</formula>
    </cfRule>
    <cfRule type="cellIs" dxfId="37" priority="38" operator="greaterThan">
      <formula>0.5</formula>
    </cfRule>
  </conditionalFormatting>
  <conditionalFormatting sqref="K67">
    <cfRule type="cellIs" dxfId="38" priority="39" operator="lessThan">
      <formula>-0.5</formula>
    </cfRule>
    <cfRule type="cellIs" dxfId="39" priority="40" operator="greaterThan">
      <formula>0.5</formula>
    </cfRule>
  </conditionalFormatting>
  <conditionalFormatting sqref="O68">
    <cfRule type="cellIs" dxfId="40" priority="41" operator="lessThan">
      <formula>-0.5</formula>
    </cfRule>
    <cfRule type="cellIs" dxfId="41" priority="42" operator="greaterThan">
      <formula>0.5</formula>
    </cfRule>
  </conditionalFormatting>
  <conditionalFormatting sqref="Q68">
    <cfRule type="cellIs" dxfId="42" priority="43" operator="lessThan">
      <formula>-0.5</formula>
    </cfRule>
    <cfRule type="cellIs" dxfId="43" priority="44" operator="greaterThan">
      <formula>0.5</formula>
    </cfRule>
  </conditionalFormatting>
  <conditionalFormatting sqref="S68">
    <cfRule type="cellIs" dxfId="44" priority="45" operator="lessThan">
      <formula>-0.5</formula>
    </cfRule>
    <cfRule type="cellIs" dxfId="45" priority="46" operator="greaterThan">
      <formula>0.5</formula>
    </cfRule>
  </conditionalFormatting>
  <conditionalFormatting sqref="U68">
    <cfRule type="cellIs" dxfId="46" priority="47" operator="lessThan">
      <formula>-0.5</formula>
    </cfRule>
    <cfRule type="cellIs" dxfId="47" priority="48" operator="greaterThan">
      <formula>0.5</formula>
    </cfRule>
  </conditionalFormatting>
  <conditionalFormatting sqref="W68">
    <cfRule type="cellIs" dxfId="48" priority="49" operator="lessThan">
      <formula>-0.5</formula>
    </cfRule>
    <cfRule type="cellIs" dxfId="49" priority="50" operator="greaterThan">
      <formula>0.5</formula>
    </cfRule>
  </conditionalFormatting>
  <conditionalFormatting sqref="G68">
    <cfRule type="cellIs" dxfId="50" priority="51" operator="lessThan">
      <formula>-0.5</formula>
    </cfRule>
    <cfRule type="cellIs" dxfId="51" priority="52" operator="greaterThan">
      <formula>0.5</formula>
    </cfRule>
  </conditionalFormatting>
  <conditionalFormatting sqref="H68">
    <cfRule type="cellIs" dxfId="52" priority="53" operator="lessThan">
      <formula>-0.5</formula>
    </cfRule>
    <cfRule type="cellIs" dxfId="53" priority="54" operator="greaterThan">
      <formula>0.5</formula>
    </cfRule>
  </conditionalFormatting>
  <conditionalFormatting sqref="I68">
    <cfRule type="cellIs" dxfId="54" priority="55" operator="lessThan">
      <formula>-0.5</formula>
    </cfRule>
    <cfRule type="cellIs" dxfId="55" priority="56" operator="greaterThan">
      <formula>0.5</formula>
    </cfRule>
  </conditionalFormatting>
  <conditionalFormatting sqref="J68">
    <cfRule type="cellIs" dxfId="56" priority="57" operator="lessThan">
      <formula>-0.5</formula>
    </cfRule>
    <cfRule type="cellIs" dxfId="57" priority="58" operator="greaterThan">
      <formula>0.5</formula>
    </cfRule>
  </conditionalFormatting>
  <conditionalFormatting sqref="K68">
    <cfRule type="cellIs" dxfId="58" priority="59" operator="lessThan">
      <formula>-0.5</formula>
    </cfRule>
    <cfRule type="cellIs" dxfId="59" priority="60" operator="greaterThan">
      <formula>0.5</formula>
    </cfRule>
  </conditionalFormatting>
  <conditionalFormatting sqref="O69">
    <cfRule type="cellIs" dxfId="60" priority="61" operator="lessThan">
      <formula>-0.5</formula>
    </cfRule>
    <cfRule type="cellIs" dxfId="61" priority="62" operator="greaterThan">
      <formula>0.5</formula>
    </cfRule>
  </conditionalFormatting>
  <conditionalFormatting sqref="Q69">
    <cfRule type="cellIs" dxfId="62" priority="63" operator="lessThan">
      <formula>-0.5</formula>
    </cfRule>
    <cfRule type="cellIs" dxfId="63" priority="64" operator="greaterThan">
      <formula>0.5</formula>
    </cfRule>
  </conditionalFormatting>
  <conditionalFormatting sqref="S69">
    <cfRule type="cellIs" dxfId="64" priority="65" operator="lessThan">
      <formula>-0.5</formula>
    </cfRule>
    <cfRule type="cellIs" dxfId="65" priority="66" operator="greaterThan">
      <formula>0.5</formula>
    </cfRule>
  </conditionalFormatting>
  <conditionalFormatting sqref="U69">
    <cfRule type="cellIs" dxfId="66" priority="67" operator="lessThan">
      <formula>-0.5</formula>
    </cfRule>
    <cfRule type="cellIs" dxfId="67" priority="68" operator="greaterThan">
      <formula>0.5</formula>
    </cfRule>
  </conditionalFormatting>
  <conditionalFormatting sqref="W69">
    <cfRule type="cellIs" dxfId="68" priority="69" operator="lessThan">
      <formula>-0.5</formula>
    </cfRule>
    <cfRule type="cellIs" dxfId="69" priority="70" operator="greaterThan">
      <formula>0.5</formula>
    </cfRule>
  </conditionalFormatting>
  <conditionalFormatting sqref="G69">
    <cfRule type="cellIs" dxfId="70" priority="71" operator="lessThan">
      <formula>-0.5</formula>
    </cfRule>
    <cfRule type="cellIs" dxfId="71" priority="72" operator="greaterThan">
      <formula>0.5</formula>
    </cfRule>
  </conditionalFormatting>
  <conditionalFormatting sqref="H69">
    <cfRule type="cellIs" dxfId="72" priority="73" operator="lessThan">
      <formula>-0.5</formula>
    </cfRule>
    <cfRule type="cellIs" dxfId="73" priority="74" operator="greaterThan">
      <formula>0.5</formula>
    </cfRule>
  </conditionalFormatting>
  <conditionalFormatting sqref="I69">
    <cfRule type="cellIs" dxfId="74" priority="75" operator="lessThan">
      <formula>-0.5</formula>
    </cfRule>
    <cfRule type="cellIs" dxfId="75" priority="76" operator="greaterThan">
      <formula>0.5</formula>
    </cfRule>
  </conditionalFormatting>
  <conditionalFormatting sqref="J69">
    <cfRule type="cellIs" dxfId="76" priority="77" operator="lessThan">
      <formula>-0.5</formula>
    </cfRule>
    <cfRule type="cellIs" dxfId="77" priority="78" operator="greaterThan">
      <formula>0.5</formula>
    </cfRule>
  </conditionalFormatting>
  <conditionalFormatting sqref="K69">
    <cfRule type="cellIs" dxfId="78" priority="79" operator="lessThan">
      <formula>-0.5</formula>
    </cfRule>
    <cfRule type="cellIs" dxfId="79" priority="80" operator="greaterThan">
      <formula>0.5</formula>
    </cfRule>
  </conditionalFormatting>
  <conditionalFormatting sqref="O70">
    <cfRule type="cellIs" dxfId="80" priority="81" operator="lessThan">
      <formula>-0.5</formula>
    </cfRule>
    <cfRule type="cellIs" dxfId="81" priority="82" operator="greaterThan">
      <formula>0.5</formula>
    </cfRule>
  </conditionalFormatting>
  <conditionalFormatting sqref="Q70">
    <cfRule type="cellIs" dxfId="82" priority="83" operator="lessThan">
      <formula>-0.5</formula>
    </cfRule>
    <cfRule type="cellIs" dxfId="83" priority="84" operator="greaterThan">
      <formula>0.5</formula>
    </cfRule>
  </conditionalFormatting>
  <conditionalFormatting sqref="S70">
    <cfRule type="cellIs" dxfId="84" priority="85" operator="lessThan">
      <formula>-0.5</formula>
    </cfRule>
    <cfRule type="cellIs" dxfId="85" priority="86" operator="greaterThan">
      <formula>0.5</formula>
    </cfRule>
  </conditionalFormatting>
  <conditionalFormatting sqref="U70">
    <cfRule type="cellIs" dxfId="86" priority="87" operator="lessThan">
      <formula>-0.5</formula>
    </cfRule>
    <cfRule type="cellIs" dxfId="87" priority="88" operator="greaterThan">
      <formula>0.5</formula>
    </cfRule>
  </conditionalFormatting>
  <conditionalFormatting sqref="W70">
    <cfRule type="cellIs" dxfId="88" priority="89" operator="lessThan">
      <formula>-0.5</formula>
    </cfRule>
    <cfRule type="cellIs" dxfId="89" priority="90" operator="greaterThan">
      <formula>0.5</formula>
    </cfRule>
  </conditionalFormatting>
  <conditionalFormatting sqref="G70">
    <cfRule type="cellIs" dxfId="90" priority="91" operator="lessThan">
      <formula>-0.5</formula>
    </cfRule>
    <cfRule type="cellIs" dxfId="91" priority="92" operator="greaterThan">
      <formula>0.5</formula>
    </cfRule>
  </conditionalFormatting>
  <conditionalFormatting sqref="H70">
    <cfRule type="cellIs" dxfId="92" priority="93" operator="lessThan">
      <formula>-0.5</formula>
    </cfRule>
    <cfRule type="cellIs" dxfId="93" priority="94" operator="greaterThan">
      <formula>0.5</formula>
    </cfRule>
  </conditionalFormatting>
  <conditionalFormatting sqref="I70">
    <cfRule type="cellIs" dxfId="94" priority="95" operator="lessThan">
      <formula>-0.5</formula>
    </cfRule>
    <cfRule type="cellIs" dxfId="95" priority="96" operator="greaterThan">
      <formula>0.5</formula>
    </cfRule>
  </conditionalFormatting>
  <conditionalFormatting sqref="J70">
    <cfRule type="cellIs" dxfId="96" priority="97" operator="lessThan">
      <formula>-0.5</formula>
    </cfRule>
    <cfRule type="cellIs" dxfId="97" priority="98" operator="greaterThan">
      <formula>0.5</formula>
    </cfRule>
  </conditionalFormatting>
  <conditionalFormatting sqref="K70">
    <cfRule type="cellIs" dxfId="98" priority="99" operator="lessThan">
      <formula>-0.5</formula>
    </cfRule>
    <cfRule type="cellIs" dxfId="99" priority="100" operator="greaterThan">
      <formula>0.5</formula>
    </cfRule>
  </conditionalFormatting>
  <conditionalFormatting sqref="O71">
    <cfRule type="cellIs" dxfId="100" priority="101" operator="lessThan">
      <formula>-0.5</formula>
    </cfRule>
    <cfRule type="cellIs" dxfId="101" priority="102" operator="greaterThan">
      <formula>0.5</formula>
    </cfRule>
  </conditionalFormatting>
  <conditionalFormatting sqref="Q71">
    <cfRule type="cellIs" dxfId="102" priority="103" operator="lessThan">
      <formula>-0.5</formula>
    </cfRule>
    <cfRule type="cellIs" dxfId="103" priority="104" operator="greaterThan">
      <formula>0.5</formula>
    </cfRule>
  </conditionalFormatting>
  <conditionalFormatting sqref="S71">
    <cfRule type="cellIs" dxfId="104" priority="105" operator="lessThan">
      <formula>-0.5</formula>
    </cfRule>
    <cfRule type="cellIs" dxfId="105" priority="106" operator="greaterThan">
      <formula>0.5</formula>
    </cfRule>
  </conditionalFormatting>
  <conditionalFormatting sqref="U71">
    <cfRule type="cellIs" dxfId="106" priority="107" operator="lessThan">
      <formula>-0.5</formula>
    </cfRule>
    <cfRule type="cellIs" dxfId="107" priority="108" operator="greaterThan">
      <formula>0.5</formula>
    </cfRule>
  </conditionalFormatting>
  <conditionalFormatting sqref="W71">
    <cfRule type="cellIs" dxfId="108" priority="109" operator="lessThan">
      <formula>-0.5</formula>
    </cfRule>
    <cfRule type="cellIs" dxfId="109" priority="110" operator="greaterThan">
      <formula>0.5</formula>
    </cfRule>
  </conditionalFormatting>
  <conditionalFormatting sqref="G71">
    <cfRule type="cellIs" dxfId="110" priority="111" operator="lessThan">
      <formula>-0.5</formula>
    </cfRule>
    <cfRule type="cellIs" dxfId="111" priority="112" operator="greaterThan">
      <formula>0.5</formula>
    </cfRule>
  </conditionalFormatting>
  <conditionalFormatting sqref="H71">
    <cfRule type="cellIs" dxfId="112" priority="113" operator="lessThan">
      <formula>-0.5</formula>
    </cfRule>
    <cfRule type="cellIs" dxfId="113" priority="114" operator="greaterThan">
      <formula>0.5</formula>
    </cfRule>
  </conditionalFormatting>
  <conditionalFormatting sqref="I71">
    <cfRule type="cellIs" dxfId="114" priority="115" operator="lessThan">
      <formula>-0.5</formula>
    </cfRule>
    <cfRule type="cellIs" dxfId="115" priority="116" operator="greaterThan">
      <formula>0.5</formula>
    </cfRule>
  </conditionalFormatting>
  <conditionalFormatting sqref="J71">
    <cfRule type="cellIs" dxfId="116" priority="117" operator="lessThan">
      <formula>-0.5</formula>
    </cfRule>
    <cfRule type="cellIs" dxfId="117" priority="118" operator="greaterThan">
      <formula>0.5</formula>
    </cfRule>
  </conditionalFormatting>
  <conditionalFormatting sqref="K71">
    <cfRule type="cellIs" dxfId="118" priority="119" operator="lessThan">
      <formula>-0.5</formula>
    </cfRule>
    <cfRule type="cellIs" dxfId="119" priority="120" operator="greaterThan">
      <formula>0.5</formula>
    </cfRule>
  </conditionalFormatting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3"/>
  <sheetViews>
    <sheetView workbookViewId="0" showGridLines="0" zoomScale="9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7" width="14" customWidth="1"/>
    <col min="28" max="28" width="60" customWidth="1"/>
  </cols>
  <sheetData>
    <row r="1" spans="1:1" x14ac:dyDescent="0.25">
      <c r="A1" s="73" t="s">
        <v>131</v>
      </c>
    </row>
    <row r="2" spans="1:1" x14ac:dyDescent="0.25">
      <c r="A2" s="74" t="s">
        <v>132</v>
      </c>
    </row>
    <row r="4" spans="1:28" x14ac:dyDescent="0.25">
      <c r="A4" s="75" t="s">
        <v>133</v>
      </c>
      <c r="B4" s="75" t="s">
        <v>134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 t="s">
        <v>135</v>
      </c>
    </row>
    <row r="5" spans="1:28" x14ac:dyDescent="0.25">
      <c r="A5" s="75"/>
      <c r="B5" s="75" t="s">
        <v>33</v>
      </c>
      <c r="C5" s="75"/>
      <c r="D5" s="75"/>
      <c r="E5" s="75" t="s">
        <v>22</v>
      </c>
      <c r="F5" s="75"/>
      <c r="G5" s="75"/>
      <c r="H5" s="75" t="s">
        <v>136</v>
      </c>
      <c r="I5" s="75"/>
      <c r="J5" s="75" t="s">
        <v>37</v>
      </c>
      <c r="K5" s="75"/>
      <c r="L5" s="75"/>
      <c r="M5" s="75" t="s">
        <v>39</v>
      </c>
      <c r="N5" s="75"/>
      <c r="O5" s="75"/>
      <c r="P5" s="75"/>
      <c r="Q5" s="75"/>
      <c r="R5" s="75" t="s">
        <v>53</v>
      </c>
      <c r="S5" s="75"/>
      <c r="T5" s="75"/>
      <c r="U5" s="75" t="s">
        <v>46</v>
      </c>
      <c r="V5" s="75"/>
      <c r="W5" s="75" t="s">
        <v>137</v>
      </c>
      <c r="X5" s="75" t="s">
        <v>59</v>
      </c>
      <c r="Y5" s="75" t="s">
        <v>50</v>
      </c>
      <c r="Z5" s="75"/>
      <c r="AA5" s="75" t="s">
        <v>61</v>
      </c>
      <c r="AB5" s="76"/>
    </row>
    <row r="6" spans="1:28" x14ac:dyDescent="0.25">
      <c r="A6" s="75"/>
      <c r="B6" s="77" t="s">
        <v>138</v>
      </c>
      <c r="C6" s="77" t="s">
        <v>139</v>
      </c>
      <c r="D6" s="77" t="s">
        <v>140</v>
      </c>
      <c r="E6" s="77" t="s">
        <v>141</v>
      </c>
      <c r="F6" s="77" t="s">
        <v>139</v>
      </c>
      <c r="G6" s="77" t="s">
        <v>140</v>
      </c>
      <c r="H6" s="77" t="s">
        <v>141</v>
      </c>
      <c r="I6" s="77" t="s">
        <v>139</v>
      </c>
      <c r="J6" s="77" t="s">
        <v>138</v>
      </c>
      <c r="K6" s="77" t="s">
        <v>142</v>
      </c>
      <c r="L6" s="77" t="s">
        <v>139</v>
      </c>
      <c r="M6" s="77" t="s">
        <v>143</v>
      </c>
      <c r="N6" s="77" t="s">
        <v>144</v>
      </c>
      <c r="O6" s="77" t="s">
        <v>145</v>
      </c>
      <c r="P6" s="77" t="s">
        <v>146</v>
      </c>
      <c r="Q6" s="77" t="s">
        <v>140</v>
      </c>
      <c r="R6" s="77" t="s">
        <v>139</v>
      </c>
      <c r="S6" s="77" t="s">
        <v>147</v>
      </c>
      <c r="T6" s="77" t="s">
        <v>140</v>
      </c>
      <c r="U6" s="77" t="s">
        <v>139</v>
      </c>
      <c r="V6" s="77" t="s">
        <v>140</v>
      </c>
      <c r="W6" s="77" t="s">
        <v>148</v>
      </c>
      <c r="X6" s="77" t="s">
        <v>139</v>
      </c>
      <c r="Y6" s="77" t="s">
        <v>140</v>
      </c>
      <c r="Z6" s="77" t="s">
        <v>139</v>
      </c>
      <c r="AA6" s="77" t="s">
        <v>149</v>
      </c>
      <c r="AB6" s="76"/>
    </row>
    <row r="7" spans="1:28" x14ac:dyDescent="0.25">
      <c r="A7" s="49" t="s">
        <v>150</v>
      </c>
      <c r="B7" s="78">
        <f>SUMIFS($H$25:$H$55,$A$25:$A$55,"NIVELLEMENT VIA PICI",$E$25:$E$55,"TERASSON – BNI fonds projet")-SUMIFS($H$25:$H$55,$A$25:$A$55,"NIVELLEMENT VIA PICI",$C$25:$C$55,"TERASSON – BNI fonds projet")</f>
      </c>
      <c r="C7" s="78">
        <f>SUMIFS($H$25:$H$55,$A$25:$A$55,"NIVELLEMENT VIA PICI",$E$25:$E$55,"TERASSON – SG")-SUMIFS($H$25:$H$55,$A$25:$A$55,"NIVELLEMENT VIA PICI",$C$25:$C$55,"TERASSON – SG")</f>
      </c>
      <c r="D7" s="78">
        <f>SUMIFS($H$25:$H$55,$A$25:$A$55,"NIVELLEMENT VIA PICI",$E$25:$E$55,"TERASSON – ECO")-SUMIFS($H$25:$H$55,$A$25:$A$55,"NIVELLEMENT VIA PICI",$C$25:$C$55,"TERASSON – ECO")</f>
      </c>
      <c r="E7" s="78">
        <f>SUMIFS($H$25:$H$55,$A$25:$A$55,"NIVELLEMENT VIA PICI",$E$25:$E$55,"PICI – STB")-SUMIFS($H$25:$H$55,$A$25:$A$55,"NIVELLEMENT VIA PICI",$C$25:$C$55,"PICI – STB")</f>
      </c>
      <c r="F7" s="78">
        <f>SUMIFS($H$25:$H$55,$A$25:$A$55,"NIVELLEMENT VIA PICI",$E$25:$E$55,"PICI – SG")-SUMIFS($H$25:$H$55,$A$25:$A$55,"NIVELLEMENT VIA PICI",$C$25:$C$55,"PICI – SG")</f>
      </c>
      <c r="G7" s="78">
        <f>SUMIFS($H$25:$H$55,$A$25:$A$55,"NIVELLEMENT VIA PICI",$E$25:$E$55,"PICI – ECO")-SUMIFS($H$25:$H$55,$A$25:$A$55,"NIVELLEMENT VIA PICI",$C$25:$C$55,"PICI – ECO")</f>
      </c>
      <c r="H7" s="78">
        <f>SUMIFS($H$25:$H$55,$A$25:$A$55,"NIVELLEMENT VIA PICI",$E$25:$E$55,"SCI FIRST – STB")-SUMIFS($H$25:$H$55,$A$25:$A$55,"NIVELLEMENT VIA PICI",$C$25:$C$55,"SCI FIRST – STB")</f>
      </c>
      <c r="I7" s="78">
        <f>SUMIFS($H$25:$H$55,$A$25:$A$55,"NIVELLEMENT VIA PICI",$E$25:$E$55,"SCI FIRST – SG")-SUMIFS($H$25:$H$55,$A$25:$A$55,"NIVELLEMENT VIA PICI",$C$25:$C$55,"SCI FIRST – SG")</f>
      </c>
      <c r="J7" s="78">
        <f>SUMIFS($H$25:$H$55,$A$25:$A$55,"NIVELLEMENT VIA PICI",$E$25:$E$55,"RIVIERA PARK – BNI fonds projet")-SUMIFS($H$25:$H$55,$A$25:$A$55,"NIVELLEMENT VIA PICI",$C$25:$C$55,"RIVIERA PARK – BNI fonds projet")</f>
      </c>
      <c r="K7" s="78">
        <f>SUMIFS($H$25:$H$55,$A$25:$A$55,"NIVELLEMENT VIA PICI",$E$25:$E$55,"RIVIERA PARK – BNI courant")-SUMIFS($H$25:$H$55,$A$25:$A$55,"NIVELLEMENT VIA PICI",$C$25:$C$55,"RIVIERA PARK – BNI courant")</f>
      </c>
      <c r="L7" s="78">
        <f>SUMIFS($H$25:$H$55,$A$25:$A$55,"NIVELLEMENT VIA PICI",$E$25:$E$55,"RIVIERA PARK – SG")-SUMIFS($H$25:$H$55,$A$25:$A$55,"NIVELLEMENT VIA PICI",$C$25:$C$55,"RIVIERA PARK – SG")</f>
      </c>
      <c r="M7" s="78">
        <f>SUMIFS($H$25:$H$55,$A$25:$A$55,"NIVELLEMENT VIA PICI",$E$25:$E$55,"SCO AO – BACI Projet")-SUMIFS($H$25:$H$55,$A$25:$A$55,"NIVELLEMENT VIA PICI",$C$25:$C$55,"SCO AO – BACI Projet")</f>
      </c>
      <c r="N7" s="78">
        <f>SUMIFS($H$25:$H$55,$A$25:$A$55,"NIVELLEMENT VIA PICI",$E$25:$E$55,"SCO AO – BACI courant")-SUMIFS($H$25:$H$55,$A$25:$A$55,"NIVELLEMENT VIA PICI",$C$25:$C$55,"SCO AO – BACI courant")</f>
      </c>
      <c r="O7" s="78">
        <f>SUMIFS($H$25:$H$55,$A$25:$A$55,"NIVELLEMENT VIA PICI",$E$25:$E$55,"SCO AO – BOA")-SUMIFS($H$25:$H$55,$A$25:$A$55,"NIVELLEMENT VIA PICI",$C$25:$C$55,"SCO AO – BOA")</f>
      </c>
      <c r="P7" s="78">
        <f>SUMIFS($H$25:$H$55,$A$25:$A$55,"NIVELLEMENT VIA PICI",$E$25:$E$55,"SCO AO – BACI AGORA")-SUMIFS($H$25:$H$55,$A$25:$A$55,"NIVELLEMENT VIA PICI",$C$25:$C$55,"SCO AO – BACI AGORA")</f>
      </c>
      <c r="Q7" s="78">
        <f>SUMIFS($H$25:$H$55,$A$25:$A$55,"NIVELLEMENT VIA PICI",$E$25:$E$55,"SCO AO – ECO")-SUMIFS($H$25:$H$55,$A$25:$A$55,"NIVELLEMENT VIA PICI",$C$25:$C$55,"SCO AO – ECO")</f>
      </c>
      <c r="R7" s="78">
        <f>SUMIFS($H$25:$H$55,$A$25:$A$55,"NIVELLEMENT VIA PICI",$E$25:$E$55,"IMMONEUF – SG")-SUMIFS($H$25:$H$55,$A$25:$A$55,"NIVELLEMENT VIA PICI",$C$25:$C$55,"IMMONEUF – SG")</f>
      </c>
      <c r="S7" s="78">
        <f>SUMIFS($H$25:$H$55,$A$25:$A$55,"NIVELLEMENT VIA PICI",$E$25:$E$55,"IMMONEUF – BACI")-SUMIFS($H$25:$H$55,$A$25:$A$55,"NIVELLEMENT VIA PICI",$C$25:$C$55,"IMMONEUF – BACI")</f>
      </c>
      <c r="T7" s="78">
        <f>SUMIFS($H$25:$H$55,$A$25:$A$55,"NIVELLEMENT VIA PICI",$E$25:$E$55,"IMMONEUF – ECO")-SUMIFS($H$25:$H$55,$A$25:$A$55,"NIVELLEMENT VIA PICI",$C$25:$C$55,"IMMONEUF – ECO")</f>
      </c>
      <c r="U7" s="78">
        <f>SUMIFS($H$25:$H$55,$A$25:$A$55,"NIVELLEMENT VIA PICI",$E$25:$E$55,"FINAFRICA – SG")-SUMIFS($H$25:$H$55,$A$25:$A$55,"NIVELLEMENT VIA PICI",$C$25:$C$55,"FINAFRICA – SG")</f>
      </c>
      <c r="V7" s="78">
        <f>SUMIFS($H$25:$H$55,$A$25:$A$55,"NIVELLEMENT VIA PICI",$E$25:$E$55,"FINAFRICA – ECO")-SUMIFS($H$25:$H$55,$A$25:$A$55,"NIVELLEMENT VIA PICI",$C$25:$C$55,"FINAFRICA – ECO")</f>
      </c>
      <c r="W7" s="78">
        <f>SUMIFS($H$25:$H$55,$A$25:$A$55,"NIVELLEMENT VIA PICI",$E$25:$E$55,"INFI – SIB")-SUMIFS($H$25:$H$55,$A$25:$A$55,"NIVELLEMENT VIA PICI",$C$25:$C$55,"INFI – SIB")</f>
      </c>
      <c r="X7" s="78">
        <f>SUMIFS($H$25:$H$55,$A$25:$A$55,"NIVELLEMENT VIA PICI",$E$25:$E$55,"ODALYS CI – SG")-SUMIFS($H$25:$H$55,$A$25:$A$55,"NIVELLEMENT VIA PICI",$C$25:$C$55,"ODALYS CI – SG")</f>
      </c>
      <c r="Y7" s="78">
        <f>SUMIFS($H$25:$H$55,$A$25:$A$55,"NIVELLEMENT VIA PICI",$E$25:$E$55,"AB CENTER – ECO")-SUMIFS($H$25:$H$55,$A$25:$A$55,"NIVELLEMENT VIA PICI",$C$25:$C$55,"AB CENTER – ECO")</f>
      </c>
      <c r="Z7" s="78">
        <f>SUMIFS($H$25:$H$55,$A$25:$A$55,"NIVELLEMENT VIA PICI",$E$25:$E$55,"AB CENTER – SG")-SUMIFS($H$25:$H$55,$A$25:$A$55,"NIVELLEMENT VIA PICI",$C$25:$C$55,"AB CENTER – SG")</f>
      </c>
      <c r="AA7" s="78">
        <f>SUMIFS($H$25:$H$55,$A$25:$A$55,"NIVELLEMENT VIA PICI",$E$25:$E$55,"RHD CI – payé par PICI")-SUMIFS($H$25:$H$55,$A$25:$A$55,"NIVELLEMENT VIA PICI",$C$25:$C$55,"RHD CI – payé par PICI")</f>
      </c>
      <c r="AB7" s="79" t="s">
        <v>151</v>
      </c>
    </row>
    <row r="8" spans="1:28" x14ac:dyDescent="0.25">
      <c r="A8" s="49" t="s">
        <v>152</v>
      </c>
      <c r="B8" s="78">
        <f>SUMIFS($H$25:$H$55,$A$25:$A$55,"AUTRES NIVELLEMENTS",$E$25:$E$55,"TERASSON – BNI fonds projet")-SUMIFS($H$25:$H$55,$A$25:$A$55,"AUTRES NIVELLEMENTS",$C$25:$C$55,"TERASSON – BNI fonds projet")</f>
      </c>
      <c r="C8" s="78">
        <f>SUMIFS($H$25:$H$55,$A$25:$A$55,"AUTRES NIVELLEMENTS",$E$25:$E$55,"TERASSON – SG")-SUMIFS($H$25:$H$55,$A$25:$A$55,"AUTRES NIVELLEMENTS",$C$25:$C$55,"TERASSON – SG")</f>
      </c>
      <c r="D8" s="78">
        <f>SUMIFS($H$25:$H$55,$A$25:$A$55,"AUTRES NIVELLEMENTS",$E$25:$E$55,"TERASSON – ECO")-SUMIFS($H$25:$H$55,$A$25:$A$55,"AUTRES NIVELLEMENTS",$C$25:$C$55,"TERASSON – ECO")</f>
      </c>
      <c r="E8" s="78">
        <f>SUMIFS($H$25:$H$55,$A$25:$A$55,"AUTRES NIVELLEMENTS",$E$25:$E$55,"PICI – STB")-SUMIFS($H$25:$H$55,$A$25:$A$55,"AUTRES NIVELLEMENTS",$C$25:$C$55,"PICI – STB")</f>
      </c>
      <c r="F8" s="78">
        <f>SUMIFS($H$25:$H$55,$A$25:$A$55,"AUTRES NIVELLEMENTS",$E$25:$E$55,"PICI – SG")-SUMIFS($H$25:$H$55,$A$25:$A$55,"AUTRES NIVELLEMENTS",$C$25:$C$55,"PICI – SG")</f>
      </c>
      <c r="G8" s="78">
        <f>SUMIFS($H$25:$H$55,$A$25:$A$55,"AUTRES NIVELLEMENTS",$E$25:$E$55,"PICI – ECO")-SUMIFS($H$25:$H$55,$A$25:$A$55,"AUTRES NIVELLEMENTS",$C$25:$C$55,"PICI – ECO")</f>
      </c>
      <c r="H8" s="78">
        <f>SUMIFS($H$25:$H$55,$A$25:$A$55,"AUTRES NIVELLEMENTS",$E$25:$E$55,"SCI FIRST – STB")-SUMIFS($H$25:$H$55,$A$25:$A$55,"AUTRES NIVELLEMENTS",$C$25:$C$55,"SCI FIRST – STB")</f>
      </c>
      <c r="I8" s="78">
        <f>SUMIFS($H$25:$H$55,$A$25:$A$55,"AUTRES NIVELLEMENTS",$E$25:$E$55,"SCI FIRST – SG")-SUMIFS($H$25:$H$55,$A$25:$A$55,"AUTRES NIVELLEMENTS",$C$25:$C$55,"SCI FIRST – SG")</f>
      </c>
      <c r="J8" s="78">
        <f>SUMIFS($H$25:$H$55,$A$25:$A$55,"AUTRES NIVELLEMENTS",$E$25:$E$55,"RIVIERA PARK – BNI fonds projet")-SUMIFS($H$25:$H$55,$A$25:$A$55,"AUTRES NIVELLEMENTS",$C$25:$C$55,"RIVIERA PARK – BNI fonds projet")</f>
      </c>
      <c r="K8" s="78">
        <f>SUMIFS($H$25:$H$55,$A$25:$A$55,"AUTRES NIVELLEMENTS",$E$25:$E$55,"RIVIERA PARK – BNI courant")-SUMIFS($H$25:$H$55,$A$25:$A$55,"AUTRES NIVELLEMENTS",$C$25:$C$55,"RIVIERA PARK – BNI courant")</f>
      </c>
      <c r="L8" s="78">
        <f>SUMIFS($H$25:$H$55,$A$25:$A$55,"AUTRES NIVELLEMENTS",$E$25:$E$55,"RIVIERA PARK – SG")-SUMIFS($H$25:$H$55,$A$25:$A$55,"AUTRES NIVELLEMENTS",$C$25:$C$55,"RIVIERA PARK – SG")</f>
      </c>
      <c r="M8" s="78">
        <f>SUMIFS($H$25:$H$55,$A$25:$A$55,"AUTRES NIVELLEMENTS",$E$25:$E$55,"SCO AO – BACI Projet")-SUMIFS($H$25:$H$55,$A$25:$A$55,"AUTRES NIVELLEMENTS",$C$25:$C$55,"SCO AO – BACI Projet")</f>
      </c>
      <c r="N8" s="78">
        <f>SUMIFS($H$25:$H$55,$A$25:$A$55,"AUTRES NIVELLEMENTS",$E$25:$E$55,"SCO AO – BACI courant")-SUMIFS($H$25:$H$55,$A$25:$A$55,"AUTRES NIVELLEMENTS",$C$25:$C$55,"SCO AO – BACI courant")</f>
      </c>
      <c r="O8" s="78">
        <f>SUMIFS($H$25:$H$55,$A$25:$A$55,"AUTRES NIVELLEMENTS",$E$25:$E$55,"SCO AO – BOA")-SUMIFS($H$25:$H$55,$A$25:$A$55,"AUTRES NIVELLEMENTS",$C$25:$C$55,"SCO AO – BOA")</f>
      </c>
      <c r="P8" s="78">
        <f>SUMIFS($H$25:$H$55,$A$25:$A$55,"AUTRES NIVELLEMENTS",$E$25:$E$55,"SCO AO – BACI AGORA")-SUMIFS($H$25:$H$55,$A$25:$A$55,"AUTRES NIVELLEMENTS",$C$25:$C$55,"SCO AO – BACI AGORA")</f>
      </c>
      <c r="Q8" s="78">
        <f>SUMIFS($H$25:$H$55,$A$25:$A$55,"AUTRES NIVELLEMENTS",$E$25:$E$55,"SCO AO – ECO")-SUMIFS($H$25:$H$55,$A$25:$A$55,"AUTRES NIVELLEMENTS",$C$25:$C$55,"SCO AO – ECO")</f>
      </c>
      <c r="R8" s="78">
        <f>SUMIFS($H$25:$H$55,$A$25:$A$55,"AUTRES NIVELLEMENTS",$E$25:$E$55,"IMMONEUF – SG")-SUMIFS($H$25:$H$55,$A$25:$A$55,"AUTRES NIVELLEMENTS",$C$25:$C$55,"IMMONEUF – SG")</f>
      </c>
      <c r="S8" s="78">
        <f>SUMIFS($H$25:$H$55,$A$25:$A$55,"AUTRES NIVELLEMENTS",$E$25:$E$55,"IMMONEUF – BACI")-SUMIFS($H$25:$H$55,$A$25:$A$55,"AUTRES NIVELLEMENTS",$C$25:$C$55,"IMMONEUF – BACI")</f>
      </c>
      <c r="T8" s="78">
        <f>SUMIFS($H$25:$H$55,$A$25:$A$55,"AUTRES NIVELLEMENTS",$E$25:$E$55,"IMMONEUF – ECO")-SUMIFS($H$25:$H$55,$A$25:$A$55,"AUTRES NIVELLEMENTS",$C$25:$C$55,"IMMONEUF – ECO")</f>
      </c>
      <c r="U8" s="78">
        <f>SUMIFS($H$25:$H$55,$A$25:$A$55,"AUTRES NIVELLEMENTS",$E$25:$E$55,"FINAFRICA – SG")-SUMIFS($H$25:$H$55,$A$25:$A$55,"AUTRES NIVELLEMENTS",$C$25:$C$55,"FINAFRICA – SG")</f>
      </c>
      <c r="V8" s="78">
        <f>SUMIFS($H$25:$H$55,$A$25:$A$55,"AUTRES NIVELLEMENTS",$E$25:$E$55,"FINAFRICA – ECO")-SUMIFS($H$25:$H$55,$A$25:$A$55,"AUTRES NIVELLEMENTS",$C$25:$C$55,"FINAFRICA – ECO")</f>
      </c>
      <c r="W8" s="78">
        <f>SUMIFS($H$25:$H$55,$A$25:$A$55,"AUTRES NIVELLEMENTS",$E$25:$E$55,"INFI – SIB")-SUMIFS($H$25:$H$55,$A$25:$A$55,"AUTRES NIVELLEMENTS",$C$25:$C$55,"INFI – SIB")</f>
      </c>
      <c r="X8" s="78">
        <f>SUMIFS($H$25:$H$55,$A$25:$A$55,"AUTRES NIVELLEMENTS",$E$25:$E$55,"ODALYS CI – SG")-SUMIFS($H$25:$H$55,$A$25:$A$55,"AUTRES NIVELLEMENTS",$C$25:$C$55,"ODALYS CI – SG")</f>
      </c>
      <c r="Y8" s="78">
        <f>SUMIFS($H$25:$H$55,$A$25:$A$55,"AUTRES NIVELLEMENTS",$E$25:$E$55,"AB CENTER – ECO")-SUMIFS($H$25:$H$55,$A$25:$A$55,"AUTRES NIVELLEMENTS",$C$25:$C$55,"AB CENTER – ECO")</f>
      </c>
      <c r="Z8" s="78">
        <f>SUMIFS($H$25:$H$55,$A$25:$A$55,"AUTRES NIVELLEMENTS",$E$25:$E$55,"AB CENTER – SG")-SUMIFS($H$25:$H$55,$A$25:$A$55,"AUTRES NIVELLEMENTS",$C$25:$C$55,"AB CENTER – SG")</f>
      </c>
      <c r="AA8" s="78">
        <f>SUMIFS($H$25:$H$55,$A$25:$A$55,"AUTRES NIVELLEMENTS",$E$25:$E$55,"RHD CI – payé par PICI")-SUMIFS($H$25:$H$55,$A$25:$A$55,"AUTRES NIVELLEMENTS",$C$25:$C$55,"RHD CI – payé par PICI")</f>
      </c>
      <c r="AB8" s="79" t="s">
        <v>153</v>
      </c>
    </row>
    <row r="9" spans="1:28" x14ac:dyDescent="0.25">
      <c r="A9" s="49" t="s">
        <v>154</v>
      </c>
      <c r="B9" s="78">
        <f>SUMIFS('Détail projets &amp; dettes'!$M$5:$M$500,'Détail projets &amp; dettes'!$A$5:$A$500,"S1",'Détail projets &amp; dettes'!$B$5:$B$500,"TERASSON-PROJET",'Détail projets &amp; dettes'!$J$5:$J$500,"O")</f>
      </c>
      <c r="C9" s="78">
        <f>SUMIFS('Détail fonctionnement'!$J$5:$J$505,'Détail fonctionnement'!$A$5:$A$505,"S1",'Détail fonctionnement'!$B$5:$B$505,"TERASSON",'Détail fonctionnement'!$C$5:$C$505,"FOURNISSEURS - PROJET",'Détail fonctionnement'!$G$5:$G$505,"O")</f>
      </c>
      <c r="D9" s="78"/>
      <c r="E9" s="78">
        <f>SUMIFS('Détail fonctionnement'!$J$5:$J$505,'Détail fonctionnement'!$A$5:$A$505,"S1",'Détail fonctionnement'!$B$5:$B$505,"PICI",'Détail fonctionnement'!$C$5:$C$505,"FOURNISSEURS - PROJET",'Détail fonctionnement'!$G$5:$G$505,"O")</f>
      </c>
      <c r="F9" s="78"/>
      <c r="G9" s="78"/>
      <c r="H9" s="78">
        <f>SUMIFS('Détail fonctionnement'!$J$5:$J$505,'Détail fonctionnement'!$A$5:$A$505,"S1",'Détail fonctionnement'!$B$5:$B$505,"FIRST",'Détail fonctionnement'!$C$5:$C$505,"FOURNISSEURS - PROJET",'Détail fonctionnement'!$G$5:$G$505,"O")</f>
      </c>
      <c r="I9" s="78"/>
      <c r="J9" s="78">
        <f>SUMIFS('Détail projets &amp; dettes'!$M$5:$M$500,'Détail projets &amp; dettes'!$A$5:$A$500,"S1",'Détail projets &amp; dettes'!$B$5:$B$500,"RIVIERA-PROJET",'Détail projets &amp; dettes'!$J$5:$J$500,"O")</f>
      </c>
      <c r="K9" s="78"/>
      <c r="L9" s="78">
        <f>SUMIFS('Détail fonctionnement'!$J$5:$J$505,'Détail fonctionnement'!$A$5:$A$505,"S1",'Détail fonctionnement'!$B$5:$B$505,"RIVIERA",'Détail fonctionnement'!$C$5:$C$505,"FOURNISSEURS - PROJET",'Détail fonctionnement'!$G$5:$G$505,"O")</f>
      </c>
      <c r="M9" s="78">
        <f>SUMIFS('Détail fonctionnement'!$J$5:$J$505,'Détail fonctionnement'!$A$5:$A$505,"S1",'Détail fonctionnement'!$B$5:$B$505,"SCO AO",'Détail fonctionnement'!$C$5:$C$505,"FOURNISSEURS - PROJET",'Détail fonctionnement'!$G$5:$G$505,"O")</f>
      </c>
      <c r="N9" s="78"/>
      <c r="O9" s="78"/>
      <c r="P9" s="78"/>
      <c r="Q9" s="78"/>
      <c r="R9" s="78">
        <f>SUMIFS('Détail fonctionnement'!$J$5:$J$505,'Détail fonctionnement'!$A$5:$A$505,"S1",'Détail fonctionnement'!$B$5:$B$505,"IMMONEUF",'Détail fonctionnement'!$C$5:$C$505,"FOURNISSEURS - PROJET",'Détail fonctionnement'!$G$5:$G$505,"O")</f>
      </c>
      <c r="S9" s="78"/>
      <c r="T9" s="78"/>
      <c r="U9" s="78">
        <f>SUMIFS('Détail fonctionnement'!$J$5:$J$505,'Détail fonctionnement'!$A$5:$A$505,"S1",'Détail fonctionnement'!$B$5:$B$505,"FINAFRICA",'Détail fonctionnement'!$C$5:$C$505,"FOURNISSEURS - PROJET",'Détail fonctionnement'!$G$5:$G$505,"O")</f>
      </c>
      <c r="V9" s="78"/>
      <c r="W9" s="78">
        <f>SUMIFS('Détail fonctionnement'!$J$5:$J$505,'Détail fonctionnement'!$A$5:$A$505,"S1",'Détail fonctionnement'!$B$5:$B$505,"INFI SOFT",'Détail fonctionnement'!$C$5:$C$505,"FOURNISSEURS - PROJET",'Détail fonctionnement'!$G$5:$G$505,"O")</f>
      </c>
      <c r="X9" s="78">
        <f>SUMIFS('Détail fonctionnement'!$J$5:$J$505,'Détail fonctionnement'!$A$5:$A$505,"S1",'Détail fonctionnement'!$B$5:$B$505,"ODALYS CI",'Détail fonctionnement'!$C$5:$C$505,"FOURNISSEURS - PROJET",'Détail fonctionnement'!$G$5:$G$505,"O")</f>
      </c>
      <c r="Y9" s="78">
        <f>SUMIFS('Détail fonctionnement'!$J$5:$J$505,'Détail fonctionnement'!$A$5:$A$505,"S1",'Détail fonctionnement'!$B$5:$B$505,"AB CENTER",'Détail fonctionnement'!$C$5:$C$505,"FOURNISSEURS - PROJET",'Détail fonctionnement'!$G$5:$G$505,"O")</f>
      </c>
      <c r="Z9" s="78"/>
      <c r="AA9" s="78">
        <f>SUMIFS('Détail fonctionnement'!$J$5:$J$505,'Détail fonctionnement'!$A$5:$A$505,"S1",'Détail fonctionnement'!$B$5:$B$505,"RHD CI",'Détail fonctionnement'!$C$5:$C$505,"FOURNISSEURS - PROJET",'Détail fonctionnement'!$G$5:$G$505,"O")</f>
      </c>
      <c r="AB9" s="79" t="s">
        <v>155</v>
      </c>
    </row>
    <row r="10" spans="1:28" x14ac:dyDescent="0.25">
      <c r="A10" s="49" t="s">
        <v>156</v>
      </c>
      <c r="B10" s="78"/>
      <c r="C10" s="78">
        <f>SUMIFS('Détail fonctionnement'!$J$5:$J$505,'Détail fonctionnement'!$A$5:$A$505,"S1",'Détail fonctionnement'!$B$5:$B$505,"TERASSON",'Détail fonctionnement'!$C$5:$C$505,"FOURNISSEURS - FGX",'Détail fonctionnement'!$G$5:$G$505,"O")</f>
      </c>
      <c r="D10" s="78"/>
      <c r="E10" s="78">
        <f>SUMIFS('Détail fonctionnement'!$J$5:$J$505,'Détail fonctionnement'!$A$5:$A$505,"S1",'Détail fonctionnement'!$B$5:$B$505,"PICI",'Détail fonctionnement'!$C$5:$C$505,"FOURNISSEURS - FGX",'Détail fonctionnement'!$G$5:$G$505,"O")</f>
      </c>
      <c r="F10" s="78"/>
      <c r="G10" s="78"/>
      <c r="H10" s="78">
        <f>SUMIFS('Détail fonctionnement'!$J$5:$J$505,'Détail fonctionnement'!$A$5:$A$505,"S1",'Détail fonctionnement'!$B$5:$B$505,"FIRST",'Détail fonctionnement'!$C$5:$C$505,"FOURNISSEURS - FGX",'Détail fonctionnement'!$G$5:$G$505,"O")</f>
      </c>
      <c r="I10" s="78"/>
      <c r="J10" s="78"/>
      <c r="K10" s="78"/>
      <c r="L10" s="78">
        <f>SUMIFS('Détail fonctionnement'!$J$5:$J$505,'Détail fonctionnement'!$A$5:$A$505,"S1",'Détail fonctionnement'!$B$5:$B$505,"RIVIERA",'Détail fonctionnement'!$C$5:$C$505,"FOURNISSEURS - FGX",'Détail fonctionnement'!$G$5:$G$505,"O")</f>
      </c>
      <c r="M10" s="78"/>
      <c r="N10" s="78">
        <f>SUMIFS('Détail fonctionnement'!$J$5:$J$505,'Détail fonctionnement'!$A$5:$A$505,"S1",'Détail fonctionnement'!$B$5:$B$505,"SCO AO",'Détail fonctionnement'!$C$5:$C$505,"FOURNISSEURS - FGX",'Détail fonctionnement'!$G$5:$G$505,"O")</f>
      </c>
      <c r="O10" s="78"/>
      <c r="P10" s="78"/>
      <c r="Q10" s="78"/>
      <c r="R10" s="78">
        <f>SUMIFS('Détail fonctionnement'!$J$5:$J$505,'Détail fonctionnement'!$A$5:$A$505,"S1",'Détail fonctionnement'!$B$5:$B$505,"IMMONEUF",'Détail fonctionnement'!$C$5:$C$505,"FOURNISSEURS - FGX",'Détail fonctionnement'!$G$5:$G$505,"O")</f>
      </c>
      <c r="S10" s="78"/>
      <c r="T10" s="78"/>
      <c r="U10" s="78">
        <f>SUMIFS('Détail fonctionnement'!$J$5:$J$505,'Détail fonctionnement'!$A$5:$A$505,"S1",'Détail fonctionnement'!$B$5:$B$505,"FINAFRICA",'Détail fonctionnement'!$C$5:$C$505,"FOURNISSEURS - FGX",'Détail fonctionnement'!$G$5:$G$505,"O")</f>
      </c>
      <c r="V10" s="78"/>
      <c r="W10" s="78">
        <f>SUMIFS('Détail fonctionnement'!$J$5:$J$505,'Détail fonctionnement'!$A$5:$A$505,"S1",'Détail fonctionnement'!$B$5:$B$505,"INFI SOFT",'Détail fonctionnement'!$C$5:$C$505,"FOURNISSEURS - FGX",'Détail fonctionnement'!$G$5:$G$505,"O")</f>
      </c>
      <c r="X10" s="78">
        <f>SUMIFS('Détail fonctionnement'!$J$5:$J$505,'Détail fonctionnement'!$A$5:$A$505,"S1",'Détail fonctionnement'!$B$5:$B$505,"ODALYS CI",'Détail fonctionnement'!$C$5:$C$505,"FOURNISSEURS - FGX",'Détail fonctionnement'!$G$5:$G$505,"O")</f>
      </c>
      <c r="Y10" s="78">
        <f>SUMIFS('Détail fonctionnement'!$J$5:$J$505,'Détail fonctionnement'!$A$5:$A$505,"S1",'Détail fonctionnement'!$B$5:$B$505,"AB CENTER",'Détail fonctionnement'!$C$5:$C$505,"FOURNISSEURS - FGX",'Détail fonctionnement'!$G$5:$G$505,"O")</f>
      </c>
      <c r="Z10" s="78"/>
      <c r="AA10" s="78">
        <f>SUMIFS('Détail fonctionnement'!$J$5:$J$505,'Détail fonctionnement'!$A$5:$A$505,"S1",'Détail fonctionnement'!$B$5:$B$505,"RHD CI",'Détail fonctionnement'!$C$5:$C$505,"FOURNISSEURS - FGX",'Détail fonctionnement'!$G$5:$G$505,"O")</f>
      </c>
      <c r="AB10" s="79" t="s">
        <v>15</v>
      </c>
    </row>
    <row r="11" spans="1:28" x14ac:dyDescent="0.25">
      <c r="A11" s="49" t="s">
        <v>157</v>
      </c>
      <c r="B11" s="80"/>
      <c r="C11" s="80">
        <f>SUMIFS('Détail fonctionnement'!$J$5:$J$505,'Détail fonctionnement'!$A$5:$A$505,"S1",'Détail fonctionnement'!$B$5:$B$505,"TERASSON",'Détail fonctionnement'!$C$5:$C$505,"IMPÔTS ET TAXES",'Détail fonctionnement'!$G$5:$G$505,"O")</f>
      </c>
      <c r="D11" s="80"/>
      <c r="E11" s="80">
        <f>SUMIFS('Détail fonctionnement'!$J$5:$J$505,'Détail fonctionnement'!$A$5:$A$505,"S1",'Détail fonctionnement'!$B$5:$B$505,"PICI",'Détail fonctionnement'!$C$5:$C$505,"IMPÔTS ET TAXES",'Détail fonctionnement'!$G$5:$G$505,"O")</f>
      </c>
      <c r="F11" s="80"/>
      <c r="G11" s="80"/>
      <c r="H11" s="80">
        <f>SUMIFS('Détail fonctionnement'!$J$5:$J$505,'Détail fonctionnement'!$A$5:$A$505,"S1",'Détail fonctionnement'!$B$5:$B$505,"FIRST",'Détail fonctionnement'!$C$5:$C$505,"IMPÔTS ET TAXES",'Détail fonctionnement'!$G$5:$G$505,"O")</f>
      </c>
      <c r="I11" s="80"/>
      <c r="J11" s="80"/>
      <c r="K11" s="80"/>
      <c r="L11" s="80">
        <f>SUMIFS('Détail fonctionnement'!$J$5:$J$505,'Détail fonctionnement'!$A$5:$A$505,"S1",'Détail fonctionnement'!$B$5:$B$505,"RIVIERA",'Détail fonctionnement'!$C$5:$C$505,"IMPÔTS ET TAXES",'Détail fonctionnement'!$G$5:$G$505,"O")</f>
      </c>
      <c r="M11" s="80"/>
      <c r="N11" s="80">
        <f>SUMIFS('Détail fonctionnement'!$J$5:$J$505,'Détail fonctionnement'!$A$5:$A$505,"S1",'Détail fonctionnement'!$B$5:$B$505,"SCO AO",'Détail fonctionnement'!$C$5:$C$505,"IMPÔTS ET TAXES",'Détail fonctionnement'!$G$5:$G$505,"O")</f>
      </c>
      <c r="O11" s="80"/>
      <c r="P11" s="80"/>
      <c r="Q11" s="80"/>
      <c r="R11" s="80">
        <f>SUMIFS('Détail fonctionnement'!$J$5:$J$505,'Détail fonctionnement'!$A$5:$A$505,"S1",'Détail fonctionnement'!$B$5:$B$505,"IMMONEUF",'Détail fonctionnement'!$C$5:$C$505,"IMPÔTS ET TAXES",'Détail fonctionnement'!$G$5:$G$505,"O")</f>
      </c>
      <c r="S11" s="80"/>
      <c r="T11" s="80"/>
      <c r="U11" s="80">
        <f>SUMIFS('Détail fonctionnement'!$J$5:$J$505,'Détail fonctionnement'!$A$5:$A$505,"S1",'Détail fonctionnement'!$B$5:$B$505,"FINAFRICA",'Détail fonctionnement'!$C$5:$C$505,"IMPÔTS ET TAXES",'Détail fonctionnement'!$G$5:$G$505,"O")</f>
      </c>
      <c r="V11" s="80"/>
      <c r="W11" s="80">
        <f>SUMIFS('Détail fonctionnement'!$J$5:$J$505,'Détail fonctionnement'!$A$5:$A$505,"S1",'Détail fonctionnement'!$B$5:$B$505,"INFI SOFT",'Détail fonctionnement'!$C$5:$C$505,"IMPÔTS ET TAXES",'Détail fonctionnement'!$G$5:$G$505,"O")</f>
      </c>
      <c r="X11" s="80">
        <f>SUMIFS('Détail fonctionnement'!$J$5:$J$505,'Détail fonctionnement'!$A$5:$A$505,"S1",'Détail fonctionnement'!$B$5:$B$505,"ODALYS CI",'Détail fonctionnement'!$C$5:$C$505,"IMPÔTS ET TAXES",'Détail fonctionnement'!$G$5:$G$505,"O")</f>
      </c>
      <c r="Y11" s="80">
        <f>SUMIFS('Détail fonctionnement'!$J$5:$J$505,'Détail fonctionnement'!$A$5:$A$505,"S1",'Détail fonctionnement'!$B$5:$B$505,"AB CENTER",'Détail fonctionnement'!$C$5:$C$505,"IMPÔTS ET TAXES",'Détail fonctionnement'!$G$5:$G$505,"O")</f>
      </c>
      <c r="Z11" s="80"/>
      <c r="AA11" s="80">
        <f>SUMIFS('Détail fonctionnement'!$J$5:$J$505,'Détail fonctionnement'!$A$5:$A$505,"S1",'Détail fonctionnement'!$B$5:$B$505,"RHD CI",'Détail fonctionnement'!$C$5:$C$505,"IMPÔTS ET TAXES",'Détail fonctionnement'!$G$5:$G$505,"O")</f>
      </c>
      <c r="AB11" s="79" t="s">
        <v>15</v>
      </c>
    </row>
    <row r="12" spans="1:28" x14ac:dyDescent="0.25">
      <c r="A12" s="49" t="s">
        <v>109</v>
      </c>
      <c r="B12" s="80"/>
      <c r="C12" s="80">
        <f>SUMIFS('Détail fonctionnement'!$J$5:$J$505,'Détail fonctionnement'!$A$5:$A$505,"S1",'Détail fonctionnement'!$B$5:$B$505,"TERASSON",'Détail fonctionnement'!$C$5:$C$505,"CHARGES SOCIALES",'Détail fonctionnement'!$G$5:$G$505,"O")</f>
      </c>
      <c r="D12" s="80"/>
      <c r="E12" s="80">
        <f>SUMIFS('Détail fonctionnement'!$J$5:$J$505,'Détail fonctionnement'!$A$5:$A$505,"S1",'Détail fonctionnement'!$B$5:$B$505,"PICI",'Détail fonctionnement'!$C$5:$C$505,"CHARGES SOCIALES",'Détail fonctionnement'!$G$5:$G$505,"O")</f>
      </c>
      <c r="F12" s="80"/>
      <c r="G12" s="80"/>
      <c r="H12" s="80">
        <f>SUMIFS('Détail fonctionnement'!$J$5:$J$505,'Détail fonctionnement'!$A$5:$A$505,"S1",'Détail fonctionnement'!$B$5:$B$505,"FIRST",'Détail fonctionnement'!$C$5:$C$505,"CHARGES SOCIALES",'Détail fonctionnement'!$G$5:$G$505,"O")</f>
      </c>
      <c r="I12" s="80"/>
      <c r="J12" s="80"/>
      <c r="K12" s="80"/>
      <c r="L12" s="80">
        <f>SUMIFS('Détail fonctionnement'!$J$5:$J$505,'Détail fonctionnement'!$A$5:$A$505,"S1",'Détail fonctionnement'!$B$5:$B$505,"RIVIERA",'Détail fonctionnement'!$C$5:$C$505,"CHARGES SOCIALES",'Détail fonctionnement'!$G$5:$G$505,"O")</f>
      </c>
      <c r="M12" s="80"/>
      <c r="N12" s="80">
        <f>SUMIFS('Détail fonctionnement'!$J$5:$J$505,'Détail fonctionnement'!$A$5:$A$505,"S1",'Détail fonctionnement'!$B$5:$B$505,"SCO AO",'Détail fonctionnement'!$C$5:$C$505,"CHARGES SOCIALES",'Détail fonctionnement'!$G$5:$G$505,"O")</f>
      </c>
      <c r="O12" s="80"/>
      <c r="P12" s="80"/>
      <c r="Q12" s="80"/>
      <c r="R12" s="80">
        <f>SUMIFS('Détail fonctionnement'!$J$5:$J$505,'Détail fonctionnement'!$A$5:$A$505,"S1",'Détail fonctionnement'!$B$5:$B$505,"IMMONEUF",'Détail fonctionnement'!$C$5:$C$505,"CHARGES SOCIALES",'Détail fonctionnement'!$G$5:$G$505,"O")</f>
      </c>
      <c r="S12" s="80"/>
      <c r="T12" s="80"/>
      <c r="U12" s="80">
        <f>SUMIFS('Détail fonctionnement'!$J$5:$J$505,'Détail fonctionnement'!$A$5:$A$505,"S1",'Détail fonctionnement'!$B$5:$B$505,"FINAFRICA",'Détail fonctionnement'!$C$5:$C$505,"CHARGES SOCIALES",'Détail fonctionnement'!$G$5:$G$505,"O")</f>
      </c>
      <c r="V12" s="80"/>
      <c r="W12" s="80">
        <f>SUMIFS('Détail fonctionnement'!$J$5:$J$505,'Détail fonctionnement'!$A$5:$A$505,"S1",'Détail fonctionnement'!$B$5:$B$505,"INFI SOFT",'Détail fonctionnement'!$C$5:$C$505,"CHARGES SOCIALES",'Détail fonctionnement'!$G$5:$G$505,"O")</f>
      </c>
      <c r="X12" s="80">
        <f>SUMIFS('Détail fonctionnement'!$J$5:$J$505,'Détail fonctionnement'!$A$5:$A$505,"S1",'Détail fonctionnement'!$B$5:$B$505,"ODALYS CI",'Détail fonctionnement'!$C$5:$C$505,"CHARGES SOCIALES",'Détail fonctionnement'!$G$5:$G$505,"O")</f>
      </c>
      <c r="Y12" s="80">
        <f>SUMIFS('Détail fonctionnement'!$J$5:$J$505,'Détail fonctionnement'!$A$5:$A$505,"S1",'Détail fonctionnement'!$B$5:$B$505,"AB CENTER",'Détail fonctionnement'!$C$5:$C$505,"CHARGES SOCIALES",'Détail fonctionnement'!$G$5:$G$505,"O")</f>
      </c>
      <c r="Z12" s="80"/>
      <c r="AA12" s="80">
        <f>SUMIFS('Détail fonctionnement'!$J$5:$J$505,'Détail fonctionnement'!$A$5:$A$505,"S1",'Détail fonctionnement'!$B$5:$B$505,"RHD CI",'Détail fonctionnement'!$C$5:$C$505,"CHARGES SOCIALES",'Détail fonctionnement'!$G$5:$G$505,"O")</f>
      </c>
      <c r="AB12" s="79" t="s">
        <v>15</v>
      </c>
    </row>
    <row r="13" spans="1:28" x14ac:dyDescent="0.25">
      <c r="A13" s="49" t="s">
        <v>117</v>
      </c>
      <c r="B13" s="80"/>
      <c r="C13" s="80">
        <f>SUMIFS('Détail fonctionnement'!$J$5:$J$505,'Détail fonctionnement'!$A$5:$A$505,"S1",'Détail fonctionnement'!$B$5:$B$505,"TERASSON",'Détail fonctionnement'!$C$5:$C$505,"SALAIRES",'Détail fonctionnement'!$G$5:$G$505,"O")</f>
      </c>
      <c r="D13" s="80"/>
      <c r="E13" s="80">
        <f>SUMIFS('Détail fonctionnement'!$J$5:$J$505,'Détail fonctionnement'!$A$5:$A$505,"S1",'Détail fonctionnement'!$B$5:$B$505,"PICI",'Détail fonctionnement'!$C$5:$C$505,"SALAIRES",'Détail fonctionnement'!$G$5:$G$505,"O")</f>
      </c>
      <c r="F13" s="80"/>
      <c r="G13" s="80"/>
      <c r="H13" s="80">
        <f>SUMIFS('Détail fonctionnement'!$J$5:$J$505,'Détail fonctionnement'!$A$5:$A$505,"S1",'Détail fonctionnement'!$B$5:$B$505,"FIRST",'Détail fonctionnement'!$C$5:$C$505,"SALAIRES",'Détail fonctionnement'!$G$5:$G$505,"O")</f>
      </c>
      <c r="I13" s="80"/>
      <c r="J13" s="80"/>
      <c r="K13" s="80"/>
      <c r="L13" s="80">
        <f>SUMIFS('Détail fonctionnement'!$J$5:$J$505,'Détail fonctionnement'!$A$5:$A$505,"S1",'Détail fonctionnement'!$B$5:$B$505,"RIVIERA",'Détail fonctionnement'!$C$5:$C$505,"SALAIRES",'Détail fonctionnement'!$G$5:$G$505,"O")</f>
      </c>
      <c r="M13" s="80"/>
      <c r="N13" s="80">
        <f>SUMIFS('Détail fonctionnement'!$J$5:$J$505,'Détail fonctionnement'!$A$5:$A$505,"S1",'Détail fonctionnement'!$B$5:$B$505,"SCO AO",'Détail fonctionnement'!$C$5:$C$505,"SALAIRES",'Détail fonctionnement'!$G$5:$G$505,"O")</f>
      </c>
      <c r="O13" s="80"/>
      <c r="P13" s="80"/>
      <c r="Q13" s="80"/>
      <c r="R13" s="80">
        <f>SUMIFS('Détail fonctionnement'!$J$5:$J$505,'Détail fonctionnement'!$A$5:$A$505,"S1",'Détail fonctionnement'!$B$5:$B$505,"IMMONEUF",'Détail fonctionnement'!$C$5:$C$505,"SALAIRES",'Détail fonctionnement'!$G$5:$G$505,"O")</f>
      </c>
      <c r="S13" s="80"/>
      <c r="T13" s="80"/>
      <c r="U13" s="80">
        <f>SUMIFS('Détail fonctionnement'!$J$5:$J$505,'Détail fonctionnement'!$A$5:$A$505,"S1",'Détail fonctionnement'!$B$5:$B$505,"FINAFRICA",'Détail fonctionnement'!$C$5:$C$505,"SALAIRES",'Détail fonctionnement'!$G$5:$G$505,"O")</f>
      </c>
      <c r="V13" s="80"/>
      <c r="W13" s="80">
        <f>SUMIFS('Détail fonctionnement'!$J$5:$J$505,'Détail fonctionnement'!$A$5:$A$505,"S1",'Détail fonctionnement'!$B$5:$B$505,"INFI SOFT",'Détail fonctionnement'!$C$5:$C$505,"SALAIRES",'Détail fonctionnement'!$G$5:$G$505,"O")</f>
      </c>
      <c r="X13" s="80">
        <f>SUMIFS('Détail fonctionnement'!$J$5:$J$505,'Détail fonctionnement'!$A$5:$A$505,"S1",'Détail fonctionnement'!$B$5:$B$505,"ODALYS CI",'Détail fonctionnement'!$C$5:$C$505,"SALAIRES",'Détail fonctionnement'!$G$5:$G$505,"O")</f>
      </c>
      <c r="Y13" s="80">
        <f>SUMIFS('Détail fonctionnement'!$J$5:$J$505,'Détail fonctionnement'!$A$5:$A$505,"S1",'Détail fonctionnement'!$B$5:$B$505,"AB CENTER",'Détail fonctionnement'!$C$5:$C$505,"SALAIRES",'Détail fonctionnement'!$G$5:$G$505,"O")</f>
      </c>
      <c r="Z13" s="80"/>
      <c r="AA13" s="80">
        <f>SUMIFS('Détail fonctionnement'!$J$5:$J$505,'Détail fonctionnement'!$A$5:$A$505,"S1",'Détail fonctionnement'!$B$5:$B$505,"RHD CI",'Détail fonctionnement'!$C$5:$C$505,"SALAIRES",'Détail fonctionnement'!$G$5:$G$505,"O")</f>
      </c>
      <c r="AB13" s="79" t="s">
        <v>15</v>
      </c>
    </row>
    <row r="14" spans="1:28" x14ac:dyDescent="0.25">
      <c r="A14" s="49" t="s">
        <v>158</v>
      </c>
      <c r="B14" s="78"/>
      <c r="C14" s="78">
        <f>SUMIFS('Détail fonctionnement'!$J$5:$J$505,'Détail fonctionnement'!$A$5:$A$505,"S1",'Détail fonctionnement'!$B$5:$B$505,"TERASSON",'Détail fonctionnement'!$C$5:$C$505,"REMBOURSEMENT DE PRÊTS",'Détail fonctionnement'!$G$5:$G$505,"O")</f>
      </c>
      <c r="D14" s="78"/>
      <c r="E14" s="78">
        <f>SUMIFS('Détail fonctionnement'!$J$5:$J$505,'Détail fonctionnement'!$A$5:$A$505,"S1",'Détail fonctionnement'!$B$5:$B$505,"PICI",'Détail fonctionnement'!$C$5:$C$505,"REMBOURSEMENT DE PRÊTS",'Détail fonctionnement'!$G$5:$G$505,"O")</f>
      </c>
      <c r="F14" s="78"/>
      <c r="G14" s="78"/>
      <c r="H14" s="78">
        <f>SUMIFS('Détail fonctionnement'!$J$5:$J$505,'Détail fonctionnement'!$A$5:$A$505,"S1",'Détail fonctionnement'!$B$5:$B$505,"FIRST",'Détail fonctionnement'!$C$5:$C$505,"REMBOURSEMENT DE PRÊTS",'Détail fonctionnement'!$G$5:$G$505,"O")</f>
      </c>
      <c r="I14" s="78"/>
      <c r="J14" s="78"/>
      <c r="K14" s="78"/>
      <c r="L14" s="78">
        <f>SUMIFS('Détail fonctionnement'!$J$5:$J$505,'Détail fonctionnement'!$A$5:$A$505,"S1",'Détail fonctionnement'!$B$5:$B$505,"RIVIERA",'Détail fonctionnement'!$C$5:$C$505,"REMBOURSEMENT DE PRÊTS",'Détail fonctionnement'!$G$5:$G$505,"O")</f>
      </c>
      <c r="M14" s="78"/>
      <c r="N14" s="78">
        <f>SUMIFS('Détail fonctionnement'!$J$5:$J$505,'Détail fonctionnement'!$A$5:$A$505,"S1",'Détail fonctionnement'!$B$5:$B$505,"SCO AO",'Détail fonctionnement'!$C$5:$C$505,"REMBOURSEMENT DE PRÊTS",'Détail fonctionnement'!$G$5:$G$505,"O")</f>
      </c>
      <c r="O14" s="78"/>
      <c r="P14" s="78"/>
      <c r="Q14" s="78"/>
      <c r="R14" s="78">
        <f>SUMIFS('Détail fonctionnement'!$J$5:$J$505,'Détail fonctionnement'!$A$5:$A$505,"S1",'Détail fonctionnement'!$B$5:$B$505,"IMMONEUF",'Détail fonctionnement'!$C$5:$C$505,"REMBOURSEMENT DE PRÊTS",'Détail fonctionnement'!$G$5:$G$505,"O")</f>
      </c>
      <c r="S14" s="78"/>
      <c r="T14" s="78"/>
      <c r="U14" s="78">
        <f>SUMIFS('Détail fonctionnement'!$J$5:$J$505,'Détail fonctionnement'!$A$5:$A$505,"S1",'Détail fonctionnement'!$B$5:$B$505,"FINAFRICA",'Détail fonctionnement'!$C$5:$C$505,"REMBOURSEMENT DE PRÊTS",'Détail fonctionnement'!$G$5:$G$505,"O")</f>
      </c>
      <c r="V14" s="78"/>
      <c r="W14" s="78">
        <f>SUMIFS('Détail fonctionnement'!$J$5:$J$505,'Détail fonctionnement'!$A$5:$A$505,"S1",'Détail fonctionnement'!$B$5:$B$505,"INFI SOFT",'Détail fonctionnement'!$C$5:$C$505,"REMBOURSEMENT DE PRÊTS",'Détail fonctionnement'!$G$5:$G$505,"O")</f>
      </c>
      <c r="X14" s="78">
        <f>SUMIFS('Détail fonctionnement'!$J$5:$J$505,'Détail fonctionnement'!$A$5:$A$505,"S1",'Détail fonctionnement'!$B$5:$B$505,"ODALYS CI",'Détail fonctionnement'!$C$5:$C$505,"REMBOURSEMENT DE PRÊTS",'Détail fonctionnement'!$G$5:$G$505,"O")</f>
      </c>
      <c r="Y14" s="78">
        <f>SUMIFS('Détail fonctionnement'!$J$5:$J$505,'Détail fonctionnement'!$A$5:$A$505,"S1",'Détail fonctionnement'!$B$5:$B$505,"AB CENTER",'Détail fonctionnement'!$C$5:$C$505,"REMBOURSEMENT DE PRÊTS",'Détail fonctionnement'!$G$5:$G$505,"O")</f>
      </c>
      <c r="Z14" s="78"/>
      <c r="AA14" s="78">
        <f>SUMIFS('Détail fonctionnement'!$J$5:$J$505,'Détail fonctionnement'!$A$5:$A$505,"S1",'Détail fonctionnement'!$B$5:$B$505,"RHD CI",'Détail fonctionnement'!$C$5:$C$505,"REMBOURSEMENT DE PRÊTS",'Détail fonctionnement'!$G$5:$G$505,"O")</f>
      </c>
      <c r="AB14" s="79" t="s">
        <v>159</v>
      </c>
    </row>
    <row r="15" spans="1:28" x14ac:dyDescent="0.25">
      <c r="A15" s="49" t="s">
        <v>160</v>
      </c>
      <c r="B15" s="78"/>
      <c r="C15" s="78">
        <f>SUMIFS('Détail fonctionnement'!$J$5:$J$505,'Détail fonctionnement'!$A$5:$A$505,"S1",'Détail fonctionnement'!$B$5:$B$505,"TERASSON",'Détail fonctionnement'!$C$5:$C$505,"AUTRES DÉCAISSEMENTS",'Détail fonctionnement'!$G$5:$G$505,"O")+SUMIFS('Détail fonctionnement'!$J$5:$J$505,'Détail fonctionnement'!$A$5:$A$505,"S1",'Détail fonctionnement'!$B$5:$B$505,"TERASSON",'Détail fonctionnement'!$C$5:$C$505,"ENCAISSEMENTS",'Détail fonctionnement'!$G$5:$G$505,"O")</f>
      </c>
      <c r="D15" s="78"/>
      <c r="E15" s="78">
        <f>SUMIFS('Détail fonctionnement'!$J$5:$J$505,'Détail fonctionnement'!$A$5:$A$505,"S1",'Détail fonctionnement'!$B$5:$B$505,"PICI",'Détail fonctionnement'!$C$5:$C$505,"AUTRES DÉCAISSEMENTS",'Détail fonctionnement'!$G$5:$G$505,"O")+SUMIFS('Détail fonctionnement'!$J$5:$J$505,'Détail fonctionnement'!$A$5:$A$505,"S1",'Détail fonctionnement'!$B$5:$B$505,"PICI",'Détail fonctionnement'!$C$5:$C$505,"ENCAISSEMENTS",'Détail fonctionnement'!$G$5:$G$505,"O")</f>
      </c>
      <c r="F15" s="78"/>
      <c r="G15" s="78"/>
      <c r="H15" s="78">
        <f>SUMIFS('Détail fonctionnement'!$J$5:$J$505,'Détail fonctionnement'!$A$5:$A$505,"S1",'Détail fonctionnement'!$B$5:$B$505,"FIRST",'Détail fonctionnement'!$C$5:$C$505,"AUTRES DÉCAISSEMENTS",'Détail fonctionnement'!$G$5:$G$505,"O")+SUMIFS('Détail fonctionnement'!$J$5:$J$505,'Détail fonctionnement'!$A$5:$A$505,"S1",'Détail fonctionnement'!$B$5:$B$505,"FIRST",'Détail fonctionnement'!$C$5:$C$505,"ENCAISSEMENTS",'Détail fonctionnement'!$G$5:$G$505,"O")</f>
      </c>
      <c r="I15" s="78"/>
      <c r="J15" s="78"/>
      <c r="K15" s="78"/>
      <c r="L15" s="78">
        <f>SUMIFS('Détail fonctionnement'!$J$5:$J$505,'Détail fonctionnement'!$A$5:$A$505,"S1",'Détail fonctionnement'!$B$5:$B$505,"RIVIERA",'Détail fonctionnement'!$C$5:$C$505,"AUTRES DÉCAISSEMENTS",'Détail fonctionnement'!$G$5:$G$505,"O")+SUMIFS('Détail fonctionnement'!$J$5:$J$505,'Détail fonctionnement'!$A$5:$A$505,"S1",'Détail fonctionnement'!$B$5:$B$505,"RIVIERA",'Détail fonctionnement'!$C$5:$C$505,"ENCAISSEMENTS",'Détail fonctionnement'!$G$5:$G$505,"O")</f>
      </c>
      <c r="M15" s="78"/>
      <c r="N15" s="78">
        <f>SUMIFS('Détail fonctionnement'!$J$5:$J$505,'Détail fonctionnement'!$A$5:$A$505,"S1",'Détail fonctionnement'!$B$5:$B$505,"SCO AO",'Détail fonctionnement'!$C$5:$C$505,"AUTRES DÉCAISSEMENTS",'Détail fonctionnement'!$G$5:$G$505,"O")+SUMIFS('Détail fonctionnement'!$J$5:$J$505,'Détail fonctionnement'!$A$5:$A$505,"S1",'Détail fonctionnement'!$B$5:$B$505,"SCO AO",'Détail fonctionnement'!$C$5:$C$505,"ENCAISSEMENTS",'Détail fonctionnement'!$G$5:$G$505,"O")</f>
      </c>
      <c r="O15" s="78"/>
      <c r="P15" s="78"/>
      <c r="Q15" s="78"/>
      <c r="R15" s="78">
        <f>SUMIFS('Détail fonctionnement'!$J$5:$J$505,'Détail fonctionnement'!$A$5:$A$505,"S1",'Détail fonctionnement'!$B$5:$B$505,"IMMONEUF",'Détail fonctionnement'!$C$5:$C$505,"AUTRES DÉCAISSEMENTS",'Détail fonctionnement'!$G$5:$G$505,"O")+SUMIFS('Détail fonctionnement'!$J$5:$J$505,'Détail fonctionnement'!$A$5:$A$505,"S1",'Détail fonctionnement'!$B$5:$B$505,"IMMONEUF",'Détail fonctionnement'!$C$5:$C$505,"ENCAISSEMENTS",'Détail fonctionnement'!$G$5:$G$505,"O")</f>
      </c>
      <c r="S15" s="78"/>
      <c r="T15" s="78"/>
      <c r="U15" s="78">
        <f>SUMIFS('Détail fonctionnement'!$J$5:$J$505,'Détail fonctionnement'!$A$5:$A$505,"S1",'Détail fonctionnement'!$B$5:$B$505,"FINAFRICA",'Détail fonctionnement'!$C$5:$C$505,"AUTRES DÉCAISSEMENTS",'Détail fonctionnement'!$G$5:$G$505,"O")+SUMIFS('Détail fonctionnement'!$J$5:$J$505,'Détail fonctionnement'!$A$5:$A$505,"S1",'Détail fonctionnement'!$B$5:$B$505,"FINAFRICA",'Détail fonctionnement'!$C$5:$C$505,"ENCAISSEMENTS",'Détail fonctionnement'!$G$5:$G$505,"O")</f>
      </c>
      <c r="V15" s="78"/>
      <c r="W15" s="78">
        <f>SUMIFS('Détail fonctionnement'!$J$5:$J$505,'Détail fonctionnement'!$A$5:$A$505,"S1",'Détail fonctionnement'!$B$5:$B$505,"INFI SOFT",'Détail fonctionnement'!$C$5:$C$505,"AUTRES DÉCAISSEMENTS",'Détail fonctionnement'!$G$5:$G$505,"O")+SUMIFS('Détail fonctionnement'!$J$5:$J$505,'Détail fonctionnement'!$A$5:$A$505,"S1",'Détail fonctionnement'!$B$5:$B$505,"INFI SOFT",'Détail fonctionnement'!$C$5:$C$505,"ENCAISSEMENTS",'Détail fonctionnement'!$G$5:$G$505,"O")</f>
      </c>
      <c r="X15" s="78">
        <f>SUMIFS('Détail fonctionnement'!$J$5:$J$505,'Détail fonctionnement'!$A$5:$A$505,"S1",'Détail fonctionnement'!$B$5:$B$505,"ODALYS CI",'Détail fonctionnement'!$C$5:$C$505,"AUTRES DÉCAISSEMENTS",'Détail fonctionnement'!$G$5:$G$505,"O")+SUMIFS('Détail fonctionnement'!$J$5:$J$505,'Détail fonctionnement'!$A$5:$A$505,"S1",'Détail fonctionnement'!$B$5:$B$505,"ODALYS CI",'Détail fonctionnement'!$C$5:$C$505,"ENCAISSEMENTS",'Détail fonctionnement'!$G$5:$G$505,"O")</f>
      </c>
      <c r="Y15" s="78">
        <f>SUMIFS('Détail fonctionnement'!$J$5:$J$505,'Détail fonctionnement'!$A$5:$A$505,"S1",'Détail fonctionnement'!$B$5:$B$505,"AB CENTER",'Détail fonctionnement'!$C$5:$C$505,"AUTRES DÉCAISSEMENTS",'Détail fonctionnement'!$G$5:$G$505,"O")+SUMIFS('Détail fonctionnement'!$J$5:$J$505,'Détail fonctionnement'!$A$5:$A$505,"S1",'Détail fonctionnement'!$B$5:$B$505,"AB CENTER",'Détail fonctionnement'!$C$5:$C$505,"ENCAISSEMENTS",'Détail fonctionnement'!$G$5:$G$505,"O")</f>
      </c>
      <c r="Z15" s="78"/>
      <c r="AA15" s="78">
        <f>SUMIFS('Détail fonctionnement'!$J$5:$J$505,'Détail fonctionnement'!$A$5:$A$505,"S1",'Détail fonctionnement'!$B$5:$B$505,"RHD CI",'Détail fonctionnement'!$C$5:$C$505,"AUTRES DÉCAISSEMENTS",'Détail fonctionnement'!$G$5:$G$505,"O")+SUMIFS('Détail fonctionnement'!$J$5:$J$505,'Détail fonctionnement'!$A$5:$A$505,"S1",'Détail fonctionnement'!$B$5:$B$505,"RHD CI",'Détail fonctionnement'!$C$5:$C$505,"ENCAISSEMENTS",'Détail fonctionnement'!$G$5:$G$505,"O")</f>
      </c>
      <c r="AB15" s="79" t="s">
        <v>15</v>
      </c>
    </row>
    <row r="16" spans="1:28" x14ac:dyDescent="0.25">
      <c r="A16" s="49" t="s">
        <v>161</v>
      </c>
      <c r="B16" s="78"/>
      <c r="C16" s="78">
        <f>SUMIFS('Détail fonctionnement'!$J$5:$J$505,'Détail fonctionnement'!$A$5:$A$505,"S1",'Détail fonctionnement'!$B$5:$B$505,"TERASSON",'Détail fonctionnement'!$C$5:$C$505,"ENREGISTREMENTS",'Détail fonctionnement'!$G$5:$G$505,"O")</f>
      </c>
      <c r="D16" s="78"/>
      <c r="E16" s="78">
        <f>SUMIFS('Détail fonctionnement'!$J$5:$J$505,'Détail fonctionnement'!$A$5:$A$505,"S1",'Détail fonctionnement'!$B$5:$B$505,"PICI",'Détail fonctionnement'!$C$5:$C$505,"ENREGISTREMENTS",'Détail fonctionnement'!$G$5:$G$505,"O")</f>
      </c>
      <c r="F16" s="78"/>
      <c r="G16" s="78"/>
      <c r="H16" s="78">
        <f>SUMIFS('Détail fonctionnement'!$J$5:$J$505,'Détail fonctionnement'!$A$5:$A$505,"S1",'Détail fonctionnement'!$B$5:$B$505,"FIRST",'Détail fonctionnement'!$C$5:$C$505,"ENREGISTREMENTS",'Détail fonctionnement'!$G$5:$G$505,"O")</f>
      </c>
      <c r="I16" s="78"/>
      <c r="J16" s="78"/>
      <c r="K16" s="78"/>
      <c r="L16" s="78">
        <f>SUMIFS('Détail fonctionnement'!$J$5:$J$505,'Détail fonctionnement'!$A$5:$A$505,"S1",'Détail fonctionnement'!$B$5:$B$505,"RIVIERA",'Détail fonctionnement'!$C$5:$C$505,"ENREGISTREMENTS",'Détail fonctionnement'!$G$5:$G$505,"O")</f>
      </c>
      <c r="M16" s="78"/>
      <c r="N16" s="78">
        <f>SUMIFS('Détail fonctionnement'!$J$5:$J$505,'Détail fonctionnement'!$A$5:$A$505,"S1",'Détail fonctionnement'!$B$5:$B$505,"SCO AO",'Détail fonctionnement'!$C$5:$C$505,"ENREGISTREMENTS",'Détail fonctionnement'!$G$5:$G$505,"O")</f>
      </c>
      <c r="O16" s="78"/>
      <c r="P16" s="78"/>
      <c r="Q16" s="78"/>
      <c r="R16" s="78">
        <f>SUMIFS('Détail fonctionnement'!$J$5:$J$505,'Détail fonctionnement'!$A$5:$A$505,"S1",'Détail fonctionnement'!$B$5:$B$505,"IMMONEUF",'Détail fonctionnement'!$C$5:$C$505,"ENREGISTREMENTS",'Détail fonctionnement'!$G$5:$G$505,"O")</f>
      </c>
      <c r="S16" s="78"/>
      <c r="T16" s="78"/>
      <c r="U16" s="78">
        <f>SUMIFS('Détail fonctionnement'!$J$5:$J$505,'Détail fonctionnement'!$A$5:$A$505,"S1",'Détail fonctionnement'!$B$5:$B$505,"FINAFRICA",'Détail fonctionnement'!$C$5:$C$505,"ENREGISTREMENTS",'Détail fonctionnement'!$G$5:$G$505,"O")</f>
      </c>
      <c r="V16" s="78"/>
      <c r="W16" s="78">
        <f>SUMIFS('Détail fonctionnement'!$J$5:$J$505,'Détail fonctionnement'!$A$5:$A$505,"S1",'Détail fonctionnement'!$B$5:$B$505,"INFI SOFT",'Détail fonctionnement'!$C$5:$C$505,"ENREGISTREMENTS",'Détail fonctionnement'!$G$5:$G$505,"O")</f>
      </c>
      <c r="X16" s="78">
        <f>SUMIFS('Détail fonctionnement'!$J$5:$J$505,'Détail fonctionnement'!$A$5:$A$505,"S1",'Détail fonctionnement'!$B$5:$B$505,"ODALYS CI",'Détail fonctionnement'!$C$5:$C$505,"ENREGISTREMENTS",'Détail fonctionnement'!$G$5:$G$505,"O")</f>
      </c>
      <c r="Y16" s="78">
        <f>SUMIFS('Détail fonctionnement'!$J$5:$J$505,'Détail fonctionnement'!$A$5:$A$505,"S1",'Détail fonctionnement'!$B$5:$B$505,"AB CENTER",'Détail fonctionnement'!$C$5:$C$505,"ENREGISTREMENTS",'Détail fonctionnement'!$G$5:$G$505,"O")</f>
      </c>
      <c r="Z16" s="78"/>
      <c r="AA16" s="78">
        <f>SUMIFS('Détail fonctionnement'!$J$5:$J$505,'Détail fonctionnement'!$A$5:$A$505,"S1",'Détail fonctionnement'!$B$5:$B$505,"RHD CI",'Détail fonctionnement'!$C$5:$C$505,"ENREGISTREMENTS",'Détail fonctionnement'!$G$5:$G$505,"O")</f>
      </c>
      <c r="AB16" s="79" t="s">
        <v>162</v>
      </c>
    </row>
    <row r="17" spans="1:27" x14ac:dyDescent="0.25">
      <c r="A17" s="81" t="s">
        <v>163</v>
      </c>
      <c r="B17" s="82">
        <f>SUM(B7:B16)</f>
      </c>
      <c r="C17" s="82">
        <f>SUM(C7:C16)</f>
      </c>
      <c r="D17" s="82">
        <f>SUM(D7:D16)</f>
      </c>
      <c r="E17" s="82">
        <f>SUM(E7:E16)</f>
      </c>
      <c r="F17" s="82">
        <f>SUM(F7:F16)</f>
      </c>
      <c r="G17" s="82">
        <f>SUM(G7:G16)</f>
      </c>
      <c r="H17" s="82">
        <f>SUM(H7:H16)</f>
      </c>
      <c r="I17" s="82">
        <f>SUM(I7:I16)</f>
      </c>
      <c r="J17" s="82">
        <f>SUM(J7:J16)</f>
      </c>
      <c r="K17" s="82">
        <f>SUM(K7:K16)</f>
      </c>
      <c r="L17" s="82">
        <f>SUM(L7:L16)</f>
      </c>
      <c r="M17" s="82">
        <f>SUM(M7:M16)</f>
      </c>
      <c r="N17" s="82">
        <f>SUM(N7:N16)</f>
      </c>
      <c r="O17" s="82">
        <f>SUM(O7:O16)</f>
      </c>
      <c r="P17" s="82">
        <f>SUM(P7:P16)</f>
      </c>
      <c r="Q17" s="82">
        <f>SUM(Q7:Q16)</f>
      </c>
      <c r="R17" s="82">
        <f>SUM(R7:R16)</f>
      </c>
      <c r="S17" s="82">
        <f>SUM(S7:S16)</f>
      </c>
      <c r="T17" s="82">
        <f>SUM(T7:T16)</f>
      </c>
      <c r="U17" s="82">
        <f>SUM(U7:U16)</f>
      </c>
      <c r="V17" s="82">
        <f>SUM(V7:V16)</f>
      </c>
      <c r="W17" s="82">
        <f>SUM(W7:W16)</f>
      </c>
      <c r="X17" s="82">
        <f>SUM(X7:X16)</f>
      </c>
      <c r="Y17" s="82">
        <f>SUM(Y7:Y16)</f>
      </c>
      <c r="Z17" s="82">
        <f>SUM(Z7:Z16)</f>
      </c>
      <c r="AA17" s="82">
        <f>SUM(AA7:AA16)</f>
      </c>
    </row>
    <row r="18" spans="1:27" x14ac:dyDescent="0.25">
      <c r="A18" s="83" t="s">
        <v>164</v>
      </c>
      <c r="B18" s="84">
        <f>'Position CI 30-09'!F29</f>
      </c>
      <c r="C18" s="84">
        <f>'Position CI 30-09'!F10</f>
      </c>
      <c r="D18" s="84">
        <f>'Position CI 30-09'!F11</f>
      </c>
      <c r="E18" s="84">
        <f>'Position CI 30-09'!F6</f>
      </c>
      <c r="F18" s="84">
        <f>'Position CI 30-09'!F5</f>
      </c>
      <c r="G18" s="84">
        <f>'Position CI 30-09'!F7</f>
      </c>
      <c r="H18" s="84">
        <f>'Position CI 30-09'!F9</f>
      </c>
      <c r="I18" s="84">
        <f>'Position CI 30-09'!F8</f>
      </c>
      <c r="J18" s="84">
        <f>'Position CI 30-09'!F28</f>
      </c>
      <c r="K18" s="84">
        <f>'Position CI 30-09'!F13</f>
      </c>
      <c r="L18" s="84">
        <f>'Position CI 30-09'!F12</f>
      </c>
      <c r="M18" s="84">
        <f>'Position CI 30-09'!F16</f>
      </c>
      <c r="N18" s="84">
        <f>'Position CI 30-09'!F15</f>
      </c>
      <c r="O18" s="84">
        <f>'Position CI 30-09'!F14</f>
      </c>
      <c r="P18" s="84">
        <f>'Position CI 30-09'!F17</f>
      </c>
      <c r="Q18" s="84">
        <f>'Position CI 30-09'!F18</f>
      </c>
      <c r="R18" s="84">
        <f>'Position CI 30-09'!F23</f>
      </c>
      <c r="S18" s="84">
        <f>'Position CI 30-09'!F25</f>
      </c>
      <c r="T18" s="84">
        <f>'Position CI 30-09'!F24</f>
      </c>
      <c r="U18" s="84">
        <f>'Position CI 30-09'!F19</f>
      </c>
      <c r="V18" s="84">
        <f>'Position CI 30-09'!F20</f>
      </c>
      <c r="W18" s="84">
        <f>'Position CI 30-09'!F26</f>
      </c>
      <c r="X18" s="84">
        <f>'Position CI 30-09'!F27</f>
      </c>
      <c r="Y18" s="84">
        <f>'Position CI 30-09'!F22</f>
      </c>
      <c r="Z18" s="84">
        <f>'Position CI 30-09'!F21</f>
      </c>
      <c r="AA18" s="84">
        <v>0</v>
      </c>
    </row>
    <row r="19" spans="1:27" x14ac:dyDescent="0.25">
      <c r="A19" s="81" t="s">
        <v>165</v>
      </c>
      <c r="B19" s="82">
        <f>B17+B18</f>
      </c>
      <c r="C19" s="82">
        <f>C17+C18</f>
      </c>
      <c r="D19" s="82">
        <f>D17+D18</f>
      </c>
      <c r="E19" s="82">
        <f>E17+E18</f>
      </c>
      <c r="F19" s="82">
        <f>F17+F18</f>
      </c>
      <c r="G19" s="82">
        <f>G17+G18</f>
      </c>
      <c r="H19" s="82">
        <f>H17+H18</f>
      </c>
      <c r="I19" s="82">
        <f>I17+I18</f>
      </c>
      <c r="J19" s="82">
        <f>J17+J18</f>
      </c>
      <c r="K19" s="82">
        <f>K17+K18</f>
      </c>
      <c r="L19" s="82">
        <f>L17+L18</f>
      </c>
      <c r="M19" s="82">
        <f>M17+M18</f>
      </c>
      <c r="N19" s="82">
        <f>N17+N18</f>
      </c>
      <c r="O19" s="82">
        <f>O17+O18</f>
      </c>
      <c r="P19" s="82">
        <f>P17+P18</f>
      </c>
      <c r="Q19" s="82">
        <f>Q17+Q18</f>
      </c>
      <c r="R19" s="82">
        <f>R17+R18</f>
      </c>
      <c r="S19" s="82">
        <f>S17+S18</f>
      </c>
      <c r="T19" s="82">
        <f>T17+T18</f>
      </c>
      <c r="U19" s="82">
        <f>U17+U18</f>
      </c>
      <c r="V19" s="82">
        <f>V17+V18</f>
      </c>
      <c r="W19" s="82">
        <f>W17+W18</f>
      </c>
      <c r="X19" s="82">
        <f>X17+X18</f>
      </c>
      <c r="Y19" s="82">
        <f>Y17+Y18</f>
      </c>
      <c r="Z19" s="82">
        <f>Z17+Z18</f>
      </c>
      <c r="AA19" s="82">
        <f>AA17+AA18</f>
      </c>
    </row>
    <row r="20" spans="1:28" x14ac:dyDescent="0.25">
      <c r="A20" s="81" t="s">
        <v>166</v>
      </c>
      <c r="B20" s="82">
        <f>IF(B19&lt;0,-B19,0)</f>
      </c>
      <c r="C20" s="82">
        <f>IF(C19&lt;0,-C19,0)</f>
      </c>
      <c r="D20" s="82">
        <f>IF(D19&lt;0,-D19,0)</f>
      </c>
      <c r="E20" s="82">
        <f>IF(E19&lt;0,-E19,0)</f>
      </c>
      <c r="F20" s="82">
        <f>IF(F19&lt;0,-F19,0)</f>
      </c>
      <c r="G20" s="82">
        <f>IF(G19&lt;0,-G19,0)</f>
      </c>
      <c r="H20" s="82">
        <f>IF(H19&lt;0,-H19,0)</f>
      </c>
      <c r="I20" s="82">
        <f>IF(I19&lt;0,-I19,0)</f>
      </c>
      <c r="J20" s="82">
        <f>IF(J19&lt;0,-J19,0)</f>
      </c>
      <c r="K20" s="82">
        <f>IF(K19&lt;0,-K19,0)</f>
      </c>
      <c r="L20" s="82">
        <f>IF(L19&lt;0,-L19,0)</f>
      </c>
      <c r="M20" s="82">
        <f>IF(M19&lt;0,-M19,0)</f>
      </c>
      <c r="N20" s="82">
        <f>IF(N19&lt;0,-N19,0)</f>
      </c>
      <c r="O20" s="82">
        <f>IF(O19&lt;0,-O19,0)</f>
      </c>
      <c r="P20" s="82">
        <f>IF(P19&lt;0,-P19,0)</f>
      </c>
      <c r="Q20" s="82">
        <f>IF(Q19&lt;0,-Q19,0)</f>
      </c>
      <c r="R20" s="82">
        <f>IF(R19&lt;0,-R19,0)</f>
      </c>
      <c r="S20" s="82">
        <f>IF(S19&lt;0,-S19,0)</f>
      </c>
      <c r="T20" s="82">
        <f>IF(T19&lt;0,-T19,0)</f>
      </c>
      <c r="U20" s="82">
        <f>IF(U19&lt;0,-U19,0)</f>
      </c>
      <c r="V20" s="82">
        <f>IF(V19&lt;0,-V19,0)</f>
      </c>
      <c r="W20" s="82">
        <f>IF(W19&lt;0,-W19,0)</f>
      </c>
      <c r="X20" s="82">
        <f>IF(X19&lt;0,-X19,0)</f>
      </c>
      <c r="Y20" s="82">
        <f>IF(Y19&lt;0,-Y19,0)</f>
      </c>
      <c r="Z20" s="82">
        <f>IF(Z19&lt;0,-Z19,0)</f>
      </c>
      <c r="AA20" s="82">
        <f>IF(AA19&lt;0,-AA19,0)</f>
      </c>
      <c r="AB20" s="85">
        <f>SUM(B20:AA20)</f>
      </c>
    </row>
    <row r="23" spans="1:1" x14ac:dyDescent="0.25">
      <c r="A23" s="2" t="s">
        <v>167</v>
      </c>
    </row>
    <row r="24" spans="1:12" x14ac:dyDescent="0.25">
      <c r="A24" s="86" t="s">
        <v>168</v>
      </c>
      <c r="B24" s="86" t="s">
        <v>169</v>
      </c>
      <c r="C24" s="86" t="s">
        <v>170</v>
      </c>
      <c r="D24" s="86"/>
      <c r="E24" s="86" t="s">
        <v>171</v>
      </c>
      <c r="F24" s="86"/>
      <c r="G24" s="87"/>
      <c r="H24" s="88" t="s">
        <v>172</v>
      </c>
      <c r="I24" s="86" t="s">
        <v>173</v>
      </c>
      <c r="J24" s="86"/>
      <c r="K24" s="86"/>
      <c r="L24" s="86"/>
    </row>
    <row r="25" spans="1:12" x14ac:dyDescent="0.25">
      <c r="A25" s="49" t="s">
        <v>152</v>
      </c>
      <c r="B25" s="49">
        <v>1</v>
      </c>
      <c r="C25" s="49" t="s">
        <v>174</v>
      </c>
      <c r="D25" s="49"/>
      <c r="E25" s="49" t="s">
        <v>175</v>
      </c>
      <c r="F25" s="49"/>
      <c r="G25" s="89"/>
      <c r="H25" s="90">
        <v>500000000</v>
      </c>
      <c r="I25" s="49"/>
      <c r="J25" s="49"/>
      <c r="K25" s="49"/>
      <c r="L25" s="49"/>
    </row>
    <row r="26" spans="1:12" x14ac:dyDescent="0.25">
      <c r="A26" s="49"/>
      <c r="B26" s="49"/>
      <c r="C26" s="49"/>
      <c r="D26" s="49"/>
      <c r="E26" s="49"/>
      <c r="F26" s="49"/>
      <c r="G26" s="89"/>
      <c r="H26" s="90"/>
      <c r="I26" s="49"/>
      <c r="J26" s="49"/>
      <c r="K26" s="49"/>
      <c r="L26" s="49"/>
    </row>
    <row r="27" spans="1:12" x14ac:dyDescent="0.25">
      <c r="A27" s="49"/>
      <c r="B27" s="49"/>
      <c r="C27" s="49"/>
      <c r="D27" s="49"/>
      <c r="E27" s="49"/>
      <c r="F27" s="49"/>
      <c r="G27" s="89"/>
      <c r="H27" s="90"/>
      <c r="I27" s="49"/>
      <c r="J27" s="49"/>
      <c r="K27" s="49"/>
      <c r="L27" s="49"/>
    </row>
    <row r="28" spans="1:12" x14ac:dyDescent="0.25">
      <c r="A28" s="49"/>
      <c r="B28" s="49"/>
      <c r="C28" s="49"/>
      <c r="D28" s="49"/>
      <c r="E28" s="49"/>
      <c r="F28" s="49"/>
      <c r="G28" s="89"/>
      <c r="H28" s="90"/>
      <c r="I28" s="49"/>
      <c r="J28" s="49"/>
      <c r="K28" s="49"/>
      <c r="L28" s="49"/>
    </row>
    <row r="29" spans="1:12" x14ac:dyDescent="0.25">
      <c r="A29" s="49"/>
      <c r="B29" s="49"/>
      <c r="C29" s="49"/>
      <c r="D29" s="49"/>
      <c r="E29" s="49"/>
      <c r="F29" s="49"/>
      <c r="G29" s="89"/>
      <c r="H29" s="90"/>
      <c r="I29" s="49"/>
      <c r="J29" s="49"/>
      <c r="K29" s="49"/>
      <c r="L29" s="49"/>
    </row>
    <row r="30" spans="1:12" x14ac:dyDescent="0.25">
      <c r="A30" s="49"/>
      <c r="B30" s="49"/>
      <c r="C30" s="49"/>
      <c r="D30" s="49"/>
      <c r="E30" s="49"/>
      <c r="F30" s="49"/>
      <c r="G30" s="89"/>
      <c r="H30" s="90"/>
      <c r="I30" s="49"/>
      <c r="J30" s="49"/>
      <c r="K30" s="49"/>
      <c r="L30" s="49"/>
    </row>
    <row r="31" spans="1:12" x14ac:dyDescent="0.25">
      <c r="A31" s="49"/>
      <c r="B31" s="49"/>
      <c r="C31" s="49"/>
      <c r="D31" s="49"/>
      <c r="E31" s="49"/>
      <c r="F31" s="49"/>
      <c r="G31" s="89"/>
      <c r="H31" s="90"/>
      <c r="I31" s="49"/>
      <c r="J31" s="49"/>
      <c r="K31" s="49"/>
      <c r="L31" s="49"/>
    </row>
    <row r="32" spans="1:12" x14ac:dyDescent="0.25">
      <c r="A32" s="49"/>
      <c r="B32" s="49"/>
      <c r="C32" s="49"/>
      <c r="D32" s="49"/>
      <c r="E32" s="49"/>
      <c r="F32" s="49"/>
      <c r="G32" s="89"/>
      <c r="H32" s="90"/>
      <c r="I32" s="49"/>
      <c r="J32" s="49"/>
      <c r="K32" s="49"/>
      <c r="L32" s="49"/>
    </row>
    <row r="33" spans="1:12" x14ac:dyDescent="0.25">
      <c r="A33" s="49"/>
      <c r="B33" s="49"/>
      <c r="C33" s="49"/>
      <c r="D33" s="49"/>
      <c r="E33" s="49"/>
      <c r="F33" s="49"/>
      <c r="G33" s="89"/>
      <c r="H33" s="90"/>
      <c r="I33" s="49"/>
      <c r="J33" s="49"/>
      <c r="K33" s="49"/>
      <c r="L33" s="49"/>
    </row>
    <row r="34" spans="1:12" x14ac:dyDescent="0.25">
      <c r="A34" s="49"/>
      <c r="B34" s="49"/>
      <c r="C34" s="49"/>
      <c r="D34" s="49"/>
      <c r="E34" s="49"/>
      <c r="F34" s="49"/>
      <c r="G34" s="89"/>
      <c r="H34" s="90"/>
      <c r="I34" s="49"/>
      <c r="J34" s="49"/>
      <c r="K34" s="49"/>
      <c r="L34" s="49"/>
    </row>
    <row r="35" spans="1:12" x14ac:dyDescent="0.25">
      <c r="A35" s="49"/>
      <c r="B35" s="49"/>
      <c r="C35" s="49"/>
      <c r="D35" s="49"/>
      <c r="E35" s="49"/>
      <c r="F35" s="49"/>
      <c r="G35" s="89"/>
      <c r="H35" s="90"/>
      <c r="I35" s="49"/>
      <c r="J35" s="49"/>
      <c r="K35" s="49"/>
      <c r="L35" s="49"/>
    </row>
    <row r="36" spans="1:12" x14ac:dyDescent="0.25">
      <c r="A36" s="49"/>
      <c r="B36" s="49"/>
      <c r="C36" s="49"/>
      <c r="D36" s="49"/>
      <c r="E36" s="49"/>
      <c r="F36" s="49"/>
      <c r="G36" s="89"/>
      <c r="H36" s="90"/>
      <c r="I36" s="49"/>
      <c r="J36" s="49"/>
      <c r="K36" s="49"/>
      <c r="L36" s="49"/>
    </row>
    <row r="37" spans="1:12" x14ac:dyDescent="0.25">
      <c r="A37" s="49"/>
      <c r="B37" s="49"/>
      <c r="C37" s="49"/>
      <c r="D37" s="49"/>
      <c r="E37" s="49"/>
      <c r="F37" s="49"/>
      <c r="G37" s="89"/>
      <c r="H37" s="90"/>
      <c r="I37" s="49"/>
      <c r="J37" s="49"/>
      <c r="K37" s="49"/>
      <c r="L37" s="49"/>
    </row>
    <row r="38" spans="1:12" x14ac:dyDescent="0.25">
      <c r="A38" s="49"/>
      <c r="B38" s="49"/>
      <c r="C38" s="49"/>
      <c r="D38" s="49"/>
      <c r="E38" s="49"/>
      <c r="F38" s="49"/>
      <c r="G38" s="89"/>
      <c r="H38" s="90"/>
      <c r="I38" s="49"/>
      <c r="J38" s="49"/>
      <c r="K38" s="49"/>
      <c r="L38" s="49"/>
    </row>
    <row r="39" spans="1:12" x14ac:dyDescent="0.25">
      <c r="A39" s="49"/>
      <c r="B39" s="49"/>
      <c r="C39" s="49"/>
      <c r="D39" s="49"/>
      <c r="E39" s="49"/>
      <c r="F39" s="49"/>
      <c r="G39" s="89"/>
      <c r="H39" s="90"/>
      <c r="I39" s="49"/>
      <c r="J39" s="49"/>
      <c r="K39" s="49"/>
      <c r="L39" s="49"/>
    </row>
    <row r="40" spans="1:12" x14ac:dyDescent="0.25">
      <c r="A40" s="49"/>
      <c r="B40" s="49"/>
      <c r="C40" s="49"/>
      <c r="D40" s="49"/>
      <c r="E40" s="49"/>
      <c r="F40" s="49"/>
      <c r="G40" s="89"/>
      <c r="H40" s="90"/>
      <c r="I40" s="49"/>
      <c r="J40" s="49"/>
      <c r="K40" s="49"/>
      <c r="L40" s="49"/>
    </row>
    <row r="41" spans="1:12" x14ac:dyDescent="0.25">
      <c r="A41" s="49"/>
      <c r="B41" s="49"/>
      <c r="C41" s="49"/>
      <c r="D41" s="49"/>
      <c r="E41" s="49"/>
      <c r="F41" s="49"/>
      <c r="G41" s="89"/>
      <c r="H41" s="90"/>
      <c r="I41" s="49"/>
      <c r="J41" s="49"/>
      <c r="K41" s="49"/>
      <c r="L41" s="49"/>
    </row>
    <row r="42" spans="1:12" x14ac:dyDescent="0.25">
      <c r="A42" s="49"/>
      <c r="B42" s="49"/>
      <c r="C42" s="49"/>
      <c r="D42" s="49"/>
      <c r="E42" s="49"/>
      <c r="F42" s="49"/>
      <c r="G42" s="89"/>
      <c r="H42" s="90"/>
      <c r="I42" s="49"/>
      <c r="J42" s="49"/>
      <c r="K42" s="49"/>
      <c r="L42" s="49"/>
    </row>
    <row r="43" spans="1:12" x14ac:dyDescent="0.25">
      <c r="A43" s="49"/>
      <c r="B43" s="49"/>
      <c r="C43" s="49"/>
      <c r="D43" s="49"/>
      <c r="E43" s="49"/>
      <c r="F43" s="49"/>
      <c r="G43" s="89"/>
      <c r="H43" s="90"/>
      <c r="I43" s="49"/>
      <c r="J43" s="49"/>
      <c r="K43" s="49"/>
      <c r="L43" s="49"/>
    </row>
    <row r="44" spans="1:12" x14ac:dyDescent="0.25">
      <c r="A44" s="49"/>
      <c r="B44" s="49"/>
      <c r="C44" s="49"/>
      <c r="D44" s="49"/>
      <c r="E44" s="49"/>
      <c r="F44" s="49"/>
      <c r="G44" s="89"/>
      <c r="H44" s="90"/>
      <c r="I44" s="49"/>
      <c r="J44" s="49"/>
      <c r="K44" s="49"/>
      <c r="L44" s="49"/>
    </row>
    <row r="45" spans="1:12" x14ac:dyDescent="0.25">
      <c r="A45" s="49"/>
      <c r="B45" s="49"/>
      <c r="C45" s="49"/>
      <c r="D45" s="49"/>
      <c r="E45" s="49"/>
      <c r="F45" s="49"/>
      <c r="G45" s="89"/>
      <c r="H45" s="90"/>
      <c r="I45" s="49"/>
      <c r="J45" s="49"/>
      <c r="K45" s="49"/>
      <c r="L45" s="49"/>
    </row>
    <row r="46" spans="1:12" x14ac:dyDescent="0.25">
      <c r="A46" s="49"/>
      <c r="B46" s="49"/>
      <c r="C46" s="49"/>
      <c r="D46" s="49"/>
      <c r="E46" s="49"/>
      <c r="F46" s="49"/>
      <c r="G46" s="89"/>
      <c r="H46" s="90"/>
      <c r="I46" s="49"/>
      <c r="J46" s="49"/>
      <c r="K46" s="49"/>
      <c r="L46" s="49"/>
    </row>
    <row r="47" spans="1:12" x14ac:dyDescent="0.25">
      <c r="A47" s="49"/>
      <c r="B47" s="49"/>
      <c r="C47" s="49"/>
      <c r="D47" s="49"/>
      <c r="E47" s="49"/>
      <c r="F47" s="49"/>
      <c r="G47" s="89"/>
      <c r="H47" s="90"/>
      <c r="I47" s="49"/>
      <c r="J47" s="49"/>
      <c r="K47" s="49"/>
      <c r="L47" s="49"/>
    </row>
    <row r="48" spans="1:12" x14ac:dyDescent="0.25">
      <c r="A48" s="49"/>
      <c r="B48" s="49"/>
      <c r="C48" s="49"/>
      <c r="D48" s="49"/>
      <c r="E48" s="49"/>
      <c r="F48" s="49"/>
      <c r="G48" s="89"/>
      <c r="H48" s="90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89"/>
      <c r="H49" s="90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89"/>
      <c r="H50" s="90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89"/>
      <c r="H51" s="90"/>
      <c r="I51" s="49"/>
      <c r="J51" s="49"/>
      <c r="K51" s="49"/>
      <c r="L51" s="49"/>
    </row>
    <row r="52" spans="1:12" x14ac:dyDescent="0.25">
      <c r="A52" s="49"/>
      <c r="B52" s="49"/>
      <c r="C52" s="49"/>
      <c r="D52" s="49"/>
      <c r="E52" s="49"/>
      <c r="F52" s="49"/>
      <c r="G52" s="89"/>
      <c r="H52" s="90"/>
      <c r="I52" s="49"/>
      <c r="J52" s="49"/>
      <c r="K52" s="49"/>
      <c r="L52" s="49"/>
    </row>
    <row r="53" spans="1:12" x14ac:dyDescent="0.25">
      <c r="A53" s="49"/>
      <c r="B53" s="49"/>
      <c r="C53" s="49"/>
      <c r="D53" s="49"/>
      <c r="E53" s="49"/>
      <c r="F53" s="49"/>
      <c r="G53" s="89"/>
      <c r="H53" s="90"/>
      <c r="I53" s="49"/>
      <c r="J53" s="49"/>
      <c r="K53" s="49"/>
      <c r="L53" s="49"/>
    </row>
    <row r="54" spans="1:12" x14ac:dyDescent="0.25">
      <c r="A54" s="49"/>
      <c r="B54" s="49"/>
      <c r="C54" s="49"/>
      <c r="D54" s="49"/>
      <c r="E54" s="49"/>
      <c r="F54" s="49"/>
      <c r="G54" s="89"/>
      <c r="H54" s="90"/>
      <c r="I54" s="49"/>
      <c r="J54" s="49"/>
      <c r="K54" s="49"/>
      <c r="L54" s="49"/>
    </row>
    <row r="55" spans="1:12" x14ac:dyDescent="0.25">
      <c r="A55" s="49"/>
      <c r="B55" s="49"/>
      <c r="C55" s="49"/>
      <c r="D55" s="49"/>
      <c r="E55" s="49"/>
      <c r="F55" s="49"/>
      <c r="G55" s="89"/>
      <c r="H55" s="90"/>
      <c r="I55" s="49"/>
      <c r="J55" s="49"/>
      <c r="K55" s="49"/>
      <c r="L55" s="49"/>
    </row>
    <row r="56" spans="5:8" x14ac:dyDescent="0.25">
      <c r="E56" s="2" t="s">
        <v>176</v>
      </c>
      <c r="H56" s="91">
        <f>SUM(H25:H55)</f>
      </c>
    </row>
    <row r="57" spans="1:1" x14ac:dyDescent="0.25">
      <c r="A57" s="74" t="s">
        <v>177</v>
      </c>
    </row>
    <row r="58" spans="1:1" x14ac:dyDescent="0.25">
      <c r="A58" s="92" t="s">
        <v>178</v>
      </c>
    </row>
    <row r="59" spans="1:1" x14ac:dyDescent="0.25">
      <c r="A59" s="92" t="s">
        <v>179</v>
      </c>
    </row>
    <row r="60" spans="1:1" x14ac:dyDescent="0.25">
      <c r="A60" s="92" t="s">
        <v>180</v>
      </c>
    </row>
    <row r="61" spans="1:1" x14ac:dyDescent="0.25">
      <c r="A61" s="92" t="s">
        <v>181</v>
      </c>
    </row>
    <row r="62" spans="1:1" x14ac:dyDescent="0.25">
      <c r="A62" s="92" t="s">
        <v>182</v>
      </c>
    </row>
    <row r="63" spans="1:1" x14ac:dyDescent="0.25">
      <c r="A63" s="92" t="s">
        <v>183</v>
      </c>
    </row>
    <row r="64" spans="1:1" x14ac:dyDescent="0.25">
      <c r="A64" s="92" t="s">
        <v>184</v>
      </c>
    </row>
    <row r="65" spans="1:1" x14ac:dyDescent="0.25">
      <c r="A65" s="92" t="s">
        <v>185</v>
      </c>
    </row>
    <row r="66" spans="1:1" x14ac:dyDescent="0.25">
      <c r="A66" s="92" t="s">
        <v>186</v>
      </c>
    </row>
    <row r="67" spans="1:1" x14ac:dyDescent="0.25">
      <c r="A67" s="92" t="s">
        <v>174</v>
      </c>
    </row>
    <row r="68" spans="1:1" x14ac:dyDescent="0.25">
      <c r="A68" s="92" t="s">
        <v>175</v>
      </c>
    </row>
    <row r="69" spans="1:1" x14ac:dyDescent="0.25">
      <c r="A69" s="92" t="s">
        <v>187</v>
      </c>
    </row>
    <row r="70" spans="1:1" x14ac:dyDescent="0.25">
      <c r="A70" s="92" t="s">
        <v>188</v>
      </c>
    </row>
    <row r="71" spans="1:1" x14ac:dyDescent="0.25">
      <c r="A71" s="92" t="s">
        <v>189</v>
      </c>
    </row>
    <row r="72" spans="1:1" x14ac:dyDescent="0.25">
      <c r="A72" s="92" t="s">
        <v>190</v>
      </c>
    </row>
    <row r="73" spans="1:1" x14ac:dyDescent="0.25">
      <c r="A73" s="92" t="s">
        <v>191</v>
      </c>
    </row>
    <row r="74" spans="1:1" x14ac:dyDescent="0.25">
      <c r="A74" s="92" t="s">
        <v>192</v>
      </c>
    </row>
    <row r="75" spans="1:1" x14ac:dyDescent="0.25">
      <c r="A75" s="92" t="s">
        <v>193</v>
      </c>
    </row>
    <row r="76" spans="1:1" x14ac:dyDescent="0.25">
      <c r="A76" s="92" t="s">
        <v>194</v>
      </c>
    </row>
    <row r="77" spans="1:1" x14ac:dyDescent="0.25">
      <c r="A77" s="92" t="s">
        <v>195</v>
      </c>
    </row>
    <row r="78" spans="1:1" x14ac:dyDescent="0.25">
      <c r="A78" s="92" t="s">
        <v>196</v>
      </c>
    </row>
    <row r="79" spans="1:1" x14ac:dyDescent="0.25">
      <c r="A79" s="92" t="s">
        <v>197</v>
      </c>
    </row>
    <row r="80" spans="1:1" x14ac:dyDescent="0.25">
      <c r="A80" s="92" t="s">
        <v>198</v>
      </c>
    </row>
    <row r="81" spans="1:1" x14ac:dyDescent="0.25">
      <c r="A81" s="92" t="s">
        <v>199</v>
      </c>
    </row>
    <row r="82" spans="1:1" x14ac:dyDescent="0.25">
      <c r="A82" s="92" t="s">
        <v>200</v>
      </c>
    </row>
    <row r="83" spans="1:1" x14ac:dyDescent="0.25">
      <c r="A83" s="92" t="s">
        <v>201</v>
      </c>
    </row>
  </sheetData>
  <mergeCells count="106">
    <mergeCell ref="B4:AA4"/>
    <mergeCell ref="A4:A6"/>
    <mergeCell ref="B5:D5"/>
    <mergeCell ref="E5:G5"/>
    <mergeCell ref="H5:I5"/>
    <mergeCell ref="J5:L5"/>
    <mergeCell ref="M5:Q5"/>
    <mergeCell ref="R5:T5"/>
    <mergeCell ref="U5:V5"/>
    <mergeCell ref="Y5:Z5"/>
    <mergeCell ref="C24:D24"/>
    <mergeCell ref="E24:F24"/>
    <mergeCell ref="I24:L24"/>
    <mergeCell ref="C25:D25"/>
    <mergeCell ref="E25:F25"/>
    <mergeCell ref="I25:L25"/>
    <mergeCell ref="C26:D26"/>
    <mergeCell ref="E26:F26"/>
    <mergeCell ref="I26:L26"/>
    <mergeCell ref="C27:D27"/>
    <mergeCell ref="E27:F27"/>
    <mergeCell ref="I27:L27"/>
    <mergeCell ref="C28:D28"/>
    <mergeCell ref="E28:F28"/>
    <mergeCell ref="I28:L28"/>
    <mergeCell ref="C29:D29"/>
    <mergeCell ref="E29:F29"/>
    <mergeCell ref="I29:L29"/>
    <mergeCell ref="C30:D30"/>
    <mergeCell ref="E30:F30"/>
    <mergeCell ref="I30:L30"/>
    <mergeCell ref="C31:D31"/>
    <mergeCell ref="E31:F31"/>
    <mergeCell ref="I31:L31"/>
    <mergeCell ref="C32:D32"/>
    <mergeCell ref="E32:F32"/>
    <mergeCell ref="I32:L32"/>
    <mergeCell ref="C33:D33"/>
    <mergeCell ref="E33:F33"/>
    <mergeCell ref="I33:L33"/>
    <mergeCell ref="C34:D34"/>
    <mergeCell ref="E34:F34"/>
    <mergeCell ref="I34:L34"/>
    <mergeCell ref="C35:D35"/>
    <mergeCell ref="E35:F35"/>
    <mergeCell ref="I35:L35"/>
    <mergeCell ref="C36:D36"/>
    <mergeCell ref="E36:F36"/>
    <mergeCell ref="I36:L36"/>
    <mergeCell ref="C37:D37"/>
    <mergeCell ref="E37:F37"/>
    <mergeCell ref="I37:L37"/>
    <mergeCell ref="C38:D38"/>
    <mergeCell ref="E38:F38"/>
    <mergeCell ref="I38:L38"/>
    <mergeCell ref="C39:D39"/>
    <mergeCell ref="E39:F39"/>
    <mergeCell ref="I39:L39"/>
    <mergeCell ref="C40:D40"/>
    <mergeCell ref="E40:F40"/>
    <mergeCell ref="I40:L40"/>
    <mergeCell ref="C41:D41"/>
    <mergeCell ref="E41:F41"/>
    <mergeCell ref="I41:L41"/>
    <mergeCell ref="C42:D42"/>
    <mergeCell ref="E42:F42"/>
    <mergeCell ref="I42:L42"/>
    <mergeCell ref="C43:D43"/>
    <mergeCell ref="E43:F43"/>
    <mergeCell ref="I43:L43"/>
    <mergeCell ref="C44:D44"/>
    <mergeCell ref="E44:F44"/>
    <mergeCell ref="I44:L44"/>
    <mergeCell ref="C45:D45"/>
    <mergeCell ref="E45:F45"/>
    <mergeCell ref="I45:L45"/>
    <mergeCell ref="C46:D46"/>
    <mergeCell ref="E46:F46"/>
    <mergeCell ref="I46:L46"/>
    <mergeCell ref="C47:D47"/>
    <mergeCell ref="E47:F47"/>
    <mergeCell ref="I47:L47"/>
    <mergeCell ref="C48:D48"/>
    <mergeCell ref="E48:F48"/>
    <mergeCell ref="I48:L48"/>
    <mergeCell ref="C49:D49"/>
    <mergeCell ref="E49:F49"/>
    <mergeCell ref="I49:L49"/>
    <mergeCell ref="C50:D50"/>
    <mergeCell ref="E50:F50"/>
    <mergeCell ref="I50:L50"/>
    <mergeCell ref="C51:D51"/>
    <mergeCell ref="E51:F51"/>
    <mergeCell ref="I51:L51"/>
    <mergeCell ref="C52:D52"/>
    <mergeCell ref="E52:F52"/>
    <mergeCell ref="I52:L52"/>
    <mergeCell ref="C53:D53"/>
    <mergeCell ref="E53:F53"/>
    <mergeCell ref="I53:L53"/>
    <mergeCell ref="C54:D54"/>
    <mergeCell ref="E54:F54"/>
    <mergeCell ref="I54:L54"/>
    <mergeCell ref="C55:D55"/>
    <mergeCell ref="E55:F55"/>
    <mergeCell ref="I55:L55"/>
  </mergeCells>
  <conditionalFormatting sqref="B19:AA19">
    <cfRule type="cellIs" dxfId="120" priority="1" operator="lessThan">
      <formula>-0.5</formula>
    </cfRule>
    <cfRule type="cellIs" dxfId="121" priority="2" operator="greaterThanOrEqual">
      <formula>-0.5</formula>
    </cfRule>
  </conditionalFormatting>
  <dataValidations count="3">
    <dataValidation type="list" allowBlank="1" sqref="A25:A55">
      <formula1>"NIVELLEMENT VIA PICI,AUTRES NIVELLEMENTS"</formula1>
    </dataValidation>
    <dataValidation type="list" allowBlank="1" sqref="C25:C55">
      <formula1>$A$58:$A$83</formula1>
    </dataValidation>
    <dataValidation type="list" allowBlank="1" sqref="E25:E55">
      <formula1>$A$58:$A$83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5"/>
  <sheetViews>
    <sheetView workbookViewId="0" showGridLines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52" customWidth="1"/>
    <col min="5" max="5" width="16" customWidth="1"/>
    <col min="6" max="6" width="13" customWidth="1"/>
    <col min="7" max="7" width="10" customWidth="1"/>
    <col min="8" max="8" width="16" customWidth="1"/>
    <col min="9" max="9" width="13" customWidth="1"/>
    <col min="10" max="10" width="16" customWidth="1"/>
  </cols>
  <sheetData>
    <row r="1" spans="1:1" x14ac:dyDescent="0.25">
      <c r="A1" s="1" t="s">
        <v>202</v>
      </c>
    </row>
    <row r="2" spans="1:1" x14ac:dyDescent="0.25">
      <c r="A2" s="74" t="s">
        <v>203</v>
      </c>
    </row>
    <row r="4" spans="1:10" x14ac:dyDescent="0.25">
      <c r="A4" s="93" t="s">
        <v>2</v>
      </c>
      <c r="B4" s="93" t="s">
        <v>97</v>
      </c>
      <c r="C4" s="93" t="s">
        <v>204</v>
      </c>
      <c r="D4" s="93" t="s">
        <v>205</v>
      </c>
      <c r="E4" s="93" t="s">
        <v>172</v>
      </c>
      <c r="F4" s="93" t="s">
        <v>206</v>
      </c>
      <c r="G4" s="93" t="s">
        <v>207</v>
      </c>
      <c r="H4" s="93" t="s">
        <v>208</v>
      </c>
      <c r="I4" s="93" t="s">
        <v>209</v>
      </c>
      <c r="J4" s="93" t="s">
        <v>210</v>
      </c>
    </row>
    <row r="5" spans="1:10" x14ac:dyDescent="0.25">
      <c r="A5" s="94" t="s">
        <v>3</v>
      </c>
      <c r="B5" s="49" t="s">
        <v>22</v>
      </c>
      <c r="C5" s="49" t="s">
        <v>107</v>
      </c>
      <c r="D5" s="49" t="s">
        <v>211</v>
      </c>
      <c r="E5" s="51">
        <v>-628015</v>
      </c>
      <c r="F5" s="51">
        <f>E5/'Reporting Hebdo'!$E$3</f>
      </c>
      <c r="G5" s="94" t="s">
        <v>212</v>
      </c>
      <c r="H5" s="95"/>
      <c r="I5" s="96"/>
      <c r="J5" s="51">
        <f>IF(E5&lt;0,MIN(0,E5+N(H5)),MAX(0,E5-N(H5)))</f>
      </c>
    </row>
    <row r="6" spans="1:10" x14ac:dyDescent="0.25">
      <c r="A6" s="94" t="s">
        <v>3</v>
      </c>
      <c r="B6" s="49" t="s">
        <v>22</v>
      </c>
      <c r="C6" s="49" t="s">
        <v>107</v>
      </c>
      <c r="D6" s="49" t="s">
        <v>213</v>
      </c>
      <c r="E6" s="51">
        <v>-5947200</v>
      </c>
      <c r="F6" s="51">
        <f>E6/'Reporting Hebdo'!$E$3</f>
      </c>
      <c r="G6" s="94" t="s">
        <v>212</v>
      </c>
      <c r="H6" s="95"/>
      <c r="I6" s="96"/>
      <c r="J6" s="51">
        <f>IF(E6&lt;0,MIN(0,E6+N(H6)),MAX(0,E6-N(H6)))</f>
      </c>
    </row>
    <row r="7" spans="1:10" x14ac:dyDescent="0.25">
      <c r="A7" s="94" t="s">
        <v>3</v>
      </c>
      <c r="B7" s="49" t="s">
        <v>22</v>
      </c>
      <c r="C7" s="49" t="s">
        <v>107</v>
      </c>
      <c r="D7" s="49" t="s">
        <v>214</v>
      </c>
      <c r="E7" s="51">
        <v>-50</v>
      </c>
      <c r="F7" s="51">
        <f>E7/'Reporting Hebdo'!$E$3</f>
      </c>
      <c r="G7" s="94" t="s">
        <v>212</v>
      </c>
      <c r="H7" s="95"/>
      <c r="I7" s="96"/>
      <c r="J7" s="51">
        <f>IF(E7&lt;0,MIN(0,E7+N(H7)),MAX(0,E7-N(H7)))</f>
      </c>
    </row>
    <row r="8" spans="1:10" x14ac:dyDescent="0.25">
      <c r="A8" s="94" t="s">
        <v>3</v>
      </c>
      <c r="B8" s="49" t="s">
        <v>22</v>
      </c>
      <c r="C8" s="49" t="s">
        <v>107</v>
      </c>
      <c r="D8" s="49" t="s">
        <v>215</v>
      </c>
      <c r="E8" s="51">
        <v>-157910</v>
      </c>
      <c r="F8" s="51">
        <f>E8/'Reporting Hebdo'!$E$3</f>
      </c>
      <c r="G8" s="94" t="s">
        <v>212</v>
      </c>
      <c r="H8" s="95"/>
      <c r="I8" s="96"/>
      <c r="J8" s="51">
        <f>IF(E8&lt;0,MIN(0,E8+N(H8)),MAX(0,E8-N(H8)))</f>
      </c>
    </row>
    <row r="9" spans="1:10" x14ac:dyDescent="0.25">
      <c r="A9" s="94" t="s">
        <v>3</v>
      </c>
      <c r="B9" s="49" t="s">
        <v>22</v>
      </c>
      <c r="C9" s="49" t="s">
        <v>107</v>
      </c>
      <c r="D9" s="49" t="s">
        <v>216</v>
      </c>
      <c r="E9" s="51">
        <v>-7734197</v>
      </c>
      <c r="F9" s="51">
        <f>E9/'Reporting Hebdo'!$E$3</f>
      </c>
      <c r="G9" s="94" t="s">
        <v>212</v>
      </c>
      <c r="H9" s="95"/>
      <c r="I9" s="96"/>
      <c r="J9" s="51">
        <f>IF(E9&lt;0,MIN(0,E9+N(H9)),MAX(0,E9-N(H9)))</f>
      </c>
    </row>
    <row r="10" spans="1:10" x14ac:dyDescent="0.25">
      <c r="A10" s="94" t="s">
        <v>3</v>
      </c>
      <c r="B10" s="49" t="s">
        <v>22</v>
      </c>
      <c r="C10" s="49" t="s">
        <v>107</v>
      </c>
      <c r="D10" s="49" t="s">
        <v>217</v>
      </c>
      <c r="E10" s="51">
        <v>-324500</v>
      </c>
      <c r="F10" s="51">
        <f>E10/'Reporting Hebdo'!$E$3</f>
      </c>
      <c r="G10" s="94" t="s">
        <v>212</v>
      </c>
      <c r="H10" s="95"/>
      <c r="I10" s="96"/>
      <c r="J10" s="51">
        <f>IF(E10&lt;0,MIN(0,E10+N(H10)),MAX(0,E10-N(H10)))</f>
      </c>
    </row>
    <row r="11" spans="1:10" x14ac:dyDescent="0.25">
      <c r="A11" s="94" t="s">
        <v>3</v>
      </c>
      <c r="B11" s="49" t="s">
        <v>22</v>
      </c>
      <c r="C11" s="49" t="s">
        <v>107</v>
      </c>
      <c r="D11" s="49" t="s">
        <v>217</v>
      </c>
      <c r="E11" s="51">
        <v>-324500</v>
      </c>
      <c r="F11" s="51">
        <f>E11/'Reporting Hebdo'!$E$3</f>
      </c>
      <c r="G11" s="94" t="s">
        <v>212</v>
      </c>
      <c r="H11" s="95"/>
      <c r="I11" s="96"/>
      <c r="J11" s="51">
        <f>IF(E11&lt;0,MIN(0,E11+N(H11)),MAX(0,E11-N(H11)))</f>
      </c>
    </row>
    <row r="12" spans="1:10" x14ac:dyDescent="0.25">
      <c r="A12" s="94" t="s">
        <v>3</v>
      </c>
      <c r="B12" s="49" t="s">
        <v>22</v>
      </c>
      <c r="C12" s="49" t="s">
        <v>107</v>
      </c>
      <c r="D12" s="49" t="s">
        <v>218</v>
      </c>
      <c r="E12" s="51">
        <v>-5443898</v>
      </c>
      <c r="F12" s="51">
        <f>E12/'Reporting Hebdo'!$E$3</f>
      </c>
      <c r="G12" s="94" t="s">
        <v>212</v>
      </c>
      <c r="H12" s="95"/>
      <c r="I12" s="96"/>
      <c r="J12" s="51">
        <f>IF(E12&lt;0,MIN(0,E12+N(H12)),MAX(0,E12-N(H12)))</f>
      </c>
    </row>
    <row r="13" spans="1:10" x14ac:dyDescent="0.25">
      <c r="A13" s="94" t="s">
        <v>3</v>
      </c>
      <c r="B13" s="49" t="s">
        <v>22</v>
      </c>
      <c r="C13" s="49" t="s">
        <v>107</v>
      </c>
      <c r="D13" s="49" t="s">
        <v>219</v>
      </c>
      <c r="E13" s="51">
        <v>-342735</v>
      </c>
      <c r="F13" s="51">
        <f>E13/'Reporting Hebdo'!$E$3</f>
      </c>
      <c r="G13" s="94" t="s">
        <v>212</v>
      </c>
      <c r="H13" s="95"/>
      <c r="I13" s="96"/>
      <c r="J13" s="51">
        <f>IF(E13&lt;0,MIN(0,E13+N(H13)),MAX(0,E13-N(H13)))</f>
      </c>
    </row>
    <row r="14" spans="1:10" x14ac:dyDescent="0.25">
      <c r="A14" s="94" t="s">
        <v>3</v>
      </c>
      <c r="B14" s="49" t="s">
        <v>22</v>
      </c>
      <c r="C14" s="49" t="s">
        <v>107</v>
      </c>
      <c r="D14" s="49" t="s">
        <v>220</v>
      </c>
      <c r="E14" s="51">
        <v>-34002</v>
      </c>
      <c r="F14" s="51">
        <f>E14/'Reporting Hebdo'!$E$3</f>
      </c>
      <c r="G14" s="94" t="s">
        <v>212</v>
      </c>
      <c r="H14" s="95"/>
      <c r="I14" s="96"/>
      <c r="J14" s="51">
        <f>IF(E14&lt;0,MIN(0,E14+N(H14)),MAX(0,E14-N(H14)))</f>
      </c>
    </row>
    <row r="15" spans="1:10" x14ac:dyDescent="0.25">
      <c r="A15" s="94" t="s">
        <v>3</v>
      </c>
      <c r="B15" s="49" t="s">
        <v>22</v>
      </c>
      <c r="C15" s="49" t="s">
        <v>107</v>
      </c>
      <c r="D15" s="49" t="s">
        <v>220</v>
      </c>
      <c r="E15" s="51">
        <v>-44002</v>
      </c>
      <c r="F15" s="51">
        <f>E15/'Reporting Hebdo'!$E$3</f>
      </c>
      <c r="G15" s="94" t="s">
        <v>212</v>
      </c>
      <c r="H15" s="95"/>
      <c r="I15" s="96"/>
      <c r="J15" s="51">
        <f>IF(E15&lt;0,MIN(0,E15+N(H15)),MAX(0,E15-N(H15)))</f>
      </c>
    </row>
    <row r="16" spans="1:10" x14ac:dyDescent="0.25">
      <c r="A16" s="94" t="s">
        <v>3</v>
      </c>
      <c r="B16" s="49" t="s">
        <v>22</v>
      </c>
      <c r="C16" s="49" t="s">
        <v>107</v>
      </c>
      <c r="D16" s="49" t="s">
        <v>221</v>
      </c>
      <c r="E16" s="51">
        <v>-7954048</v>
      </c>
      <c r="F16" s="51">
        <f>E16/'Reporting Hebdo'!$E$3</f>
      </c>
      <c r="G16" s="94" t="s">
        <v>212</v>
      </c>
      <c r="H16" s="95"/>
      <c r="I16" s="96"/>
      <c r="J16" s="51">
        <f>IF(E16&lt;0,MIN(0,E16+N(H16)),MAX(0,E16-N(H16)))</f>
      </c>
    </row>
    <row r="17" spans="1:10" x14ac:dyDescent="0.25">
      <c r="A17" s="94" t="s">
        <v>3</v>
      </c>
      <c r="B17" s="49" t="s">
        <v>22</v>
      </c>
      <c r="C17" s="49" t="s">
        <v>107</v>
      </c>
      <c r="D17" s="49" t="s">
        <v>221</v>
      </c>
      <c r="E17" s="51">
        <v>-7929032</v>
      </c>
      <c r="F17" s="51">
        <f>E17/'Reporting Hebdo'!$E$3</f>
      </c>
      <c r="G17" s="94" t="s">
        <v>212</v>
      </c>
      <c r="H17" s="95"/>
      <c r="I17" s="96"/>
      <c r="J17" s="51">
        <f>IF(E17&lt;0,MIN(0,E17+N(H17)),MAX(0,E17-N(H17)))</f>
      </c>
    </row>
    <row r="18" spans="1:10" x14ac:dyDescent="0.25">
      <c r="A18" s="94" t="s">
        <v>3</v>
      </c>
      <c r="B18" s="49" t="s">
        <v>22</v>
      </c>
      <c r="C18" s="49" t="s">
        <v>107</v>
      </c>
      <c r="D18" s="49" t="s">
        <v>222</v>
      </c>
      <c r="E18" s="51">
        <v>-791000</v>
      </c>
      <c r="F18" s="51">
        <f>E18/'Reporting Hebdo'!$E$3</f>
      </c>
      <c r="G18" s="94" t="s">
        <v>212</v>
      </c>
      <c r="H18" s="95"/>
      <c r="I18" s="96"/>
      <c r="J18" s="51">
        <f>IF(E18&lt;0,MIN(0,E18+N(H18)),MAX(0,E18-N(H18)))</f>
      </c>
    </row>
    <row r="19" spans="1:10" x14ac:dyDescent="0.25">
      <c r="A19" s="94" t="s">
        <v>3</v>
      </c>
      <c r="B19" s="49" t="s">
        <v>22</v>
      </c>
      <c r="C19" s="49" t="s">
        <v>107</v>
      </c>
      <c r="D19" s="49" t="s">
        <v>223</v>
      </c>
      <c r="E19" s="51">
        <v>-739396</v>
      </c>
      <c r="F19" s="51">
        <f>E19/'Reporting Hebdo'!$E$3</f>
      </c>
      <c r="G19" s="94" t="s">
        <v>212</v>
      </c>
      <c r="H19" s="95"/>
      <c r="I19" s="96"/>
      <c r="J19" s="51">
        <f>IF(E19&lt;0,MIN(0,E19+N(H19)),MAX(0,E19-N(H19)))</f>
      </c>
    </row>
    <row r="20" spans="1:10" x14ac:dyDescent="0.25">
      <c r="A20" s="94" t="s">
        <v>3</v>
      </c>
      <c r="B20" s="49" t="s">
        <v>22</v>
      </c>
      <c r="C20" s="49" t="s">
        <v>107</v>
      </c>
      <c r="D20" s="49" t="s">
        <v>224</v>
      </c>
      <c r="E20" s="51">
        <v>-1700002</v>
      </c>
      <c r="F20" s="51">
        <f>E20/'Reporting Hebdo'!$E$3</f>
      </c>
      <c r="G20" s="94" t="s">
        <v>212</v>
      </c>
      <c r="H20" s="95"/>
      <c r="I20" s="96"/>
      <c r="J20" s="51">
        <f>IF(E20&lt;0,MIN(0,E20+N(H20)),MAX(0,E20-N(H20)))</f>
      </c>
    </row>
    <row r="21" spans="1:10" x14ac:dyDescent="0.25">
      <c r="A21" s="94" t="s">
        <v>3</v>
      </c>
      <c r="B21" s="49" t="s">
        <v>22</v>
      </c>
      <c r="C21" s="49" t="s">
        <v>107</v>
      </c>
      <c r="D21" s="49" t="s">
        <v>225</v>
      </c>
      <c r="E21" s="51">
        <v>-934678</v>
      </c>
      <c r="F21" s="51">
        <f>E21/'Reporting Hebdo'!$E$3</f>
      </c>
      <c r="G21" s="94" t="s">
        <v>212</v>
      </c>
      <c r="H21" s="95"/>
      <c r="I21" s="96"/>
      <c r="J21" s="51">
        <f>IF(E21&lt;0,MIN(0,E21+N(H21)),MAX(0,E21-N(H21)))</f>
      </c>
    </row>
    <row r="22" spans="1:10" x14ac:dyDescent="0.25">
      <c r="A22" s="94" t="s">
        <v>3</v>
      </c>
      <c r="B22" s="49" t="s">
        <v>22</v>
      </c>
      <c r="C22" s="49" t="s">
        <v>107</v>
      </c>
      <c r="D22" s="49" t="s">
        <v>225</v>
      </c>
      <c r="E22" s="51">
        <v>-934678</v>
      </c>
      <c r="F22" s="51">
        <f>E22/'Reporting Hebdo'!$E$3</f>
      </c>
      <c r="G22" s="94" t="s">
        <v>212</v>
      </c>
      <c r="H22" s="95"/>
      <c r="I22" s="96"/>
      <c r="J22" s="51">
        <f>IF(E22&lt;0,MIN(0,E22+N(H22)),MAX(0,E22-N(H22)))</f>
      </c>
    </row>
    <row r="23" spans="1:10" x14ac:dyDescent="0.25">
      <c r="A23" s="94" t="s">
        <v>3</v>
      </c>
      <c r="B23" s="49" t="s">
        <v>22</v>
      </c>
      <c r="C23" s="49" t="s">
        <v>107</v>
      </c>
      <c r="D23" s="49" t="s">
        <v>226</v>
      </c>
      <c r="E23" s="51">
        <v>-1233973</v>
      </c>
      <c r="F23" s="51">
        <f>E23/'Reporting Hebdo'!$E$3</f>
      </c>
      <c r="G23" s="94" t="s">
        <v>212</v>
      </c>
      <c r="H23" s="95"/>
      <c r="I23" s="96"/>
      <c r="J23" s="51">
        <f>IF(E23&lt;0,MIN(0,E23+N(H23)),MAX(0,E23-N(H23)))</f>
      </c>
    </row>
    <row r="24" spans="1:10" x14ac:dyDescent="0.25">
      <c r="A24" s="94" t="s">
        <v>3</v>
      </c>
      <c r="B24" s="49" t="s">
        <v>22</v>
      </c>
      <c r="C24" s="49" t="s">
        <v>107</v>
      </c>
      <c r="D24" s="49" t="s">
        <v>227</v>
      </c>
      <c r="E24" s="51">
        <v>-2025218</v>
      </c>
      <c r="F24" s="51">
        <f>E24/'Reporting Hebdo'!$E$3</f>
      </c>
      <c r="G24" s="94" t="s">
        <v>212</v>
      </c>
      <c r="H24" s="95"/>
      <c r="I24" s="96"/>
      <c r="J24" s="51">
        <f>IF(E24&lt;0,MIN(0,E24+N(H24)),MAX(0,E24-N(H24)))</f>
      </c>
    </row>
    <row r="25" spans="1:10" x14ac:dyDescent="0.25">
      <c r="A25" s="94" t="s">
        <v>3</v>
      </c>
      <c r="B25" s="49" t="s">
        <v>22</v>
      </c>
      <c r="C25" s="49" t="s">
        <v>107</v>
      </c>
      <c r="D25" s="49" t="s">
        <v>227</v>
      </c>
      <c r="E25" s="51">
        <v>-3727424</v>
      </c>
      <c r="F25" s="51">
        <f>E25/'Reporting Hebdo'!$E$3</f>
      </c>
      <c r="G25" s="94" t="s">
        <v>212</v>
      </c>
      <c r="H25" s="95"/>
      <c r="I25" s="96"/>
      <c r="J25" s="51">
        <f>IF(E25&lt;0,MIN(0,E25+N(H25)),MAX(0,E25-N(H25)))</f>
      </c>
    </row>
    <row r="26" spans="1:10" x14ac:dyDescent="0.25">
      <c r="A26" s="94" t="s">
        <v>3</v>
      </c>
      <c r="B26" s="49" t="s">
        <v>22</v>
      </c>
      <c r="C26" s="49" t="s">
        <v>107</v>
      </c>
      <c r="D26" s="49" t="s">
        <v>228</v>
      </c>
      <c r="E26" s="51">
        <v>-162349</v>
      </c>
      <c r="F26" s="51">
        <f>E26/'Reporting Hebdo'!$E$3</f>
      </c>
      <c r="G26" s="94" t="s">
        <v>212</v>
      </c>
      <c r="H26" s="95"/>
      <c r="I26" s="96"/>
      <c r="J26" s="51">
        <f>IF(E26&lt;0,MIN(0,E26+N(H26)),MAX(0,E26-N(H26)))</f>
      </c>
    </row>
    <row r="27" spans="1:10" x14ac:dyDescent="0.25">
      <c r="A27" s="94" t="s">
        <v>3</v>
      </c>
      <c r="B27" s="49" t="s">
        <v>22</v>
      </c>
      <c r="C27" s="49" t="s">
        <v>107</v>
      </c>
      <c r="D27" s="49" t="s">
        <v>229</v>
      </c>
      <c r="E27" s="51">
        <v>-7460464</v>
      </c>
      <c r="F27" s="51">
        <f>E27/'Reporting Hebdo'!$E$3</f>
      </c>
      <c r="G27" s="94" t="s">
        <v>212</v>
      </c>
      <c r="H27" s="95"/>
      <c r="I27" s="96"/>
      <c r="J27" s="51">
        <f>IF(E27&lt;0,MIN(0,E27+N(H27)),MAX(0,E27-N(H27)))</f>
      </c>
    </row>
    <row r="28" spans="1:10" x14ac:dyDescent="0.25">
      <c r="A28" s="94" t="s">
        <v>3</v>
      </c>
      <c r="B28" s="49" t="s">
        <v>22</v>
      </c>
      <c r="C28" s="49" t="s">
        <v>107</v>
      </c>
      <c r="D28" s="49" t="s">
        <v>230</v>
      </c>
      <c r="E28" s="51">
        <v>-194350</v>
      </c>
      <c r="F28" s="51">
        <f>E28/'Reporting Hebdo'!$E$3</f>
      </c>
      <c r="G28" s="94" t="s">
        <v>212</v>
      </c>
      <c r="H28" s="95"/>
      <c r="I28" s="96"/>
      <c r="J28" s="51">
        <f>IF(E28&lt;0,MIN(0,E28+N(H28)),MAX(0,E28-N(H28)))</f>
      </c>
    </row>
    <row r="29" spans="1:10" x14ac:dyDescent="0.25">
      <c r="A29" s="94" t="s">
        <v>3</v>
      </c>
      <c r="B29" s="49" t="s">
        <v>22</v>
      </c>
      <c r="C29" s="49" t="s">
        <v>108</v>
      </c>
      <c r="D29" s="49" t="s">
        <v>231</v>
      </c>
      <c r="E29" s="51">
        <v>-5783552</v>
      </c>
      <c r="F29" s="51">
        <f>E29/'Reporting Hebdo'!$E$3</f>
      </c>
      <c r="G29" s="94" t="s">
        <v>212</v>
      </c>
      <c r="H29" s="95"/>
      <c r="I29" s="96"/>
      <c r="J29" s="51">
        <f>IF(E29&lt;0,MIN(0,E29+N(H29)),MAX(0,E29-N(H29)))</f>
      </c>
    </row>
    <row r="30" spans="1:10" x14ac:dyDescent="0.25">
      <c r="A30" s="94" t="s">
        <v>3</v>
      </c>
      <c r="B30" s="49" t="s">
        <v>22</v>
      </c>
      <c r="C30" s="49" t="s">
        <v>108</v>
      </c>
      <c r="D30" s="49" t="s">
        <v>232</v>
      </c>
      <c r="E30" s="51">
        <v>-36980921</v>
      </c>
      <c r="F30" s="51">
        <f>E30/'Reporting Hebdo'!$E$3</f>
      </c>
      <c r="G30" s="94" t="s">
        <v>212</v>
      </c>
      <c r="H30" s="95"/>
      <c r="I30" s="96"/>
      <c r="J30" s="51">
        <f>IF(E30&lt;0,MIN(0,E30+N(H30)),MAX(0,E30-N(H30)))</f>
      </c>
    </row>
    <row r="31" spans="1:10" x14ac:dyDescent="0.25">
      <c r="A31" s="94" t="s">
        <v>3</v>
      </c>
      <c r="B31" s="49" t="s">
        <v>22</v>
      </c>
      <c r="C31" s="49" t="s">
        <v>108</v>
      </c>
      <c r="D31" s="49" t="s">
        <v>233</v>
      </c>
      <c r="E31" s="51">
        <v>-29302875</v>
      </c>
      <c r="F31" s="51">
        <f>E31/'Reporting Hebdo'!$E$3</f>
      </c>
      <c r="G31" s="94" t="s">
        <v>212</v>
      </c>
      <c r="H31" s="95"/>
      <c r="I31" s="96"/>
      <c r="J31" s="51">
        <f>IF(E31&lt;0,MIN(0,E31+N(H31)),MAX(0,E31-N(H31)))</f>
      </c>
    </row>
    <row r="32" spans="1:10" x14ac:dyDescent="0.25">
      <c r="A32" s="94" t="s">
        <v>3</v>
      </c>
      <c r="B32" s="49" t="s">
        <v>22</v>
      </c>
      <c r="C32" s="49" t="s">
        <v>108</v>
      </c>
      <c r="D32" s="49" t="s">
        <v>234</v>
      </c>
      <c r="E32" s="51">
        <v>-25148057</v>
      </c>
      <c r="F32" s="51">
        <f>E32/'Reporting Hebdo'!$E$3</f>
      </c>
      <c r="G32" s="94" t="s">
        <v>212</v>
      </c>
      <c r="H32" s="95"/>
      <c r="I32" s="96"/>
      <c r="J32" s="51">
        <f>IF(E32&lt;0,MIN(0,E32+N(H32)),MAX(0,E32-N(H32)))</f>
      </c>
    </row>
    <row r="33" spans="1:10" x14ac:dyDescent="0.25">
      <c r="A33" s="94" t="s">
        <v>3</v>
      </c>
      <c r="B33" s="49" t="s">
        <v>22</v>
      </c>
      <c r="C33" s="49" t="s">
        <v>108</v>
      </c>
      <c r="D33" s="49" t="s">
        <v>235</v>
      </c>
      <c r="E33" s="51">
        <v>-599151</v>
      </c>
      <c r="F33" s="51">
        <f>E33/'Reporting Hebdo'!$E$3</f>
      </c>
      <c r="G33" s="94" t="s">
        <v>212</v>
      </c>
      <c r="H33" s="95"/>
      <c r="I33" s="96"/>
      <c r="J33" s="51">
        <f>IF(E33&lt;0,MIN(0,E33+N(H33)),MAX(0,E33-N(H33)))</f>
      </c>
    </row>
    <row r="34" spans="1:10" x14ac:dyDescent="0.25">
      <c r="A34" s="94" t="s">
        <v>3</v>
      </c>
      <c r="B34" s="49" t="s">
        <v>22</v>
      </c>
      <c r="C34" s="49" t="s">
        <v>108</v>
      </c>
      <c r="D34" s="49" t="s">
        <v>236</v>
      </c>
      <c r="E34" s="51">
        <v>-63244759</v>
      </c>
      <c r="F34" s="51">
        <f>E34/'Reporting Hebdo'!$E$3</f>
      </c>
      <c r="G34" s="94" t="s">
        <v>212</v>
      </c>
      <c r="H34" s="95"/>
      <c r="I34" s="96"/>
      <c r="J34" s="51">
        <f>IF(E34&lt;0,MIN(0,E34+N(H34)),MAX(0,E34-N(H34)))</f>
      </c>
    </row>
    <row r="35" spans="1:10" x14ac:dyDescent="0.25">
      <c r="A35" s="94" t="s">
        <v>3</v>
      </c>
      <c r="B35" s="49" t="s">
        <v>22</v>
      </c>
      <c r="C35" s="49" t="s">
        <v>109</v>
      </c>
      <c r="D35" s="49" t="s">
        <v>237</v>
      </c>
      <c r="E35" s="51">
        <v>-1680000</v>
      </c>
      <c r="F35" s="51">
        <f>E35/'Reporting Hebdo'!$E$3</f>
      </c>
      <c r="G35" s="94" t="s">
        <v>212</v>
      </c>
      <c r="H35" s="95"/>
      <c r="I35" s="96"/>
      <c r="J35" s="51">
        <f>IF(E35&lt;0,MIN(0,E35+N(H35)),MAX(0,E35-N(H35)))</f>
      </c>
    </row>
    <row r="36" spans="1:10" x14ac:dyDescent="0.25">
      <c r="A36" s="94" t="s">
        <v>3</v>
      </c>
      <c r="B36" s="49" t="s">
        <v>22</v>
      </c>
      <c r="C36" s="49" t="s">
        <v>109</v>
      </c>
      <c r="D36" s="49" t="s">
        <v>238</v>
      </c>
      <c r="E36" s="51">
        <v>-43378656</v>
      </c>
      <c r="F36" s="51">
        <f>E36/'Reporting Hebdo'!$E$3</f>
      </c>
      <c r="G36" s="94" t="s">
        <v>212</v>
      </c>
      <c r="H36" s="95"/>
      <c r="I36" s="96"/>
      <c r="J36" s="51">
        <f>IF(E36&lt;0,MIN(0,E36+N(H36)),MAX(0,E36-N(H36)))</f>
      </c>
    </row>
    <row r="37" spans="1:10" x14ac:dyDescent="0.25">
      <c r="A37" s="94" t="s">
        <v>3</v>
      </c>
      <c r="B37" s="49" t="s">
        <v>29</v>
      </c>
      <c r="C37" s="49" t="s">
        <v>107</v>
      </c>
      <c r="D37" s="49" t="s">
        <v>239</v>
      </c>
      <c r="E37" s="51">
        <v>-580560</v>
      </c>
      <c r="F37" s="51">
        <f>E37/'Reporting Hebdo'!$E$3</f>
      </c>
      <c r="G37" s="94" t="s">
        <v>212</v>
      </c>
      <c r="H37" s="95"/>
      <c r="I37" s="96"/>
      <c r="J37" s="51">
        <f>IF(E37&lt;0,MIN(0,E37+N(H37)),MAX(0,E37-N(H37)))</f>
      </c>
    </row>
    <row r="38" spans="1:10" x14ac:dyDescent="0.25">
      <c r="A38" s="94" t="s">
        <v>3</v>
      </c>
      <c r="B38" s="49" t="s">
        <v>29</v>
      </c>
      <c r="C38" s="49" t="s">
        <v>107</v>
      </c>
      <c r="D38" s="49" t="s">
        <v>240</v>
      </c>
      <c r="E38" s="51">
        <v>-5224698</v>
      </c>
      <c r="F38" s="51">
        <f>E38/'Reporting Hebdo'!$E$3</f>
      </c>
      <c r="G38" s="94" t="s">
        <v>212</v>
      </c>
      <c r="H38" s="95"/>
      <c r="I38" s="96"/>
      <c r="J38" s="51">
        <f>IF(E38&lt;0,MIN(0,E38+N(H38)),MAX(0,E38-N(H38)))</f>
      </c>
    </row>
    <row r="39" spans="1:10" x14ac:dyDescent="0.25">
      <c r="A39" s="94" t="s">
        <v>3</v>
      </c>
      <c r="B39" s="49" t="s">
        <v>29</v>
      </c>
      <c r="C39" s="49" t="s">
        <v>107</v>
      </c>
      <c r="D39" s="49" t="s">
        <v>241</v>
      </c>
      <c r="E39" s="51">
        <v>-250000</v>
      </c>
      <c r="F39" s="51">
        <f>E39/'Reporting Hebdo'!$E$3</f>
      </c>
      <c r="G39" s="94" t="s">
        <v>212</v>
      </c>
      <c r="H39" s="95"/>
      <c r="I39" s="96"/>
      <c r="J39" s="51">
        <f>IF(E39&lt;0,MIN(0,E39+N(H39)),MAX(0,E39-N(H39)))</f>
      </c>
    </row>
    <row r="40" spans="1:10" x14ac:dyDescent="0.25">
      <c r="A40" s="94" t="s">
        <v>3</v>
      </c>
      <c r="B40" s="49" t="s">
        <v>29</v>
      </c>
      <c r="C40" s="49" t="s">
        <v>107</v>
      </c>
      <c r="D40" s="49" t="s">
        <v>242</v>
      </c>
      <c r="E40" s="51">
        <v>-5268245</v>
      </c>
      <c r="F40" s="51">
        <f>E40/'Reporting Hebdo'!$E$3</f>
      </c>
      <c r="G40" s="94" t="s">
        <v>212</v>
      </c>
      <c r="H40" s="95"/>
      <c r="I40" s="96"/>
      <c r="J40" s="51">
        <f>IF(E40&lt;0,MIN(0,E40+N(H40)),MAX(0,E40-N(H40)))</f>
      </c>
    </row>
    <row r="41" spans="1:10" x14ac:dyDescent="0.25">
      <c r="A41" s="94" t="s">
        <v>3</v>
      </c>
      <c r="B41" s="49" t="s">
        <v>29</v>
      </c>
      <c r="C41" s="49" t="s">
        <v>107</v>
      </c>
      <c r="D41" s="49" t="s">
        <v>217</v>
      </c>
      <c r="E41" s="51">
        <v>-28248</v>
      </c>
      <c r="F41" s="51">
        <f>E41/'Reporting Hebdo'!$E$3</f>
      </c>
      <c r="G41" s="94" t="s">
        <v>212</v>
      </c>
      <c r="H41" s="95"/>
      <c r="I41" s="96"/>
      <c r="J41" s="51">
        <f>IF(E41&lt;0,MIN(0,E41+N(H41)),MAX(0,E41-N(H41)))</f>
      </c>
    </row>
    <row r="42" spans="1:10" x14ac:dyDescent="0.25">
      <c r="A42" s="94" t="s">
        <v>3</v>
      </c>
      <c r="B42" s="49" t="s">
        <v>29</v>
      </c>
      <c r="C42" s="49" t="s">
        <v>107</v>
      </c>
      <c r="D42" s="49" t="s">
        <v>243</v>
      </c>
      <c r="E42" s="51">
        <v>-1191450</v>
      </c>
      <c r="F42" s="51">
        <f>E42/'Reporting Hebdo'!$E$3</f>
      </c>
      <c r="G42" s="94" t="s">
        <v>212</v>
      </c>
      <c r="H42" s="95"/>
      <c r="I42" s="96"/>
      <c r="J42" s="51">
        <f>IF(E42&lt;0,MIN(0,E42+N(H42)),MAX(0,E42-N(H42)))</f>
      </c>
    </row>
    <row r="43" spans="1:10" x14ac:dyDescent="0.25">
      <c r="A43" s="94" t="s">
        <v>3</v>
      </c>
      <c r="B43" s="49" t="s">
        <v>29</v>
      </c>
      <c r="C43" s="49" t="s">
        <v>107</v>
      </c>
      <c r="D43" s="49" t="s">
        <v>244</v>
      </c>
      <c r="E43" s="51">
        <v>-448400</v>
      </c>
      <c r="F43" s="51">
        <f>E43/'Reporting Hebdo'!$E$3</f>
      </c>
      <c r="G43" s="94" t="s">
        <v>212</v>
      </c>
      <c r="H43" s="95"/>
      <c r="I43" s="96"/>
      <c r="J43" s="51">
        <f>IF(E43&lt;0,MIN(0,E43+N(H43)),MAX(0,E43-N(H43)))</f>
      </c>
    </row>
    <row r="44" spans="1:10" x14ac:dyDescent="0.25">
      <c r="A44" s="94" t="s">
        <v>3</v>
      </c>
      <c r="B44" s="49" t="s">
        <v>29</v>
      </c>
      <c r="C44" s="49" t="s">
        <v>107</v>
      </c>
      <c r="D44" s="49" t="s">
        <v>245</v>
      </c>
      <c r="E44" s="51">
        <v>-6575302</v>
      </c>
      <c r="F44" s="51">
        <f>E44/'Reporting Hebdo'!$E$3</f>
      </c>
      <c r="G44" s="94" t="s">
        <v>212</v>
      </c>
      <c r="H44" s="95"/>
      <c r="I44" s="96"/>
      <c r="J44" s="51">
        <f>IF(E44&lt;0,MIN(0,E44+N(H44)),MAX(0,E44-N(H44)))</f>
      </c>
    </row>
    <row r="45" spans="1:10" x14ac:dyDescent="0.25">
      <c r="A45" s="94" t="s">
        <v>3</v>
      </c>
      <c r="B45" s="49" t="s">
        <v>29</v>
      </c>
      <c r="C45" s="49" t="s">
        <v>107</v>
      </c>
      <c r="D45" s="49" t="s">
        <v>246</v>
      </c>
      <c r="E45" s="51">
        <v>-42500000</v>
      </c>
      <c r="F45" s="51">
        <f>E45/'Reporting Hebdo'!$E$3</f>
      </c>
      <c r="G45" s="94" t="s">
        <v>212</v>
      </c>
      <c r="H45" s="95"/>
      <c r="I45" s="96"/>
      <c r="J45" s="51">
        <f>IF(E45&lt;0,MIN(0,E45+N(H45)),MAX(0,E45-N(H45)))</f>
      </c>
    </row>
    <row r="46" spans="1:10" x14ac:dyDescent="0.25">
      <c r="A46" s="94" t="s">
        <v>3</v>
      </c>
      <c r="B46" s="49" t="s">
        <v>29</v>
      </c>
      <c r="C46" s="49" t="s">
        <v>107</v>
      </c>
      <c r="D46" s="49" t="s">
        <v>247</v>
      </c>
      <c r="E46" s="51">
        <v>-33915</v>
      </c>
      <c r="F46" s="51">
        <f>E46/'Reporting Hebdo'!$E$3</f>
      </c>
      <c r="G46" s="94" t="s">
        <v>212</v>
      </c>
      <c r="H46" s="95"/>
      <c r="I46" s="96"/>
      <c r="J46" s="51">
        <f>IF(E46&lt;0,MIN(0,E46+N(H46)),MAX(0,E46-N(H46)))</f>
      </c>
    </row>
    <row r="47" spans="1:10" x14ac:dyDescent="0.25">
      <c r="A47" s="94" t="s">
        <v>3</v>
      </c>
      <c r="B47" s="49" t="s">
        <v>29</v>
      </c>
      <c r="C47" s="49" t="s">
        <v>107</v>
      </c>
      <c r="D47" s="49" t="s">
        <v>230</v>
      </c>
      <c r="E47" s="51">
        <v>-127857</v>
      </c>
      <c r="F47" s="51">
        <f>E47/'Reporting Hebdo'!$E$3</f>
      </c>
      <c r="G47" s="94" t="s">
        <v>212</v>
      </c>
      <c r="H47" s="95"/>
      <c r="I47" s="96"/>
      <c r="J47" s="51">
        <f>IF(E47&lt;0,MIN(0,E47+N(H47)),MAX(0,E47-N(H47)))</f>
      </c>
    </row>
    <row r="48" spans="1:10" x14ac:dyDescent="0.25">
      <c r="A48" s="94" t="s">
        <v>3</v>
      </c>
      <c r="B48" s="49" t="s">
        <v>29</v>
      </c>
      <c r="C48" s="49" t="s">
        <v>107</v>
      </c>
      <c r="D48" s="49" t="s">
        <v>248</v>
      </c>
      <c r="E48" s="51">
        <v>-205320</v>
      </c>
      <c r="F48" s="51">
        <f>E48/'Reporting Hebdo'!$E$3</f>
      </c>
      <c r="G48" s="94" t="s">
        <v>212</v>
      </c>
      <c r="H48" s="95"/>
      <c r="I48" s="96"/>
      <c r="J48" s="51">
        <f>IF(E48&lt;0,MIN(0,E48+N(H48)),MAX(0,E48-N(H48)))</f>
      </c>
    </row>
    <row r="49" spans="1:10" x14ac:dyDescent="0.25">
      <c r="A49" s="94" t="s">
        <v>3</v>
      </c>
      <c r="B49" s="49" t="s">
        <v>29</v>
      </c>
      <c r="C49" s="49" t="s">
        <v>108</v>
      </c>
      <c r="D49" s="49" t="s">
        <v>231</v>
      </c>
      <c r="E49" s="51">
        <v>-697210</v>
      </c>
      <c r="F49" s="51">
        <f>E49/'Reporting Hebdo'!$E$3</f>
      </c>
      <c r="G49" s="94" t="s">
        <v>212</v>
      </c>
      <c r="H49" s="95"/>
      <c r="I49" s="96"/>
      <c r="J49" s="51">
        <f>IF(E49&lt;0,MIN(0,E49+N(H49)),MAX(0,E49-N(H49)))</f>
      </c>
    </row>
    <row r="50" spans="1:10" x14ac:dyDescent="0.25">
      <c r="A50" s="94" t="s">
        <v>3</v>
      </c>
      <c r="B50" s="49" t="s">
        <v>29</v>
      </c>
      <c r="C50" s="49" t="s">
        <v>108</v>
      </c>
      <c r="D50" s="49" t="s">
        <v>235</v>
      </c>
      <c r="E50" s="51">
        <v>-862858</v>
      </c>
      <c r="F50" s="51">
        <f>E50/'Reporting Hebdo'!$E$3</f>
      </c>
      <c r="G50" s="94" t="s">
        <v>212</v>
      </c>
      <c r="H50" s="95"/>
      <c r="I50" s="96"/>
      <c r="J50" s="51">
        <f>IF(E50&lt;0,MIN(0,E50+N(H50)),MAX(0,E50-N(H50)))</f>
      </c>
    </row>
    <row r="51" spans="1:10" x14ac:dyDescent="0.25">
      <c r="A51" s="94" t="s">
        <v>3</v>
      </c>
      <c r="B51" s="49" t="s">
        <v>29</v>
      </c>
      <c r="C51" s="49" t="s">
        <v>110</v>
      </c>
      <c r="D51" s="49" t="s">
        <v>249</v>
      </c>
      <c r="E51" s="51">
        <v>-104205329</v>
      </c>
      <c r="F51" s="51">
        <f>E51/'Reporting Hebdo'!$E$3</f>
      </c>
      <c r="G51" s="94" t="s">
        <v>212</v>
      </c>
      <c r="H51" s="95"/>
      <c r="I51" s="96"/>
      <c r="J51" s="51">
        <f>IF(E51&lt;0,MIN(0,E51+N(H51)),MAX(0,E51-N(H51)))</f>
      </c>
    </row>
    <row r="52" spans="1:10" x14ac:dyDescent="0.25">
      <c r="A52" s="94" t="s">
        <v>3</v>
      </c>
      <c r="B52" s="49" t="s">
        <v>29</v>
      </c>
      <c r="C52" s="49" t="s">
        <v>110</v>
      </c>
      <c r="D52" s="49" t="s">
        <v>250</v>
      </c>
      <c r="E52" s="51">
        <v>-239724319</v>
      </c>
      <c r="F52" s="51">
        <f>E52/'Reporting Hebdo'!$E$3</f>
      </c>
      <c r="G52" s="94" t="s">
        <v>212</v>
      </c>
      <c r="H52" s="95"/>
      <c r="I52" s="96"/>
      <c r="J52" s="51">
        <f>IF(E52&lt;0,MIN(0,E52+N(H52)),MAX(0,E52-N(H52)))</f>
      </c>
    </row>
    <row r="53" spans="1:10" x14ac:dyDescent="0.25">
      <c r="A53" s="94" t="s">
        <v>3</v>
      </c>
      <c r="B53" s="49" t="s">
        <v>33</v>
      </c>
      <c r="C53" s="49" t="s">
        <v>107</v>
      </c>
      <c r="D53" s="49" t="s">
        <v>214</v>
      </c>
      <c r="E53" s="51">
        <v>-67515</v>
      </c>
      <c r="F53" s="51">
        <f>E53/'Reporting Hebdo'!$E$3</f>
      </c>
      <c r="G53" s="94" t="s">
        <v>212</v>
      </c>
      <c r="H53" s="95"/>
      <c r="I53" s="96"/>
      <c r="J53" s="51">
        <f>IF(E53&lt;0,MIN(0,E53+N(H53)),MAX(0,E53-N(H53)))</f>
      </c>
    </row>
    <row r="54" spans="1:10" x14ac:dyDescent="0.25">
      <c r="A54" s="94" t="s">
        <v>3</v>
      </c>
      <c r="B54" s="49" t="s">
        <v>33</v>
      </c>
      <c r="C54" s="49" t="s">
        <v>107</v>
      </c>
      <c r="D54" s="49" t="s">
        <v>251</v>
      </c>
      <c r="E54" s="51">
        <v>-882980</v>
      </c>
      <c r="F54" s="51">
        <f>E54/'Reporting Hebdo'!$E$3</f>
      </c>
      <c r="G54" s="94" t="s">
        <v>212</v>
      </c>
      <c r="H54" s="95"/>
      <c r="I54" s="96"/>
      <c r="J54" s="51">
        <f>IF(E54&lt;0,MIN(0,E54+N(H54)),MAX(0,E54-N(H54)))</f>
      </c>
    </row>
    <row r="55" spans="1:10" x14ac:dyDescent="0.25">
      <c r="A55" s="94" t="s">
        <v>3</v>
      </c>
      <c r="B55" s="49" t="s">
        <v>33</v>
      </c>
      <c r="C55" s="49" t="s">
        <v>107</v>
      </c>
      <c r="D55" s="49" t="s">
        <v>252</v>
      </c>
      <c r="E55" s="51">
        <v>-906950</v>
      </c>
      <c r="F55" s="51">
        <f>E55/'Reporting Hebdo'!$E$3</f>
      </c>
      <c r="G55" s="94" t="s">
        <v>212</v>
      </c>
      <c r="H55" s="95"/>
      <c r="I55" s="96"/>
      <c r="J55" s="51">
        <f>IF(E55&lt;0,MIN(0,E55+N(H55)),MAX(0,E55-N(H55)))</f>
      </c>
    </row>
    <row r="56" spans="1:10" x14ac:dyDescent="0.25">
      <c r="A56" s="94" t="s">
        <v>3</v>
      </c>
      <c r="B56" s="49" t="s">
        <v>33</v>
      </c>
      <c r="C56" s="49" t="s">
        <v>107</v>
      </c>
      <c r="D56" s="49" t="s">
        <v>253</v>
      </c>
      <c r="E56" s="51">
        <v>-6428640</v>
      </c>
      <c r="F56" s="51">
        <f>E56/'Reporting Hebdo'!$E$3</f>
      </c>
      <c r="G56" s="94" t="s">
        <v>212</v>
      </c>
      <c r="H56" s="95"/>
      <c r="I56" s="96"/>
      <c r="J56" s="51">
        <f>IF(E56&lt;0,MIN(0,E56+N(H56)),MAX(0,E56-N(H56)))</f>
      </c>
    </row>
    <row r="57" spans="1:10" x14ac:dyDescent="0.25">
      <c r="A57" s="94" t="s">
        <v>3</v>
      </c>
      <c r="B57" s="49" t="s">
        <v>33</v>
      </c>
      <c r="C57" s="49" t="s">
        <v>107</v>
      </c>
      <c r="D57" s="49" t="s">
        <v>216</v>
      </c>
      <c r="E57" s="51">
        <v>-1278980</v>
      </c>
      <c r="F57" s="51">
        <f>E57/'Reporting Hebdo'!$E$3</f>
      </c>
      <c r="G57" s="94" t="s">
        <v>212</v>
      </c>
      <c r="H57" s="95"/>
      <c r="I57" s="96"/>
      <c r="J57" s="51">
        <f>IF(E57&lt;0,MIN(0,E57+N(H57)),MAX(0,E57-N(H57)))</f>
      </c>
    </row>
    <row r="58" spans="1:10" x14ac:dyDescent="0.25">
      <c r="A58" s="94" t="s">
        <v>3</v>
      </c>
      <c r="B58" s="49" t="s">
        <v>33</v>
      </c>
      <c r="C58" s="49" t="s">
        <v>107</v>
      </c>
      <c r="D58" s="49" t="s">
        <v>229</v>
      </c>
      <c r="E58" s="51">
        <v>-150824</v>
      </c>
      <c r="F58" s="51">
        <f>E58/'Reporting Hebdo'!$E$3</f>
      </c>
      <c r="G58" s="94" t="s">
        <v>212</v>
      </c>
      <c r="H58" s="95"/>
      <c r="I58" s="96"/>
      <c r="J58" s="51">
        <f>IF(E58&lt;0,MIN(0,E58+N(H58)),MAX(0,E58-N(H58)))</f>
      </c>
    </row>
    <row r="59" spans="1:10" x14ac:dyDescent="0.25">
      <c r="A59" s="94" t="s">
        <v>3</v>
      </c>
      <c r="B59" s="49" t="s">
        <v>33</v>
      </c>
      <c r="C59" s="49" t="s">
        <v>108</v>
      </c>
      <c r="D59" s="49" t="s">
        <v>232</v>
      </c>
      <c r="E59" s="51">
        <v>-254918009</v>
      </c>
      <c r="F59" s="51">
        <f>E59/'Reporting Hebdo'!$E$3</f>
      </c>
      <c r="G59" s="94" t="s">
        <v>212</v>
      </c>
      <c r="H59" s="95"/>
      <c r="I59" s="96"/>
      <c r="J59" s="51">
        <f>IF(E59&lt;0,MIN(0,E59+N(H59)),MAX(0,E59-N(H59)))</f>
      </c>
    </row>
    <row r="60" spans="1:10" x14ac:dyDescent="0.25">
      <c r="A60" s="94" t="s">
        <v>3</v>
      </c>
      <c r="B60" s="49" t="s">
        <v>36</v>
      </c>
      <c r="C60" s="49" t="s">
        <v>107</v>
      </c>
      <c r="D60" s="49" t="s">
        <v>240</v>
      </c>
      <c r="E60" s="51">
        <v>-8342600</v>
      </c>
      <c r="F60" s="51">
        <f>E60/'Reporting Hebdo'!$E$3</f>
      </c>
      <c r="G60" s="94" t="s">
        <v>212</v>
      </c>
      <c r="H60" s="95"/>
      <c r="I60" s="96"/>
      <c r="J60" s="51">
        <f>IF(E60&lt;0,MIN(0,E60+N(H60)),MAX(0,E60-N(H60)))</f>
      </c>
    </row>
    <row r="61" spans="1:10" x14ac:dyDescent="0.25">
      <c r="A61" s="94" t="s">
        <v>3</v>
      </c>
      <c r="B61" s="49" t="s">
        <v>36</v>
      </c>
      <c r="C61" s="49" t="s">
        <v>107</v>
      </c>
      <c r="D61" s="49" t="s">
        <v>254</v>
      </c>
      <c r="E61" s="51">
        <v>-141600</v>
      </c>
      <c r="F61" s="51">
        <f>E61/'Reporting Hebdo'!$E$3</f>
      </c>
      <c r="G61" s="94" t="s">
        <v>212</v>
      </c>
      <c r="H61" s="95"/>
      <c r="I61" s="96"/>
      <c r="J61" s="51">
        <f>IF(E61&lt;0,MIN(0,E61+N(H61)),MAX(0,E61-N(H61)))</f>
      </c>
    </row>
    <row r="62" spans="1:10" x14ac:dyDescent="0.25">
      <c r="A62" s="94" t="s">
        <v>3</v>
      </c>
      <c r="B62" s="49" t="s">
        <v>36</v>
      </c>
      <c r="C62" s="49" t="s">
        <v>107</v>
      </c>
      <c r="D62" s="49" t="s">
        <v>242</v>
      </c>
      <c r="E62" s="51">
        <v>-3715569</v>
      </c>
      <c r="F62" s="51">
        <f>E62/'Reporting Hebdo'!$E$3</f>
      </c>
      <c r="G62" s="94" t="s">
        <v>212</v>
      </c>
      <c r="H62" s="95"/>
      <c r="I62" s="96"/>
      <c r="J62" s="51">
        <f>IF(E62&lt;0,MIN(0,E62+N(H62)),MAX(0,E62-N(H62)))</f>
      </c>
    </row>
    <row r="63" spans="1:10" x14ac:dyDescent="0.25">
      <c r="A63" s="94" t="s">
        <v>3</v>
      </c>
      <c r="B63" s="49" t="s">
        <v>36</v>
      </c>
      <c r="C63" s="49" t="s">
        <v>107</v>
      </c>
      <c r="D63" s="49" t="s">
        <v>255</v>
      </c>
      <c r="E63" s="51">
        <v>-5444443</v>
      </c>
      <c r="F63" s="51">
        <f>E63/'Reporting Hebdo'!$E$3</f>
      </c>
      <c r="G63" s="94" t="s">
        <v>212</v>
      </c>
      <c r="H63" s="95"/>
      <c r="I63" s="96"/>
      <c r="J63" s="51">
        <f>IF(E63&lt;0,MIN(0,E63+N(H63)),MAX(0,E63-N(H63)))</f>
      </c>
    </row>
    <row r="64" spans="1:10" x14ac:dyDescent="0.25">
      <c r="A64" s="94" t="s">
        <v>3</v>
      </c>
      <c r="B64" s="49" t="s">
        <v>36</v>
      </c>
      <c r="C64" s="49" t="s">
        <v>107</v>
      </c>
      <c r="D64" s="49" t="s">
        <v>229</v>
      </c>
      <c r="E64" s="51">
        <v>-2333</v>
      </c>
      <c r="F64" s="51">
        <f>E64/'Reporting Hebdo'!$E$3</f>
      </c>
      <c r="G64" s="94" t="s">
        <v>212</v>
      </c>
      <c r="H64" s="95"/>
      <c r="I64" s="96"/>
      <c r="J64" s="51">
        <f>IF(E64&lt;0,MIN(0,E64+N(H64)),MAX(0,E64-N(H64)))</f>
      </c>
    </row>
    <row r="65" spans="1:10" x14ac:dyDescent="0.25">
      <c r="A65" s="94" t="s">
        <v>3</v>
      </c>
      <c r="B65" s="49" t="s">
        <v>36</v>
      </c>
      <c r="C65" s="49" t="s">
        <v>108</v>
      </c>
      <c r="D65" s="49" t="s">
        <v>232</v>
      </c>
      <c r="E65" s="51">
        <v>-70731067</v>
      </c>
      <c r="F65" s="51">
        <f>E65/'Reporting Hebdo'!$E$3</f>
      </c>
      <c r="G65" s="94" t="s">
        <v>212</v>
      </c>
      <c r="H65" s="95"/>
      <c r="I65" s="96"/>
      <c r="J65" s="51">
        <f>IF(E65&lt;0,MIN(0,E65+N(H65)),MAX(0,E65-N(H65)))</f>
      </c>
    </row>
    <row r="66" spans="1:10" x14ac:dyDescent="0.25">
      <c r="A66" s="94" t="s">
        <v>3</v>
      </c>
      <c r="B66" s="49" t="s">
        <v>36</v>
      </c>
      <c r="C66" s="49" t="s">
        <v>109</v>
      </c>
      <c r="D66" s="49" t="s">
        <v>237</v>
      </c>
      <c r="E66" s="51">
        <v>-93000</v>
      </c>
      <c r="F66" s="51">
        <f>E66/'Reporting Hebdo'!$E$3</f>
      </c>
      <c r="G66" s="94" t="s">
        <v>212</v>
      </c>
      <c r="H66" s="95"/>
      <c r="I66" s="96"/>
      <c r="J66" s="51">
        <f>IF(E66&lt;0,MIN(0,E66+N(H66)),MAX(0,E66-N(H66)))</f>
      </c>
    </row>
    <row r="67" spans="1:10" x14ac:dyDescent="0.25">
      <c r="A67" s="94" t="s">
        <v>3</v>
      </c>
      <c r="B67" s="49" t="s">
        <v>36</v>
      </c>
      <c r="C67" s="49" t="s">
        <v>109</v>
      </c>
      <c r="D67" s="49" t="s">
        <v>238</v>
      </c>
      <c r="E67" s="51">
        <v>-65880</v>
      </c>
      <c r="F67" s="51">
        <f>E67/'Reporting Hebdo'!$E$3</f>
      </c>
      <c r="G67" s="94" t="s">
        <v>212</v>
      </c>
      <c r="H67" s="95"/>
      <c r="I67" s="96"/>
      <c r="J67" s="51">
        <f>IF(E67&lt;0,MIN(0,E67+N(H67)),MAX(0,E67-N(H67)))</f>
      </c>
    </row>
    <row r="68" spans="1:10" x14ac:dyDescent="0.25">
      <c r="A68" s="94" t="s">
        <v>3</v>
      </c>
      <c r="B68" s="49" t="s">
        <v>39</v>
      </c>
      <c r="C68" s="49" t="s">
        <v>107</v>
      </c>
      <c r="D68" s="49" t="s">
        <v>256</v>
      </c>
      <c r="E68" s="51">
        <v>-800000</v>
      </c>
      <c r="F68" s="51">
        <f>E68/'Reporting Hebdo'!$E$3</f>
      </c>
      <c r="G68" s="94" t="s">
        <v>212</v>
      </c>
      <c r="H68" s="95"/>
      <c r="I68" s="96"/>
      <c r="J68" s="51">
        <f>IF(E68&lt;0,MIN(0,E68+N(H68)),MAX(0,E68-N(H68)))</f>
      </c>
    </row>
    <row r="69" spans="1:10" x14ac:dyDescent="0.25">
      <c r="A69" s="94" t="s">
        <v>3</v>
      </c>
      <c r="B69" s="49" t="s">
        <v>39</v>
      </c>
      <c r="C69" s="49" t="s">
        <v>107</v>
      </c>
      <c r="D69" s="49" t="s">
        <v>257</v>
      </c>
      <c r="E69" s="51">
        <v>-750000</v>
      </c>
      <c r="F69" s="51">
        <f>E69/'Reporting Hebdo'!$E$3</f>
      </c>
      <c r="G69" s="94" t="s">
        <v>212</v>
      </c>
      <c r="H69" s="95"/>
      <c r="I69" s="96"/>
      <c r="J69" s="51">
        <f>IF(E69&lt;0,MIN(0,E69+N(H69)),MAX(0,E69-N(H69)))</f>
      </c>
    </row>
    <row r="70" spans="1:10" x14ac:dyDescent="0.25">
      <c r="A70" s="94" t="s">
        <v>3</v>
      </c>
      <c r="B70" s="49" t="s">
        <v>39</v>
      </c>
      <c r="C70" s="49" t="s">
        <v>107</v>
      </c>
      <c r="D70" s="49" t="s">
        <v>258</v>
      </c>
      <c r="E70" s="51">
        <v>-300500</v>
      </c>
      <c r="F70" s="51">
        <f>E70/'Reporting Hebdo'!$E$3</f>
      </c>
      <c r="G70" s="94" t="s">
        <v>212</v>
      </c>
      <c r="H70" s="95"/>
      <c r="I70" s="96"/>
      <c r="J70" s="51">
        <f>IF(E70&lt;0,MIN(0,E70+N(H70)),MAX(0,E70-N(H70)))</f>
      </c>
    </row>
    <row r="71" spans="1:10" x14ac:dyDescent="0.25">
      <c r="A71" s="94" t="s">
        <v>3</v>
      </c>
      <c r="B71" s="49" t="s">
        <v>39</v>
      </c>
      <c r="C71" s="49" t="s">
        <v>107</v>
      </c>
      <c r="D71" s="49" t="s">
        <v>259</v>
      </c>
      <c r="E71" s="51">
        <v>-3540000</v>
      </c>
      <c r="F71" s="51">
        <f>E71/'Reporting Hebdo'!$E$3</f>
      </c>
      <c r="G71" s="94" t="s">
        <v>212</v>
      </c>
      <c r="H71" s="95"/>
      <c r="I71" s="96"/>
      <c r="J71" s="51">
        <f>IF(E71&lt;0,MIN(0,E71+N(H71)),MAX(0,E71-N(H71)))</f>
      </c>
    </row>
    <row r="72" spans="1:10" x14ac:dyDescent="0.25">
      <c r="A72" s="94" t="s">
        <v>3</v>
      </c>
      <c r="B72" s="49" t="s">
        <v>39</v>
      </c>
      <c r="C72" s="49" t="s">
        <v>107</v>
      </c>
      <c r="D72" s="49" t="s">
        <v>260</v>
      </c>
      <c r="E72" s="51">
        <v>-2263053</v>
      </c>
      <c r="F72" s="51">
        <f>E72/'Reporting Hebdo'!$E$3</f>
      </c>
      <c r="G72" s="94" t="s">
        <v>212</v>
      </c>
      <c r="H72" s="95"/>
      <c r="I72" s="96"/>
      <c r="J72" s="51">
        <f>IF(E72&lt;0,MIN(0,E72+N(H72)),MAX(0,E72-N(H72)))</f>
      </c>
    </row>
    <row r="73" spans="1:10" x14ac:dyDescent="0.25">
      <c r="A73" s="94" t="s">
        <v>3</v>
      </c>
      <c r="B73" s="49" t="s">
        <v>39</v>
      </c>
      <c r="C73" s="49" t="s">
        <v>107</v>
      </c>
      <c r="D73" s="49" t="s">
        <v>261</v>
      </c>
      <c r="E73" s="51">
        <v>-15000000</v>
      </c>
      <c r="F73" s="51">
        <f>E73/'Reporting Hebdo'!$E$3</f>
      </c>
      <c r="G73" s="94" t="s">
        <v>212</v>
      </c>
      <c r="H73" s="95"/>
      <c r="I73" s="96"/>
      <c r="J73" s="51">
        <f>IF(E73&lt;0,MIN(0,E73+N(H73)),MAX(0,E73-N(H73)))</f>
      </c>
    </row>
    <row r="74" spans="1:10" x14ac:dyDescent="0.25">
      <c r="A74" s="94" t="s">
        <v>3</v>
      </c>
      <c r="B74" s="49" t="s">
        <v>39</v>
      </c>
      <c r="C74" s="49" t="s">
        <v>111</v>
      </c>
      <c r="D74" s="49" t="s">
        <v>262</v>
      </c>
      <c r="E74" s="51">
        <v>14768215</v>
      </c>
      <c r="F74" s="51">
        <f>E74/'Reporting Hebdo'!$E$3</f>
      </c>
      <c r="G74" s="94" t="s">
        <v>212</v>
      </c>
      <c r="H74" s="95"/>
      <c r="I74" s="96"/>
      <c r="J74" s="51">
        <f>IF(E74&lt;0,MIN(0,E74+N(H74)),MAX(0,E74-N(H74)))</f>
      </c>
    </row>
    <row r="75" spans="1:10" x14ac:dyDescent="0.25">
      <c r="A75" s="94" t="s">
        <v>3</v>
      </c>
      <c r="B75" s="49" t="s">
        <v>46</v>
      </c>
      <c r="C75" s="49" t="s">
        <v>107</v>
      </c>
      <c r="D75" s="49" t="s">
        <v>263</v>
      </c>
      <c r="E75" s="51">
        <v>-21000</v>
      </c>
      <c r="F75" s="51">
        <f>E75/'Reporting Hebdo'!$E$3</f>
      </c>
      <c r="G75" s="94" t="s">
        <v>212</v>
      </c>
      <c r="H75" s="95"/>
      <c r="I75" s="96"/>
      <c r="J75" s="51">
        <f>IF(E75&lt;0,MIN(0,E75+N(H75)),MAX(0,E75-N(H75)))</f>
      </c>
    </row>
    <row r="76" spans="1:10" x14ac:dyDescent="0.25">
      <c r="A76" s="94" t="s">
        <v>3</v>
      </c>
      <c r="B76" s="49" t="s">
        <v>46</v>
      </c>
      <c r="C76" s="49" t="s">
        <v>107</v>
      </c>
      <c r="D76" s="49" t="s">
        <v>211</v>
      </c>
      <c r="E76" s="51">
        <v>-872957</v>
      </c>
      <c r="F76" s="51">
        <f>E76/'Reporting Hebdo'!$E$3</f>
      </c>
      <c r="G76" s="94" t="s">
        <v>212</v>
      </c>
      <c r="H76" s="95"/>
      <c r="I76" s="96"/>
      <c r="J76" s="51">
        <f>IF(E76&lt;0,MIN(0,E76+N(H76)),MAX(0,E76-N(H76)))</f>
      </c>
    </row>
    <row r="77" spans="1:10" x14ac:dyDescent="0.25">
      <c r="A77" s="94" t="s">
        <v>3</v>
      </c>
      <c r="B77" s="49" t="s">
        <v>46</v>
      </c>
      <c r="C77" s="49" t="s">
        <v>107</v>
      </c>
      <c r="D77" s="49" t="s">
        <v>211</v>
      </c>
      <c r="E77" s="51">
        <v>-442184</v>
      </c>
      <c r="F77" s="51">
        <f>E77/'Reporting Hebdo'!$E$3</f>
      </c>
      <c r="G77" s="94" t="s">
        <v>212</v>
      </c>
      <c r="H77" s="95"/>
      <c r="I77" s="96"/>
      <c r="J77" s="51">
        <f>IF(E77&lt;0,MIN(0,E77+N(H77)),MAX(0,E77-N(H77)))</f>
      </c>
    </row>
    <row r="78" spans="1:10" x14ac:dyDescent="0.25">
      <c r="A78" s="94" t="s">
        <v>3</v>
      </c>
      <c r="B78" s="49" t="s">
        <v>46</v>
      </c>
      <c r="C78" s="49" t="s">
        <v>107</v>
      </c>
      <c r="D78" s="49" t="s">
        <v>264</v>
      </c>
      <c r="E78" s="51">
        <v>-236000</v>
      </c>
      <c r="F78" s="51">
        <f>E78/'Reporting Hebdo'!$E$3</f>
      </c>
      <c r="G78" s="94" t="s">
        <v>212</v>
      </c>
      <c r="H78" s="95"/>
      <c r="I78" s="96"/>
      <c r="J78" s="51">
        <f>IF(E78&lt;0,MIN(0,E78+N(H78)),MAX(0,E78-N(H78)))</f>
      </c>
    </row>
    <row r="79" spans="1:10" x14ac:dyDescent="0.25">
      <c r="A79" s="94" t="s">
        <v>3</v>
      </c>
      <c r="B79" s="49" t="s">
        <v>46</v>
      </c>
      <c r="C79" s="49" t="s">
        <v>107</v>
      </c>
      <c r="D79" s="49" t="s">
        <v>264</v>
      </c>
      <c r="E79" s="51">
        <v>-649000</v>
      </c>
      <c r="F79" s="51">
        <f>E79/'Reporting Hebdo'!$E$3</f>
      </c>
      <c r="G79" s="94" t="s">
        <v>212</v>
      </c>
      <c r="H79" s="95"/>
      <c r="I79" s="96"/>
      <c r="J79" s="51">
        <f>IF(E79&lt;0,MIN(0,E79+N(H79)),MAX(0,E79-N(H79)))</f>
      </c>
    </row>
    <row r="80" spans="1:10" x14ac:dyDescent="0.25">
      <c r="A80" s="94" t="s">
        <v>3</v>
      </c>
      <c r="B80" s="49" t="s">
        <v>46</v>
      </c>
      <c r="C80" s="49" t="s">
        <v>107</v>
      </c>
      <c r="D80" s="49" t="s">
        <v>265</v>
      </c>
      <c r="E80" s="51">
        <v>-50000</v>
      </c>
      <c r="F80" s="51">
        <f>E80/'Reporting Hebdo'!$E$3</f>
      </c>
      <c r="G80" s="94" t="s">
        <v>212</v>
      </c>
      <c r="H80" s="95"/>
      <c r="I80" s="96"/>
      <c r="J80" s="51">
        <f>IF(E80&lt;0,MIN(0,E80+N(H80)),MAX(0,E80-N(H80)))</f>
      </c>
    </row>
    <row r="81" spans="1:10" x14ac:dyDescent="0.25">
      <c r="A81" s="94" t="s">
        <v>3</v>
      </c>
      <c r="B81" s="49" t="s">
        <v>46</v>
      </c>
      <c r="C81" s="49" t="s">
        <v>107</v>
      </c>
      <c r="D81" s="49" t="s">
        <v>266</v>
      </c>
      <c r="E81" s="51">
        <v>-10745020</v>
      </c>
      <c r="F81" s="51">
        <f>E81/'Reporting Hebdo'!$E$3</f>
      </c>
      <c r="G81" s="94" t="s">
        <v>212</v>
      </c>
      <c r="H81" s="95"/>
      <c r="I81" s="96"/>
      <c r="J81" s="51">
        <f>IF(E81&lt;0,MIN(0,E81+N(H81)),MAX(0,E81-N(H81)))</f>
      </c>
    </row>
    <row r="82" spans="1:10" x14ac:dyDescent="0.25">
      <c r="A82" s="94" t="s">
        <v>3</v>
      </c>
      <c r="B82" s="49" t="s">
        <v>46</v>
      </c>
      <c r="C82" s="49" t="s">
        <v>107</v>
      </c>
      <c r="D82" s="49" t="s">
        <v>266</v>
      </c>
      <c r="E82" s="51">
        <v>-401978</v>
      </c>
      <c r="F82" s="51">
        <f>E82/'Reporting Hebdo'!$E$3</f>
      </c>
      <c r="G82" s="94" t="s">
        <v>212</v>
      </c>
      <c r="H82" s="95"/>
      <c r="I82" s="96"/>
      <c r="J82" s="51">
        <f>IF(E82&lt;0,MIN(0,E82+N(H82)),MAX(0,E82-N(H82)))</f>
      </c>
    </row>
    <row r="83" spans="1:10" x14ac:dyDescent="0.25">
      <c r="A83" s="94" t="s">
        <v>3</v>
      </c>
      <c r="B83" s="49" t="s">
        <v>46</v>
      </c>
      <c r="C83" s="49" t="s">
        <v>107</v>
      </c>
      <c r="D83" s="49" t="s">
        <v>267</v>
      </c>
      <c r="E83" s="51">
        <v>-324500</v>
      </c>
      <c r="F83" s="51">
        <f>E83/'Reporting Hebdo'!$E$3</f>
      </c>
      <c r="G83" s="94" t="s">
        <v>212</v>
      </c>
      <c r="H83" s="95"/>
      <c r="I83" s="96"/>
      <c r="J83" s="51">
        <f>IF(E83&lt;0,MIN(0,E83+N(H83)),MAX(0,E83-N(H83)))</f>
      </c>
    </row>
    <row r="84" spans="1:10" x14ac:dyDescent="0.25">
      <c r="A84" s="94" t="s">
        <v>3</v>
      </c>
      <c r="B84" s="49" t="s">
        <v>46</v>
      </c>
      <c r="C84" s="49" t="s">
        <v>107</v>
      </c>
      <c r="D84" s="49" t="s">
        <v>267</v>
      </c>
      <c r="E84" s="51">
        <v>-649000</v>
      </c>
      <c r="F84" s="51">
        <f>E84/'Reporting Hebdo'!$E$3</f>
      </c>
      <c r="G84" s="94" t="s">
        <v>212</v>
      </c>
      <c r="H84" s="95"/>
      <c r="I84" s="96"/>
      <c r="J84" s="51">
        <f>IF(E84&lt;0,MIN(0,E84+N(H84)),MAX(0,E84-N(H84)))</f>
      </c>
    </row>
    <row r="85" spans="1:10" x14ac:dyDescent="0.25">
      <c r="A85" s="94" t="s">
        <v>3</v>
      </c>
      <c r="B85" s="49" t="s">
        <v>46</v>
      </c>
      <c r="C85" s="49" t="s">
        <v>107</v>
      </c>
      <c r="D85" s="49" t="s">
        <v>268</v>
      </c>
      <c r="E85" s="51">
        <v>-895000</v>
      </c>
      <c r="F85" s="51">
        <f>E85/'Reporting Hebdo'!$E$3</f>
      </c>
      <c r="G85" s="94" t="s">
        <v>212</v>
      </c>
      <c r="H85" s="95"/>
      <c r="I85" s="96"/>
      <c r="J85" s="51">
        <f>IF(E85&lt;0,MIN(0,E85+N(H85)),MAX(0,E85-N(H85)))</f>
      </c>
    </row>
    <row r="86" spans="1:10" x14ac:dyDescent="0.25">
      <c r="A86" s="94" t="s">
        <v>3</v>
      </c>
      <c r="B86" s="49" t="s">
        <v>46</v>
      </c>
      <c r="C86" s="49" t="s">
        <v>107</v>
      </c>
      <c r="D86" s="49" t="s">
        <v>221</v>
      </c>
      <c r="E86" s="51">
        <v>-10482986</v>
      </c>
      <c r="F86" s="51">
        <f>E86/'Reporting Hebdo'!$E$3</f>
      </c>
      <c r="G86" s="94" t="s">
        <v>212</v>
      </c>
      <c r="H86" s="95"/>
      <c r="I86" s="96"/>
      <c r="J86" s="51">
        <f>IF(E86&lt;0,MIN(0,E86+N(H86)),MAX(0,E86-N(H86)))</f>
      </c>
    </row>
    <row r="87" spans="1:10" x14ac:dyDescent="0.25">
      <c r="A87" s="94" t="s">
        <v>3</v>
      </c>
      <c r="B87" s="49" t="s">
        <v>46</v>
      </c>
      <c r="C87" s="49" t="s">
        <v>107</v>
      </c>
      <c r="D87" s="49" t="s">
        <v>221</v>
      </c>
      <c r="E87" s="51">
        <v>-6955324</v>
      </c>
      <c r="F87" s="51">
        <f>E87/'Reporting Hebdo'!$E$3</f>
      </c>
      <c r="G87" s="94" t="s">
        <v>212</v>
      </c>
      <c r="H87" s="95"/>
      <c r="I87" s="96"/>
      <c r="J87" s="51">
        <f>IF(E87&lt;0,MIN(0,E87+N(H87)),MAX(0,E87-N(H87)))</f>
      </c>
    </row>
    <row r="88" spans="1:10" x14ac:dyDescent="0.25">
      <c r="A88" s="94" t="s">
        <v>3</v>
      </c>
      <c r="B88" s="49" t="s">
        <v>46</v>
      </c>
      <c r="C88" s="49" t="s">
        <v>107</v>
      </c>
      <c r="D88" s="49" t="s">
        <v>269</v>
      </c>
      <c r="E88" s="51">
        <v>-17342250</v>
      </c>
      <c r="F88" s="51">
        <f>E88/'Reporting Hebdo'!$E$3</f>
      </c>
      <c r="G88" s="94" t="s">
        <v>212</v>
      </c>
      <c r="H88" s="95"/>
      <c r="I88" s="96"/>
      <c r="J88" s="51">
        <f>IF(E88&lt;0,MIN(0,E88+N(H88)),MAX(0,E88-N(H88)))</f>
      </c>
    </row>
    <row r="89" spans="1:10" x14ac:dyDescent="0.25">
      <c r="A89" s="94" t="s">
        <v>3</v>
      </c>
      <c r="B89" s="49" t="s">
        <v>46</v>
      </c>
      <c r="C89" s="49" t="s">
        <v>107</v>
      </c>
      <c r="D89" s="49" t="s">
        <v>270</v>
      </c>
      <c r="E89" s="51">
        <v>-250002</v>
      </c>
      <c r="F89" s="51">
        <f>E89/'Reporting Hebdo'!$E$3</f>
      </c>
      <c r="G89" s="94" t="s">
        <v>212</v>
      </c>
      <c r="H89" s="95"/>
      <c r="I89" s="96"/>
      <c r="J89" s="51">
        <f>IF(E89&lt;0,MIN(0,E89+N(H89)),MAX(0,E89-N(H89)))</f>
      </c>
    </row>
    <row r="90" spans="1:10" x14ac:dyDescent="0.25">
      <c r="A90" s="94" t="s">
        <v>3</v>
      </c>
      <c r="B90" s="49" t="s">
        <v>46</v>
      </c>
      <c r="C90" s="49" t="s">
        <v>107</v>
      </c>
      <c r="D90" s="49" t="s">
        <v>271</v>
      </c>
      <c r="E90" s="51">
        <v>-4598460</v>
      </c>
      <c r="F90" s="51">
        <f>E90/'Reporting Hebdo'!$E$3</f>
      </c>
      <c r="G90" s="94" t="s">
        <v>212</v>
      </c>
      <c r="H90" s="95"/>
      <c r="I90" s="96"/>
      <c r="J90" s="51">
        <f>IF(E90&lt;0,MIN(0,E90+N(H90)),MAX(0,E90-N(H90)))</f>
      </c>
    </row>
    <row r="91" spans="1:10" x14ac:dyDescent="0.25">
      <c r="A91" s="94" t="s">
        <v>3</v>
      </c>
      <c r="B91" s="49" t="s">
        <v>46</v>
      </c>
      <c r="C91" s="49" t="s">
        <v>107</v>
      </c>
      <c r="D91" s="49" t="s">
        <v>271</v>
      </c>
      <c r="E91" s="51">
        <v>-1839384</v>
      </c>
      <c r="F91" s="51">
        <f>E91/'Reporting Hebdo'!$E$3</f>
      </c>
      <c r="G91" s="94" t="s">
        <v>212</v>
      </c>
      <c r="H91" s="95"/>
      <c r="I91" s="96"/>
      <c r="J91" s="51">
        <f>IF(E91&lt;0,MIN(0,E91+N(H91)),MAX(0,E91-N(H91)))</f>
      </c>
    </row>
    <row r="92" spans="1:10" x14ac:dyDescent="0.25">
      <c r="A92" s="94" t="s">
        <v>3</v>
      </c>
      <c r="B92" s="49" t="s">
        <v>46</v>
      </c>
      <c r="C92" s="49" t="s">
        <v>107</v>
      </c>
      <c r="D92" s="49" t="s">
        <v>272</v>
      </c>
      <c r="E92" s="51">
        <v>-2478000</v>
      </c>
      <c r="F92" s="51">
        <f>E92/'Reporting Hebdo'!$E$3</f>
      </c>
      <c r="G92" s="94" t="s">
        <v>212</v>
      </c>
      <c r="H92" s="95"/>
      <c r="I92" s="96"/>
      <c r="J92" s="51">
        <f>IF(E92&lt;0,MIN(0,E92+N(H92)),MAX(0,E92-N(H92)))</f>
      </c>
    </row>
    <row r="93" spans="1:10" x14ac:dyDescent="0.25">
      <c r="A93" s="94" t="s">
        <v>3</v>
      </c>
      <c r="B93" s="49" t="s">
        <v>46</v>
      </c>
      <c r="C93" s="49" t="s">
        <v>108</v>
      </c>
      <c r="D93" s="49" t="s">
        <v>231</v>
      </c>
      <c r="E93" s="51">
        <v>-2000000</v>
      </c>
      <c r="F93" s="51">
        <f>E93/'Reporting Hebdo'!$E$3</f>
      </c>
      <c r="G93" s="94" t="s">
        <v>212</v>
      </c>
      <c r="H93" s="95"/>
      <c r="I93" s="96"/>
      <c r="J93" s="51">
        <f>IF(E93&lt;0,MIN(0,E93+N(H93)),MAX(0,E93-N(H93)))</f>
      </c>
    </row>
    <row r="94" spans="1:10" x14ac:dyDescent="0.25">
      <c r="A94" s="94" t="s">
        <v>3</v>
      </c>
      <c r="B94" s="49" t="s">
        <v>46</v>
      </c>
      <c r="C94" s="49" t="s">
        <v>108</v>
      </c>
      <c r="D94" s="49" t="s">
        <v>234</v>
      </c>
      <c r="E94" s="51">
        <v>-60980429</v>
      </c>
      <c r="F94" s="51">
        <f>E94/'Reporting Hebdo'!$E$3</f>
      </c>
      <c r="G94" s="94" t="s">
        <v>212</v>
      </c>
      <c r="H94" s="95"/>
      <c r="I94" s="96"/>
      <c r="J94" s="51">
        <f>IF(E94&lt;0,MIN(0,E94+N(H94)),MAX(0,E94-N(H94)))</f>
      </c>
    </row>
    <row r="95" spans="1:10" x14ac:dyDescent="0.25">
      <c r="A95" s="94" t="s">
        <v>3</v>
      </c>
      <c r="B95" s="49" t="s">
        <v>46</v>
      </c>
      <c r="C95" s="49" t="s">
        <v>109</v>
      </c>
      <c r="D95" s="49" t="s">
        <v>237</v>
      </c>
      <c r="E95" s="51">
        <v>-3493728</v>
      </c>
      <c r="F95" s="51">
        <f>E95/'Reporting Hebdo'!$E$3</f>
      </c>
      <c r="G95" s="94" t="s">
        <v>212</v>
      </c>
      <c r="H95" s="95"/>
      <c r="I95" s="96"/>
      <c r="J95" s="51">
        <f>IF(E95&lt;0,MIN(0,E95+N(H95)),MAX(0,E95-N(H95)))</f>
      </c>
    </row>
    <row r="96" spans="1:10" x14ac:dyDescent="0.25">
      <c r="A96" s="94" t="s">
        <v>3</v>
      </c>
      <c r="B96" s="49" t="s">
        <v>46</v>
      </c>
      <c r="C96" s="49" t="s">
        <v>109</v>
      </c>
      <c r="D96" s="49" t="s">
        <v>238</v>
      </c>
      <c r="E96" s="51">
        <v>-49459217</v>
      </c>
      <c r="F96" s="51">
        <f>E96/'Reporting Hebdo'!$E$3</f>
      </c>
      <c r="G96" s="94" t="s">
        <v>212</v>
      </c>
      <c r="H96" s="95"/>
      <c r="I96" s="96"/>
      <c r="J96" s="51">
        <f>IF(E96&lt;0,MIN(0,E96+N(H96)),MAX(0,E96-N(H96)))</f>
      </c>
    </row>
    <row r="97" spans="1:10" x14ac:dyDescent="0.25">
      <c r="A97" s="94" t="s">
        <v>3</v>
      </c>
      <c r="B97" s="49" t="s">
        <v>50</v>
      </c>
      <c r="C97" s="49" t="s">
        <v>107</v>
      </c>
      <c r="D97" s="49" t="s">
        <v>273</v>
      </c>
      <c r="E97" s="51">
        <v>-2289000</v>
      </c>
      <c r="F97" s="51">
        <f>E97/'Reporting Hebdo'!$E$3</f>
      </c>
      <c r="G97" s="94" t="s">
        <v>212</v>
      </c>
      <c r="H97" s="95"/>
      <c r="I97" s="96"/>
      <c r="J97" s="51">
        <f>IF(E97&lt;0,MIN(0,E97+N(H97)),MAX(0,E97-N(H97)))</f>
      </c>
    </row>
    <row r="98" spans="1:10" x14ac:dyDescent="0.25">
      <c r="A98" s="94" t="s">
        <v>3</v>
      </c>
      <c r="B98" s="49" t="s">
        <v>50</v>
      </c>
      <c r="C98" s="49" t="s">
        <v>107</v>
      </c>
      <c r="D98" s="49" t="s">
        <v>274</v>
      </c>
      <c r="E98" s="51">
        <v>-250000</v>
      </c>
      <c r="F98" s="51">
        <f>E98/'Reporting Hebdo'!$E$3</f>
      </c>
      <c r="G98" s="94" t="s">
        <v>212</v>
      </c>
      <c r="H98" s="95"/>
      <c r="I98" s="96"/>
      <c r="J98" s="51">
        <f>IF(E98&lt;0,MIN(0,E98+N(H98)),MAX(0,E98-N(H98)))</f>
      </c>
    </row>
    <row r="99" spans="1:10" x14ac:dyDescent="0.25">
      <c r="A99" s="94" t="s">
        <v>3</v>
      </c>
      <c r="B99" s="49" t="s">
        <v>50</v>
      </c>
      <c r="C99" s="49" t="s">
        <v>108</v>
      </c>
      <c r="D99" s="49" t="s">
        <v>275</v>
      </c>
      <c r="E99" s="51">
        <v>-3750000</v>
      </c>
      <c r="F99" s="51">
        <f>E99/'Reporting Hebdo'!$E$3</f>
      </c>
      <c r="G99" s="94" t="s">
        <v>212</v>
      </c>
      <c r="H99" s="95"/>
      <c r="I99" s="96"/>
      <c r="J99" s="51">
        <f>IF(E99&lt;0,MIN(0,E99+N(H99)),MAX(0,E99-N(H99)))</f>
      </c>
    </row>
    <row r="100" spans="1:10" x14ac:dyDescent="0.25">
      <c r="A100" s="94" t="s">
        <v>3</v>
      </c>
      <c r="B100" s="49" t="s">
        <v>53</v>
      </c>
      <c r="C100" s="49" t="s">
        <v>107</v>
      </c>
      <c r="D100" s="49" t="s">
        <v>276</v>
      </c>
      <c r="E100" s="51">
        <v>-310000</v>
      </c>
      <c r="F100" s="51">
        <f>E100/'Reporting Hebdo'!$E$3</f>
      </c>
      <c r="G100" s="94" t="s">
        <v>212</v>
      </c>
      <c r="H100" s="95"/>
      <c r="I100" s="96"/>
      <c r="J100" s="51">
        <f>IF(E100&lt;0,MIN(0,E100+N(H100)),MAX(0,E100-N(H100)))</f>
      </c>
    </row>
    <row r="101" spans="1:10" x14ac:dyDescent="0.25">
      <c r="A101" s="94" t="s">
        <v>3</v>
      </c>
      <c r="B101" s="49" t="s">
        <v>53</v>
      </c>
      <c r="C101" s="49" t="s">
        <v>107</v>
      </c>
      <c r="D101" s="49" t="s">
        <v>277</v>
      </c>
      <c r="E101" s="51">
        <v>-463565</v>
      </c>
      <c r="F101" s="51">
        <f>E101/'Reporting Hebdo'!$E$3</f>
      </c>
      <c r="G101" s="94" t="s">
        <v>212</v>
      </c>
      <c r="H101" s="95"/>
      <c r="I101" s="96"/>
      <c r="J101" s="51">
        <f>IF(E101&lt;0,MIN(0,E101+N(H101)),MAX(0,E101-N(H101)))</f>
      </c>
    </row>
    <row r="102" spans="1:10" x14ac:dyDescent="0.25">
      <c r="A102" s="94" t="s">
        <v>3</v>
      </c>
      <c r="B102" s="49" t="s">
        <v>53</v>
      </c>
      <c r="C102" s="49" t="s">
        <v>107</v>
      </c>
      <c r="D102" s="49" t="s">
        <v>277</v>
      </c>
      <c r="E102" s="51">
        <v>-2926224</v>
      </c>
      <c r="F102" s="51">
        <f>E102/'Reporting Hebdo'!$E$3</f>
      </c>
      <c r="G102" s="94" t="s">
        <v>212</v>
      </c>
      <c r="H102" s="95"/>
      <c r="I102" s="96"/>
      <c r="J102" s="51">
        <f>IF(E102&lt;0,MIN(0,E102+N(H102)),MAX(0,E102-N(H102)))</f>
      </c>
    </row>
    <row r="103" spans="1:10" x14ac:dyDescent="0.25">
      <c r="A103" s="94" t="s">
        <v>3</v>
      </c>
      <c r="B103" s="49" t="s">
        <v>53</v>
      </c>
      <c r="C103" s="49" t="s">
        <v>107</v>
      </c>
      <c r="D103" s="49" t="s">
        <v>264</v>
      </c>
      <c r="E103" s="51">
        <v>-1014800</v>
      </c>
      <c r="F103" s="51">
        <f>E103/'Reporting Hebdo'!$E$3</f>
      </c>
      <c r="G103" s="94" t="s">
        <v>212</v>
      </c>
      <c r="H103" s="95"/>
      <c r="I103" s="96"/>
      <c r="J103" s="51">
        <f>IF(E103&lt;0,MIN(0,E103+N(H103)),MAX(0,E103-N(H103)))</f>
      </c>
    </row>
    <row r="104" spans="1:10" x14ac:dyDescent="0.25">
      <c r="A104" s="94" t="s">
        <v>3</v>
      </c>
      <c r="B104" s="49" t="s">
        <v>53</v>
      </c>
      <c r="C104" s="49" t="s">
        <v>107</v>
      </c>
      <c r="D104" s="49" t="s">
        <v>264</v>
      </c>
      <c r="E104" s="51">
        <v>-118000</v>
      </c>
      <c r="F104" s="51">
        <f>E104/'Reporting Hebdo'!$E$3</f>
      </c>
      <c r="G104" s="94" t="s">
        <v>212</v>
      </c>
      <c r="H104" s="95"/>
      <c r="I104" s="96"/>
      <c r="J104" s="51">
        <f>IF(E104&lt;0,MIN(0,E104+N(H104)),MAX(0,E104-N(H104)))</f>
      </c>
    </row>
    <row r="105" spans="1:10" x14ac:dyDescent="0.25">
      <c r="A105" s="94" t="s">
        <v>3</v>
      </c>
      <c r="B105" s="49" t="s">
        <v>53</v>
      </c>
      <c r="C105" s="49" t="s">
        <v>107</v>
      </c>
      <c r="D105" s="49" t="s">
        <v>242</v>
      </c>
      <c r="E105" s="51">
        <v>-1340000</v>
      </c>
      <c r="F105" s="51">
        <f>E105/'Reporting Hebdo'!$E$3</f>
      </c>
      <c r="G105" s="94" t="s">
        <v>212</v>
      </c>
      <c r="H105" s="95"/>
      <c r="I105" s="96"/>
      <c r="J105" s="51">
        <f>IF(E105&lt;0,MIN(0,E105+N(H105)),MAX(0,E105-N(H105)))</f>
      </c>
    </row>
    <row r="106" spans="1:10" x14ac:dyDescent="0.25">
      <c r="A106" s="94" t="s">
        <v>3</v>
      </c>
      <c r="B106" s="49" t="s">
        <v>53</v>
      </c>
      <c r="C106" s="49" t="s">
        <v>107</v>
      </c>
      <c r="D106" s="49" t="s">
        <v>278</v>
      </c>
      <c r="E106" s="51">
        <v>-73160</v>
      </c>
      <c r="F106" s="51">
        <f>E106/'Reporting Hebdo'!$E$3</f>
      </c>
      <c r="G106" s="94" t="s">
        <v>212</v>
      </c>
      <c r="H106" s="95"/>
      <c r="I106" s="96"/>
      <c r="J106" s="51">
        <f>IF(E106&lt;0,MIN(0,E106+N(H106)),MAX(0,E106-N(H106)))</f>
      </c>
    </row>
    <row r="107" spans="1:10" x14ac:dyDescent="0.25">
      <c r="A107" s="94" t="s">
        <v>3</v>
      </c>
      <c r="B107" s="49" t="s">
        <v>53</v>
      </c>
      <c r="C107" s="49" t="s">
        <v>108</v>
      </c>
      <c r="D107" s="49" t="s">
        <v>232</v>
      </c>
      <c r="E107" s="51">
        <v>-3818322</v>
      </c>
      <c r="F107" s="51">
        <f>E107/'Reporting Hebdo'!$E$3</f>
      </c>
      <c r="G107" s="94" t="s">
        <v>212</v>
      </c>
      <c r="H107" s="95"/>
      <c r="I107" s="96"/>
      <c r="J107" s="51">
        <f>IF(E107&lt;0,MIN(0,E107+N(H107)),MAX(0,E107-N(H107)))</f>
      </c>
    </row>
    <row r="108" spans="1:10" x14ac:dyDescent="0.25">
      <c r="A108" s="94" t="s">
        <v>3</v>
      </c>
      <c r="B108" s="49" t="s">
        <v>53</v>
      </c>
      <c r="C108" s="49" t="s">
        <v>108</v>
      </c>
      <c r="D108" s="49" t="s">
        <v>279</v>
      </c>
      <c r="E108" s="51">
        <v>-5313251</v>
      </c>
      <c r="F108" s="51">
        <f>E108/'Reporting Hebdo'!$E$3</f>
      </c>
      <c r="G108" s="94" t="s">
        <v>212</v>
      </c>
      <c r="H108" s="95"/>
      <c r="I108" s="96"/>
      <c r="J108" s="51">
        <f>IF(E108&lt;0,MIN(0,E108+N(H108)),MAX(0,E108-N(H108)))</f>
      </c>
    </row>
    <row r="109" spans="1:10" x14ac:dyDescent="0.25">
      <c r="A109" s="94" t="s">
        <v>3</v>
      </c>
      <c r="B109" s="49" t="s">
        <v>53</v>
      </c>
      <c r="C109" s="49" t="s">
        <v>109</v>
      </c>
      <c r="D109" s="49" t="s">
        <v>237</v>
      </c>
      <c r="E109" s="51">
        <v>-1130000</v>
      </c>
      <c r="F109" s="51">
        <f>E109/'Reporting Hebdo'!$E$3</f>
      </c>
      <c r="G109" s="94" t="s">
        <v>212</v>
      </c>
      <c r="H109" s="95"/>
      <c r="I109" s="96"/>
      <c r="J109" s="51">
        <f>IF(E109&lt;0,MIN(0,E109+N(H109)),MAX(0,E109-N(H109)))</f>
      </c>
    </row>
    <row r="110" spans="1:10" x14ac:dyDescent="0.25">
      <c r="A110" s="94" t="s">
        <v>3</v>
      </c>
      <c r="B110" s="49" t="s">
        <v>53</v>
      </c>
      <c r="C110" s="49" t="s">
        <v>109</v>
      </c>
      <c r="D110" s="49" t="s">
        <v>238</v>
      </c>
      <c r="E110" s="51">
        <v>-20811016</v>
      </c>
      <c r="F110" s="51">
        <f>E110/'Reporting Hebdo'!$E$3</f>
      </c>
      <c r="G110" s="94" t="s">
        <v>212</v>
      </c>
      <c r="H110" s="95"/>
      <c r="I110" s="96"/>
      <c r="J110" s="51">
        <f>IF(E110&lt;0,MIN(0,E110+N(H110)),MAX(0,E110-N(H110)))</f>
      </c>
    </row>
    <row r="111" spans="1:10" x14ac:dyDescent="0.25">
      <c r="A111" s="94" t="s">
        <v>3</v>
      </c>
      <c r="B111" s="49" t="s">
        <v>59</v>
      </c>
      <c r="C111" s="49" t="s">
        <v>107</v>
      </c>
      <c r="D111" s="49" t="s">
        <v>264</v>
      </c>
      <c r="E111" s="51">
        <v>-1239000</v>
      </c>
      <c r="F111" s="51">
        <f>E111/'Reporting Hebdo'!$E$3</f>
      </c>
      <c r="G111" s="94" t="s">
        <v>212</v>
      </c>
      <c r="H111" s="95"/>
      <c r="I111" s="96"/>
      <c r="J111" s="51">
        <f>IF(E111&lt;0,MIN(0,E111+N(H111)),MAX(0,E111-N(H111)))</f>
      </c>
    </row>
    <row r="112" spans="1:10" x14ac:dyDescent="0.25">
      <c r="A112" s="94" t="s">
        <v>3</v>
      </c>
      <c r="B112" s="49" t="s">
        <v>59</v>
      </c>
      <c r="C112" s="49" t="s">
        <v>107</v>
      </c>
      <c r="D112" s="49" t="s">
        <v>280</v>
      </c>
      <c r="E112" s="51">
        <v>-336100</v>
      </c>
      <c r="F112" s="51">
        <f>E112/'Reporting Hebdo'!$E$3</f>
      </c>
      <c r="G112" s="94" t="s">
        <v>212</v>
      </c>
      <c r="H112" s="95"/>
      <c r="I112" s="96"/>
      <c r="J112" s="51">
        <f>IF(E112&lt;0,MIN(0,E112+N(H112)),MAX(0,E112-N(H112)))</f>
      </c>
    </row>
    <row r="113" spans="1:10" x14ac:dyDescent="0.25">
      <c r="A113" s="94" t="s">
        <v>3</v>
      </c>
      <c r="B113" s="49" t="s">
        <v>59</v>
      </c>
      <c r="C113" s="49" t="s">
        <v>108</v>
      </c>
      <c r="D113" s="49" t="s">
        <v>231</v>
      </c>
      <c r="E113" s="51">
        <v>-8000000</v>
      </c>
      <c r="F113" s="51">
        <f>E113/'Reporting Hebdo'!$E$3</f>
      </c>
      <c r="G113" s="94" t="s">
        <v>212</v>
      </c>
      <c r="H113" s="95"/>
      <c r="I113" s="96"/>
      <c r="J113" s="51">
        <f>IF(E113&lt;0,MIN(0,E113+N(H113)),MAX(0,E113-N(H113)))</f>
      </c>
    </row>
    <row r="114" spans="1:10" x14ac:dyDescent="0.25">
      <c r="A114" s="94" t="s">
        <v>3</v>
      </c>
      <c r="B114" s="49" t="s">
        <v>61</v>
      </c>
      <c r="C114" s="49" t="s">
        <v>108</v>
      </c>
      <c r="D114" s="49" t="s">
        <v>234</v>
      </c>
      <c r="E114" s="51">
        <v>-30693516</v>
      </c>
      <c r="F114" s="51">
        <f>E114/'Reporting Hebdo'!$E$3</f>
      </c>
      <c r="G114" s="94" t="s">
        <v>212</v>
      </c>
      <c r="H114" s="95"/>
      <c r="I114" s="96"/>
      <c r="J114" s="51">
        <f>IF(E114&lt;0,MIN(0,E114+N(H114)),MAX(0,E114-N(H114)))</f>
      </c>
    </row>
    <row r="115" spans="1:10" x14ac:dyDescent="0.25">
      <c r="A115" s="94" t="s">
        <v>3</v>
      </c>
      <c r="B115" s="49" t="s">
        <v>61</v>
      </c>
      <c r="C115" s="49" t="s">
        <v>108</v>
      </c>
      <c r="D115" s="49" t="s">
        <v>236</v>
      </c>
      <c r="E115" s="51">
        <v>-5211826</v>
      </c>
      <c r="F115" s="51">
        <f>E115/'Reporting Hebdo'!$E$3</f>
      </c>
      <c r="G115" s="94" t="s">
        <v>212</v>
      </c>
      <c r="H115" s="95"/>
      <c r="I115" s="96"/>
      <c r="J115" s="51">
        <f>IF(E115&lt;0,MIN(0,E115+N(H115)),MAX(0,E115-N(H115)))</f>
      </c>
    </row>
    <row r="116" spans="1:10" x14ac:dyDescent="0.25">
      <c r="A116" s="94" t="s">
        <v>3</v>
      </c>
      <c r="B116" s="49" t="s">
        <v>61</v>
      </c>
      <c r="C116" s="49" t="s">
        <v>109</v>
      </c>
      <c r="D116" s="49" t="s">
        <v>237</v>
      </c>
      <c r="E116" s="51">
        <v>-79000</v>
      </c>
      <c r="F116" s="51">
        <f>E116/'Reporting Hebdo'!$E$3</f>
      </c>
      <c r="G116" s="94" t="s">
        <v>212</v>
      </c>
      <c r="H116" s="95"/>
      <c r="I116" s="96"/>
      <c r="J116" s="51">
        <f>IF(E116&lt;0,MIN(0,E116+N(H116)),MAX(0,E116-N(H116)))</f>
      </c>
    </row>
    <row r="117" spans="1:10" x14ac:dyDescent="0.25">
      <c r="A117" s="94" t="s">
        <v>3</v>
      </c>
      <c r="B117" s="49" t="s">
        <v>61</v>
      </c>
      <c r="C117" s="49" t="s">
        <v>109</v>
      </c>
      <c r="D117" s="49" t="s">
        <v>238</v>
      </c>
      <c r="E117" s="51">
        <v>-9102192</v>
      </c>
      <c r="F117" s="51">
        <f>E117/'Reporting Hebdo'!$E$3</f>
      </c>
      <c r="G117" s="94" t="s">
        <v>212</v>
      </c>
      <c r="H117" s="95"/>
      <c r="I117" s="96"/>
      <c r="J117" s="51">
        <f>IF(E117&lt;0,MIN(0,E117+N(H117)),MAX(0,E117-N(H117)))</f>
      </c>
    </row>
    <row r="118" spans="1:10" x14ac:dyDescent="0.25">
      <c r="A118" s="94" t="s">
        <v>4</v>
      </c>
      <c r="B118" s="49" t="s">
        <v>22</v>
      </c>
      <c r="C118" s="49" t="s">
        <v>108</v>
      </c>
      <c r="D118" s="49" t="s">
        <v>234</v>
      </c>
      <c r="E118" s="51">
        <v>-6300000</v>
      </c>
      <c r="F118" s="51">
        <f>E118/'Reporting Hebdo'!$E$3</f>
      </c>
      <c r="G118" s="94" t="s">
        <v>212</v>
      </c>
      <c r="H118" s="95"/>
      <c r="I118" s="96"/>
      <c r="J118" s="51">
        <f>IF(E118&lt;0,MIN(0,E118+N(H118)),MAX(0,E118-N(H118)))</f>
      </c>
    </row>
    <row r="119" spans="1:10" x14ac:dyDescent="0.25">
      <c r="A119" s="94" t="s">
        <v>4</v>
      </c>
      <c r="B119" s="49" t="s">
        <v>22</v>
      </c>
      <c r="C119" s="49" t="s">
        <v>109</v>
      </c>
      <c r="D119" s="49" t="s">
        <v>237</v>
      </c>
      <c r="E119" s="51">
        <v>-40000</v>
      </c>
      <c r="F119" s="51">
        <f>E119/'Reporting Hebdo'!$E$3</f>
      </c>
      <c r="G119" s="94" t="s">
        <v>212</v>
      </c>
      <c r="H119" s="95"/>
      <c r="I119" s="96"/>
      <c r="J119" s="51">
        <f>IF(E119&lt;0,MIN(0,E119+N(H119)),MAX(0,E119-N(H119)))</f>
      </c>
    </row>
    <row r="120" spans="1:10" x14ac:dyDescent="0.25">
      <c r="A120" s="94" t="s">
        <v>4</v>
      </c>
      <c r="B120" s="49" t="s">
        <v>22</v>
      </c>
      <c r="C120" s="49" t="s">
        <v>109</v>
      </c>
      <c r="D120" s="49" t="s">
        <v>238</v>
      </c>
      <c r="E120" s="51">
        <v>-3000000</v>
      </c>
      <c r="F120" s="51">
        <f>E120/'Reporting Hebdo'!$E$3</f>
      </c>
      <c r="G120" s="94" t="s">
        <v>212</v>
      </c>
      <c r="H120" s="95"/>
      <c r="I120" s="96"/>
      <c r="J120" s="51">
        <f>IF(E120&lt;0,MIN(0,E120+N(H120)),MAX(0,E120-N(H120)))</f>
      </c>
    </row>
    <row r="121" spans="1:10" x14ac:dyDescent="0.25">
      <c r="A121" s="94" t="s">
        <v>4</v>
      </c>
      <c r="B121" s="49" t="s">
        <v>29</v>
      </c>
      <c r="C121" s="49" t="s">
        <v>107</v>
      </c>
      <c r="D121" s="49" t="s">
        <v>281</v>
      </c>
      <c r="E121" s="51">
        <v>-354000</v>
      </c>
      <c r="F121" s="51">
        <f>E121/'Reporting Hebdo'!$E$3</f>
      </c>
      <c r="G121" s="94" t="s">
        <v>212</v>
      </c>
      <c r="H121" s="95"/>
      <c r="I121" s="96"/>
      <c r="J121" s="51">
        <f>IF(E121&lt;0,MIN(0,E121+N(H121)),MAX(0,E121-N(H121)))</f>
      </c>
    </row>
    <row r="122" spans="1:10" x14ac:dyDescent="0.25">
      <c r="A122" s="94" t="s">
        <v>4</v>
      </c>
      <c r="B122" s="49" t="s">
        <v>29</v>
      </c>
      <c r="C122" s="49" t="s">
        <v>107</v>
      </c>
      <c r="D122" s="49" t="s">
        <v>282</v>
      </c>
      <c r="E122" s="51">
        <v>-987840</v>
      </c>
      <c r="F122" s="51">
        <f>E122/'Reporting Hebdo'!$E$3</f>
      </c>
      <c r="G122" s="94" t="s">
        <v>212</v>
      </c>
      <c r="H122" s="95"/>
      <c r="I122" s="96"/>
      <c r="J122" s="51">
        <f>IF(E122&lt;0,MIN(0,E122+N(H122)),MAX(0,E122-N(H122)))</f>
      </c>
    </row>
    <row r="123" spans="1:10" x14ac:dyDescent="0.25">
      <c r="A123" s="94" t="s">
        <v>4</v>
      </c>
      <c r="B123" s="49" t="s">
        <v>29</v>
      </c>
      <c r="C123" s="49" t="s">
        <v>107</v>
      </c>
      <c r="D123" s="49" t="s">
        <v>283</v>
      </c>
      <c r="E123" s="51">
        <v>-448160</v>
      </c>
      <c r="F123" s="51">
        <f>E123/'Reporting Hebdo'!$E$3</f>
      </c>
      <c r="G123" s="94" t="s">
        <v>212</v>
      </c>
      <c r="H123" s="95"/>
      <c r="I123" s="96"/>
      <c r="J123" s="51">
        <f>IF(E123&lt;0,MIN(0,E123+N(H123)),MAX(0,E123-N(H123)))</f>
      </c>
    </row>
    <row r="124" spans="1:10" x14ac:dyDescent="0.25">
      <c r="A124" s="94" t="s">
        <v>4</v>
      </c>
      <c r="B124" s="49" t="s">
        <v>29</v>
      </c>
      <c r="C124" s="49" t="s">
        <v>107</v>
      </c>
      <c r="D124" s="49" t="s">
        <v>284</v>
      </c>
      <c r="E124" s="51">
        <v>-4287294</v>
      </c>
      <c r="F124" s="51">
        <f>E124/'Reporting Hebdo'!$E$3</f>
      </c>
      <c r="G124" s="94" t="s">
        <v>212</v>
      </c>
      <c r="H124" s="95"/>
      <c r="I124" s="96"/>
      <c r="J124" s="51">
        <f>IF(E124&lt;0,MIN(0,E124+N(H124)),MAX(0,E124-N(H124)))</f>
      </c>
    </row>
    <row r="125" spans="1:10" x14ac:dyDescent="0.25">
      <c r="A125" s="94" t="s">
        <v>4</v>
      </c>
      <c r="B125" s="49" t="s">
        <v>29</v>
      </c>
      <c r="C125" s="49" t="s">
        <v>107</v>
      </c>
      <c r="D125" s="49" t="s">
        <v>285</v>
      </c>
      <c r="E125" s="51">
        <v>-725700</v>
      </c>
      <c r="F125" s="51">
        <f>E125/'Reporting Hebdo'!$E$3</f>
      </c>
      <c r="G125" s="94" t="s">
        <v>212</v>
      </c>
      <c r="H125" s="95"/>
      <c r="I125" s="96"/>
      <c r="J125" s="51">
        <f>IF(E125&lt;0,MIN(0,E125+N(H125)),MAX(0,E125-N(H125)))</f>
      </c>
    </row>
    <row r="126" spans="1:10" x14ac:dyDescent="0.25">
      <c r="A126" s="94" t="s">
        <v>4</v>
      </c>
      <c r="B126" s="49" t="s">
        <v>29</v>
      </c>
      <c r="C126" s="49" t="s">
        <v>107</v>
      </c>
      <c r="D126" s="49" t="s">
        <v>286</v>
      </c>
      <c r="E126" s="51">
        <v>-894657</v>
      </c>
      <c r="F126" s="51">
        <f>E126/'Reporting Hebdo'!$E$3</f>
      </c>
      <c r="G126" s="94" t="s">
        <v>212</v>
      </c>
      <c r="H126" s="95"/>
      <c r="I126" s="96"/>
      <c r="J126" s="51">
        <f>IF(E126&lt;0,MIN(0,E126+N(H126)),MAX(0,E126-N(H126)))</f>
      </c>
    </row>
    <row r="127" spans="1:10" x14ac:dyDescent="0.25">
      <c r="A127" s="94" t="s">
        <v>4</v>
      </c>
      <c r="B127" s="49" t="s">
        <v>29</v>
      </c>
      <c r="C127" s="49" t="s">
        <v>107</v>
      </c>
      <c r="D127" s="49" t="s">
        <v>247</v>
      </c>
      <c r="E127" s="51">
        <v>-3441667</v>
      </c>
      <c r="F127" s="51">
        <f>E127/'Reporting Hebdo'!$E$3</f>
      </c>
      <c r="G127" s="94" t="s">
        <v>212</v>
      </c>
      <c r="H127" s="95"/>
      <c r="I127" s="96"/>
      <c r="J127" s="51">
        <f>IF(E127&lt;0,MIN(0,E127+N(H127)),MAX(0,E127-N(H127)))</f>
      </c>
    </row>
    <row r="128" spans="1:10" x14ac:dyDescent="0.25">
      <c r="A128" s="94" t="s">
        <v>4</v>
      </c>
      <c r="B128" s="49" t="s">
        <v>29</v>
      </c>
      <c r="C128" s="49" t="s">
        <v>107</v>
      </c>
      <c r="D128" s="49" t="s">
        <v>287</v>
      </c>
      <c r="E128" s="51">
        <v>-17700000</v>
      </c>
      <c r="F128" s="51">
        <f>E128/'Reporting Hebdo'!$E$3</f>
      </c>
      <c r="G128" s="94" t="s">
        <v>212</v>
      </c>
      <c r="H128" s="95"/>
      <c r="I128" s="96"/>
      <c r="J128" s="51">
        <f>IF(E128&lt;0,MIN(0,E128+N(H128)),MAX(0,E128-N(H128)))</f>
      </c>
    </row>
    <row r="129" spans="1:10" x14ac:dyDescent="0.25">
      <c r="A129" s="94" t="s">
        <v>4</v>
      </c>
      <c r="B129" s="49" t="s">
        <v>29</v>
      </c>
      <c r="C129" s="49" t="s">
        <v>111</v>
      </c>
      <c r="D129" s="49" t="s">
        <v>288</v>
      </c>
      <c r="E129" s="51">
        <v>40108091</v>
      </c>
      <c r="F129" s="51">
        <f>E129/'Reporting Hebdo'!$E$3</f>
      </c>
      <c r="G129" s="94" t="s">
        <v>212</v>
      </c>
      <c r="H129" s="95"/>
      <c r="I129" s="96"/>
      <c r="J129" s="51">
        <f>IF(E129&lt;0,MIN(0,E129+N(H129)),MAX(0,E129-N(H129)))</f>
      </c>
    </row>
    <row r="130" spans="1:10" x14ac:dyDescent="0.25">
      <c r="A130" s="94" t="s">
        <v>4</v>
      </c>
      <c r="B130" s="49" t="s">
        <v>29</v>
      </c>
      <c r="C130" s="49" t="s">
        <v>111</v>
      </c>
      <c r="D130" s="49" t="s">
        <v>289</v>
      </c>
      <c r="E130" s="51">
        <v>18879177</v>
      </c>
      <c r="F130" s="51">
        <f>E130/'Reporting Hebdo'!$E$3</f>
      </c>
      <c r="G130" s="94" t="s">
        <v>212</v>
      </c>
      <c r="H130" s="95"/>
      <c r="I130" s="96"/>
      <c r="J130" s="51">
        <f>IF(E130&lt;0,MIN(0,E130+N(H130)),MAX(0,E130-N(H130)))</f>
      </c>
    </row>
    <row r="131" spans="1:10" x14ac:dyDescent="0.25">
      <c r="A131" s="94" t="s">
        <v>4</v>
      </c>
      <c r="B131" s="49" t="s">
        <v>29</v>
      </c>
      <c r="C131" s="49" t="s">
        <v>111</v>
      </c>
      <c r="D131" s="49" t="s">
        <v>290</v>
      </c>
      <c r="E131" s="51">
        <v>37713779</v>
      </c>
      <c r="F131" s="51">
        <f>E131/'Reporting Hebdo'!$E$3</f>
      </c>
      <c r="G131" s="94" t="s">
        <v>212</v>
      </c>
      <c r="H131" s="95"/>
      <c r="I131" s="96"/>
      <c r="J131" s="51">
        <f>IF(E131&lt;0,MIN(0,E131+N(H131)),MAX(0,E131-N(H131)))</f>
      </c>
    </row>
    <row r="132" spans="1:10" x14ac:dyDescent="0.25">
      <c r="A132" s="94" t="s">
        <v>4</v>
      </c>
      <c r="B132" s="49" t="s">
        <v>29</v>
      </c>
      <c r="C132" s="49" t="s">
        <v>111</v>
      </c>
      <c r="D132" s="49" t="s">
        <v>291</v>
      </c>
      <c r="E132" s="51">
        <v>6007639</v>
      </c>
      <c r="F132" s="51">
        <f>E132/'Reporting Hebdo'!$E$3</f>
      </c>
      <c r="G132" s="94" t="s">
        <v>212</v>
      </c>
      <c r="H132" s="95"/>
      <c r="I132" s="96"/>
      <c r="J132" s="51">
        <f>IF(E132&lt;0,MIN(0,E132+N(H132)),MAX(0,E132-N(H132)))</f>
      </c>
    </row>
    <row r="133" spans="1:10" x14ac:dyDescent="0.25">
      <c r="A133" s="94" t="s">
        <v>4</v>
      </c>
      <c r="B133" s="49" t="s">
        <v>29</v>
      </c>
      <c r="C133" s="49" t="s">
        <v>111</v>
      </c>
      <c r="D133" s="49" t="s">
        <v>292</v>
      </c>
      <c r="E133" s="51">
        <v>20000000</v>
      </c>
      <c r="F133" s="51">
        <f>E133/'Reporting Hebdo'!$E$3</f>
      </c>
      <c r="G133" s="94" t="s">
        <v>212</v>
      </c>
      <c r="H133" s="95"/>
      <c r="I133" s="96"/>
      <c r="J133" s="51">
        <f>IF(E133&lt;0,MIN(0,E133+N(H133)),MAX(0,E133-N(H133)))</f>
      </c>
    </row>
    <row r="134" spans="1:10" x14ac:dyDescent="0.25">
      <c r="A134" s="94" t="s">
        <v>4</v>
      </c>
      <c r="B134" s="49" t="s">
        <v>29</v>
      </c>
      <c r="C134" s="49" t="s">
        <v>111</v>
      </c>
      <c r="D134" s="49" t="s">
        <v>293</v>
      </c>
      <c r="E134" s="51">
        <v>6859578</v>
      </c>
      <c r="F134" s="51">
        <f>E134/'Reporting Hebdo'!$E$3</f>
      </c>
      <c r="G134" s="94" t="s">
        <v>212</v>
      </c>
      <c r="H134" s="95"/>
      <c r="I134" s="96"/>
      <c r="J134" s="51">
        <f>IF(E134&lt;0,MIN(0,E134+N(H134)),MAX(0,E134-N(H134)))</f>
      </c>
    </row>
    <row r="135" spans="1:10" x14ac:dyDescent="0.25">
      <c r="A135" s="94" t="s">
        <v>4</v>
      </c>
      <c r="B135" s="49" t="s">
        <v>36</v>
      </c>
      <c r="C135" s="49" t="s">
        <v>108</v>
      </c>
      <c r="D135" s="49" t="s">
        <v>234</v>
      </c>
      <c r="E135" s="51">
        <v>-70000</v>
      </c>
      <c r="F135" s="51">
        <f>E135/'Reporting Hebdo'!$E$3</f>
      </c>
      <c r="G135" s="94" t="s">
        <v>212</v>
      </c>
      <c r="H135" s="95"/>
      <c r="I135" s="96"/>
      <c r="J135" s="51">
        <f>IF(E135&lt;0,MIN(0,E135+N(H135)),MAX(0,E135-N(H135)))</f>
      </c>
    </row>
    <row r="136" spans="1:10" x14ac:dyDescent="0.25">
      <c r="A136" s="94" t="s">
        <v>4</v>
      </c>
      <c r="B136" s="49" t="s">
        <v>36</v>
      </c>
      <c r="C136" s="49" t="s">
        <v>109</v>
      </c>
      <c r="D136" s="49" t="s">
        <v>237</v>
      </c>
      <c r="E136" s="51">
        <v>-1000</v>
      </c>
      <c r="F136" s="51">
        <f>E136/'Reporting Hebdo'!$E$3</f>
      </c>
      <c r="G136" s="94" t="s">
        <v>212</v>
      </c>
      <c r="H136" s="95"/>
      <c r="I136" s="96"/>
      <c r="J136" s="51">
        <f>IF(E136&lt;0,MIN(0,E136+N(H136)),MAX(0,E136-N(H136)))</f>
      </c>
    </row>
    <row r="137" spans="1:10" x14ac:dyDescent="0.25">
      <c r="A137" s="94" t="s">
        <v>4</v>
      </c>
      <c r="B137" s="49" t="s">
        <v>36</v>
      </c>
      <c r="C137" s="49" t="s">
        <v>109</v>
      </c>
      <c r="D137" s="49" t="s">
        <v>238</v>
      </c>
      <c r="E137" s="51">
        <v>-90000</v>
      </c>
      <c r="F137" s="51">
        <f>E137/'Reporting Hebdo'!$E$3</f>
      </c>
      <c r="G137" s="94" t="s">
        <v>212</v>
      </c>
      <c r="H137" s="95"/>
      <c r="I137" s="96"/>
      <c r="J137" s="51">
        <f>IF(E137&lt;0,MIN(0,E137+N(H137)),MAX(0,E137-N(H137)))</f>
      </c>
    </row>
    <row r="138" spans="1:10" x14ac:dyDescent="0.25">
      <c r="A138" s="94" t="s">
        <v>4</v>
      </c>
      <c r="B138" s="49" t="s">
        <v>39</v>
      </c>
      <c r="C138" s="49" t="s">
        <v>107</v>
      </c>
      <c r="D138" s="49" t="s">
        <v>294</v>
      </c>
      <c r="E138" s="51">
        <v>-245000</v>
      </c>
      <c r="F138" s="51">
        <f>E138/'Reporting Hebdo'!$E$3</f>
      </c>
      <c r="G138" s="94" t="s">
        <v>212</v>
      </c>
      <c r="H138" s="95"/>
      <c r="I138" s="96"/>
      <c r="J138" s="51">
        <f>IF(E138&lt;0,MIN(0,E138+N(H138)),MAX(0,E138-N(H138)))</f>
      </c>
    </row>
    <row r="139" spans="1:10" x14ac:dyDescent="0.25">
      <c r="A139" s="94" t="s">
        <v>4</v>
      </c>
      <c r="B139" s="49" t="s">
        <v>39</v>
      </c>
      <c r="C139" s="49" t="s">
        <v>107</v>
      </c>
      <c r="D139" s="49" t="s">
        <v>295</v>
      </c>
      <c r="E139" s="51">
        <v>-2297039</v>
      </c>
      <c r="F139" s="51">
        <f>E139/'Reporting Hebdo'!$E$3</f>
      </c>
      <c r="G139" s="94" t="s">
        <v>212</v>
      </c>
      <c r="H139" s="95"/>
      <c r="I139" s="96"/>
      <c r="J139" s="51">
        <f>IF(E139&lt;0,MIN(0,E139+N(H139)),MAX(0,E139-N(H139)))</f>
      </c>
    </row>
    <row r="140" spans="1:10" x14ac:dyDescent="0.25">
      <c r="A140" s="94" t="s">
        <v>4</v>
      </c>
      <c r="B140" s="49" t="s">
        <v>39</v>
      </c>
      <c r="C140" s="49" t="s">
        <v>107</v>
      </c>
      <c r="D140" s="49" t="s">
        <v>296</v>
      </c>
      <c r="E140" s="51">
        <v>-800000</v>
      </c>
      <c r="F140" s="51">
        <f>E140/'Reporting Hebdo'!$E$3</f>
      </c>
      <c r="G140" s="94" t="s">
        <v>212</v>
      </c>
      <c r="H140" s="95"/>
      <c r="I140" s="96"/>
      <c r="J140" s="51">
        <f>IF(E140&lt;0,MIN(0,E140+N(H140)),MAX(0,E140-N(H140)))</f>
      </c>
    </row>
    <row r="141" spans="1:10" x14ac:dyDescent="0.25">
      <c r="A141" s="94" t="s">
        <v>4</v>
      </c>
      <c r="B141" s="49" t="s">
        <v>39</v>
      </c>
      <c r="C141" s="49" t="s">
        <v>114</v>
      </c>
      <c r="D141" s="49" t="s">
        <v>297</v>
      </c>
      <c r="E141" s="51">
        <v>-10443000</v>
      </c>
      <c r="F141" s="51">
        <f>E141/'Reporting Hebdo'!$E$3</f>
      </c>
      <c r="G141" s="94" t="s">
        <v>212</v>
      </c>
      <c r="H141" s="95"/>
      <c r="I141" s="96"/>
      <c r="J141" s="51">
        <f>IF(E141&lt;0,MIN(0,E141+N(H141)),MAX(0,E141-N(H141)))</f>
      </c>
    </row>
    <row r="142" spans="1:10" x14ac:dyDescent="0.25">
      <c r="A142" s="94" t="s">
        <v>4</v>
      </c>
      <c r="B142" s="49" t="s">
        <v>39</v>
      </c>
      <c r="C142" s="49" t="s">
        <v>109</v>
      </c>
      <c r="D142" s="49" t="s">
        <v>298</v>
      </c>
      <c r="E142" s="51">
        <v>-568000</v>
      </c>
      <c r="F142" s="51">
        <f>E142/'Reporting Hebdo'!$E$3</f>
      </c>
      <c r="G142" s="94" t="s">
        <v>212</v>
      </c>
      <c r="H142" s="95"/>
      <c r="I142" s="96"/>
      <c r="J142" s="51">
        <f>IF(E142&lt;0,MIN(0,E142+N(H142)),MAX(0,E142-N(H142)))</f>
      </c>
    </row>
    <row r="143" spans="1:10" x14ac:dyDescent="0.25">
      <c r="A143" s="94" t="s">
        <v>4</v>
      </c>
      <c r="B143" s="49" t="s">
        <v>39</v>
      </c>
      <c r="C143" s="49" t="s">
        <v>109</v>
      </c>
      <c r="D143" s="49" t="s">
        <v>299</v>
      </c>
      <c r="E143" s="51">
        <v>-3043864</v>
      </c>
      <c r="F143" s="51">
        <f>E143/'Reporting Hebdo'!$E$3</f>
      </c>
      <c r="G143" s="94" t="s">
        <v>212</v>
      </c>
      <c r="H143" s="95"/>
      <c r="I143" s="96"/>
      <c r="J143" s="51">
        <f>IF(E143&lt;0,MIN(0,E143+N(H143)),MAX(0,E143-N(H143)))</f>
      </c>
    </row>
    <row r="144" spans="1:10" x14ac:dyDescent="0.25">
      <c r="A144" s="94" t="s">
        <v>4</v>
      </c>
      <c r="B144" s="49" t="s">
        <v>39</v>
      </c>
      <c r="C144" s="49" t="s">
        <v>111</v>
      </c>
      <c r="D144" s="49" t="s">
        <v>300</v>
      </c>
      <c r="E144" s="51">
        <v>3600000</v>
      </c>
      <c r="F144" s="51">
        <f>E144/'Reporting Hebdo'!$E$3</f>
      </c>
      <c r="G144" s="94" t="s">
        <v>212</v>
      </c>
      <c r="H144" s="95"/>
      <c r="I144" s="96"/>
      <c r="J144" s="51">
        <f>IF(E144&lt;0,MIN(0,E144+N(H144)),MAX(0,E144-N(H144)))</f>
      </c>
    </row>
    <row r="145" spans="1:10" x14ac:dyDescent="0.25">
      <c r="A145" s="94" t="s">
        <v>4</v>
      </c>
      <c r="B145" s="49" t="s">
        <v>39</v>
      </c>
      <c r="C145" s="49" t="s">
        <v>111</v>
      </c>
      <c r="D145" s="49" t="s">
        <v>301</v>
      </c>
      <c r="E145" s="51">
        <v>42000000</v>
      </c>
      <c r="F145" s="51">
        <f>E145/'Reporting Hebdo'!$E$3</f>
      </c>
      <c r="G145" s="94" t="s">
        <v>212</v>
      </c>
      <c r="H145" s="95"/>
      <c r="I145" s="96"/>
      <c r="J145" s="51">
        <f>IF(E145&lt;0,MIN(0,E145+N(H145)),MAX(0,E145-N(H145)))</f>
      </c>
    </row>
    <row r="146" spans="1:10" x14ac:dyDescent="0.25">
      <c r="A146" s="94" t="s">
        <v>4</v>
      </c>
      <c r="B146" s="49" t="s">
        <v>46</v>
      </c>
      <c r="C146" s="49" t="s">
        <v>108</v>
      </c>
      <c r="D146" s="49" t="s">
        <v>234</v>
      </c>
      <c r="E146" s="51">
        <v>-12000000</v>
      </c>
      <c r="F146" s="51">
        <f>E146/'Reporting Hebdo'!$E$3</f>
      </c>
      <c r="G146" s="94" t="s">
        <v>212</v>
      </c>
      <c r="H146" s="95"/>
      <c r="I146" s="96"/>
      <c r="J146" s="51">
        <f>IF(E146&lt;0,MIN(0,E146+N(H146)),MAX(0,E146-N(H146)))</f>
      </c>
    </row>
    <row r="147" spans="1:10" x14ac:dyDescent="0.25">
      <c r="A147" s="94" t="s">
        <v>4</v>
      </c>
      <c r="B147" s="49" t="s">
        <v>46</v>
      </c>
      <c r="C147" s="49" t="s">
        <v>109</v>
      </c>
      <c r="D147" s="49" t="s">
        <v>237</v>
      </c>
      <c r="E147" s="51">
        <v>-60000</v>
      </c>
      <c r="F147" s="51">
        <f>E147/'Reporting Hebdo'!$E$3</f>
      </c>
      <c r="G147" s="94" t="s">
        <v>212</v>
      </c>
      <c r="H147" s="95"/>
      <c r="I147" s="96"/>
      <c r="J147" s="51">
        <f>IF(E147&lt;0,MIN(0,E147+N(H147)),MAX(0,E147-N(H147)))</f>
      </c>
    </row>
    <row r="148" spans="1:10" x14ac:dyDescent="0.25">
      <c r="A148" s="94" t="s">
        <v>4</v>
      </c>
      <c r="B148" s="49" t="s">
        <v>46</v>
      </c>
      <c r="C148" s="49" t="s">
        <v>109</v>
      </c>
      <c r="D148" s="49" t="s">
        <v>238</v>
      </c>
      <c r="E148" s="51">
        <v>-4000000</v>
      </c>
      <c r="F148" s="51">
        <f>E148/'Reporting Hebdo'!$E$3</f>
      </c>
      <c r="G148" s="94" t="s">
        <v>212</v>
      </c>
      <c r="H148" s="95"/>
      <c r="I148" s="96"/>
      <c r="J148" s="51">
        <f>IF(E148&lt;0,MIN(0,E148+N(H148)),MAX(0,E148-N(H148)))</f>
      </c>
    </row>
    <row r="149" spans="1:10" x14ac:dyDescent="0.25">
      <c r="A149" s="94" t="s">
        <v>4</v>
      </c>
      <c r="B149" s="49" t="s">
        <v>53</v>
      </c>
      <c r="C149" s="49" t="s">
        <v>108</v>
      </c>
      <c r="D149" s="49" t="s">
        <v>234</v>
      </c>
      <c r="E149" s="51">
        <v>-8000000</v>
      </c>
      <c r="F149" s="51">
        <f>E149/'Reporting Hebdo'!$E$3</f>
      </c>
      <c r="G149" s="94" t="s">
        <v>212</v>
      </c>
      <c r="H149" s="95"/>
      <c r="I149" s="96"/>
      <c r="J149" s="51">
        <f>IF(E149&lt;0,MIN(0,E149+N(H149)),MAX(0,E149-N(H149)))</f>
      </c>
    </row>
    <row r="150" spans="1:10" x14ac:dyDescent="0.25">
      <c r="A150" s="94" t="s">
        <v>4</v>
      </c>
      <c r="B150" s="49" t="s">
        <v>53</v>
      </c>
      <c r="C150" s="49" t="s">
        <v>109</v>
      </c>
      <c r="D150" s="49" t="s">
        <v>237</v>
      </c>
      <c r="E150" s="51">
        <v>-30000</v>
      </c>
      <c r="F150" s="51">
        <f>E150/'Reporting Hebdo'!$E$3</f>
      </c>
      <c r="G150" s="94" t="s">
        <v>212</v>
      </c>
      <c r="H150" s="95"/>
      <c r="I150" s="96"/>
      <c r="J150" s="51">
        <f>IF(E150&lt;0,MIN(0,E150+N(H150)),MAX(0,E150-N(H150)))</f>
      </c>
    </row>
    <row r="151" spans="1:10" x14ac:dyDescent="0.25">
      <c r="A151" s="94" t="s">
        <v>4</v>
      </c>
      <c r="B151" s="49" t="s">
        <v>53</v>
      </c>
      <c r="C151" s="49" t="s">
        <v>109</v>
      </c>
      <c r="D151" s="49" t="s">
        <v>238</v>
      </c>
      <c r="E151" s="51">
        <v>-3200000</v>
      </c>
      <c r="F151" s="51">
        <f>E151/'Reporting Hebdo'!$E$3</f>
      </c>
      <c r="G151" s="94" t="s">
        <v>212</v>
      </c>
      <c r="H151" s="95"/>
      <c r="I151" s="96"/>
      <c r="J151" s="51">
        <f>IF(E151&lt;0,MIN(0,E151+N(H151)),MAX(0,E151-N(H151)))</f>
      </c>
    </row>
    <row r="152" spans="1:10" x14ac:dyDescent="0.25">
      <c r="A152" s="94" t="s">
        <v>4</v>
      </c>
      <c r="B152" s="49" t="s">
        <v>61</v>
      </c>
      <c r="C152" s="49" t="s">
        <v>108</v>
      </c>
      <c r="D152" s="49" t="s">
        <v>234</v>
      </c>
      <c r="E152" s="51">
        <v>-3000000</v>
      </c>
      <c r="F152" s="51">
        <f>E152/'Reporting Hebdo'!$E$3</f>
      </c>
      <c r="G152" s="94" t="s">
        <v>212</v>
      </c>
      <c r="H152" s="95"/>
      <c r="I152" s="96"/>
      <c r="J152" s="51">
        <f>IF(E152&lt;0,MIN(0,E152+N(H152)),MAX(0,E152-N(H152)))</f>
      </c>
    </row>
    <row r="153" spans="1:10" x14ac:dyDescent="0.25">
      <c r="A153" s="94" t="s">
        <v>4</v>
      </c>
      <c r="B153" s="49" t="s">
        <v>61</v>
      </c>
      <c r="C153" s="49" t="s">
        <v>109</v>
      </c>
      <c r="D153" s="49" t="s">
        <v>237</v>
      </c>
      <c r="E153" s="51">
        <v>-8000</v>
      </c>
      <c r="F153" s="51">
        <f>E153/'Reporting Hebdo'!$E$3</f>
      </c>
      <c r="G153" s="94" t="s">
        <v>212</v>
      </c>
      <c r="H153" s="95"/>
      <c r="I153" s="96"/>
      <c r="J153" s="51">
        <f>IF(E153&lt;0,MIN(0,E153+N(H153)),MAX(0,E153-N(H153)))</f>
      </c>
    </row>
    <row r="154" spans="1:10" x14ac:dyDescent="0.25">
      <c r="A154" s="94" t="s">
        <v>4</v>
      </c>
      <c r="B154" s="49" t="s">
        <v>61</v>
      </c>
      <c r="C154" s="49" t="s">
        <v>109</v>
      </c>
      <c r="D154" s="49" t="s">
        <v>238</v>
      </c>
      <c r="E154" s="51">
        <v>-960000</v>
      </c>
      <c r="F154" s="51">
        <f>E154/'Reporting Hebdo'!$E$3</f>
      </c>
      <c r="G154" s="94" t="s">
        <v>212</v>
      </c>
      <c r="H154" s="95"/>
      <c r="I154" s="96"/>
      <c r="J154" s="51">
        <f>IF(E154&lt;0,MIN(0,E154+N(H154)),MAX(0,E154-N(H154)))</f>
      </c>
    </row>
    <row r="155" spans="1:10" x14ac:dyDescent="0.25">
      <c r="A155" s="94" t="s">
        <v>5</v>
      </c>
      <c r="B155" s="49" t="s">
        <v>22</v>
      </c>
      <c r="C155" s="49" t="s">
        <v>109</v>
      </c>
      <c r="D155" s="49" t="s">
        <v>237</v>
      </c>
      <c r="E155" s="51">
        <v>-40000</v>
      </c>
      <c r="F155" s="51">
        <f>E155/'Reporting Hebdo'!$E$3</f>
      </c>
      <c r="G155" s="94" t="s">
        <v>212</v>
      </c>
      <c r="H155" s="95"/>
      <c r="I155" s="96"/>
      <c r="J155" s="51">
        <f>IF(E155&lt;0,MIN(0,E155+N(H155)),MAX(0,E155-N(H155)))</f>
      </c>
    </row>
    <row r="156" spans="1:10" x14ac:dyDescent="0.25">
      <c r="A156" s="94" t="s">
        <v>5</v>
      </c>
      <c r="B156" s="49" t="s">
        <v>22</v>
      </c>
      <c r="C156" s="49" t="s">
        <v>109</v>
      </c>
      <c r="D156" s="49" t="s">
        <v>238</v>
      </c>
      <c r="E156" s="51">
        <v>-3000000</v>
      </c>
      <c r="F156" s="51">
        <f>E156/'Reporting Hebdo'!$E$3</f>
      </c>
      <c r="G156" s="94" t="s">
        <v>212</v>
      </c>
      <c r="H156" s="95"/>
      <c r="I156" s="96"/>
      <c r="J156" s="51">
        <f>IF(E156&lt;0,MIN(0,E156+N(H156)),MAX(0,E156-N(H156)))</f>
      </c>
    </row>
    <row r="157" spans="1:10" x14ac:dyDescent="0.25">
      <c r="A157" s="94" t="s">
        <v>5</v>
      </c>
      <c r="B157" s="49" t="s">
        <v>22</v>
      </c>
      <c r="C157" s="49" t="s">
        <v>117</v>
      </c>
      <c r="D157" s="49" t="s">
        <v>302</v>
      </c>
      <c r="E157" s="51">
        <v>-21311647</v>
      </c>
      <c r="F157" s="51">
        <f>E157/'Reporting Hebdo'!$E$3</f>
      </c>
      <c r="G157" s="94" t="s">
        <v>212</v>
      </c>
      <c r="H157" s="95"/>
      <c r="I157" s="96"/>
      <c r="J157" s="51">
        <f>IF(E157&lt;0,MIN(0,E157+N(H157)),MAX(0,E157-N(H157)))</f>
      </c>
    </row>
    <row r="158" spans="1:10" x14ac:dyDescent="0.25">
      <c r="A158" s="94" t="s">
        <v>5</v>
      </c>
      <c r="B158" s="49" t="s">
        <v>29</v>
      </c>
      <c r="C158" s="49" t="s">
        <v>110</v>
      </c>
      <c r="D158" s="49" t="s">
        <v>249</v>
      </c>
      <c r="E158" s="51">
        <v>-104205329</v>
      </c>
      <c r="F158" s="51">
        <f>E158/'Reporting Hebdo'!$E$3</f>
      </c>
      <c r="G158" s="94" t="s">
        <v>212</v>
      </c>
      <c r="H158" s="95"/>
      <c r="I158" s="96"/>
      <c r="J158" s="51">
        <f>IF(E158&lt;0,MIN(0,E158+N(H158)),MAX(0,E158-N(H158)))</f>
      </c>
    </row>
    <row r="159" spans="1:10" x14ac:dyDescent="0.25">
      <c r="A159" s="94" t="s">
        <v>5</v>
      </c>
      <c r="B159" s="49" t="s">
        <v>36</v>
      </c>
      <c r="C159" s="49" t="s">
        <v>109</v>
      </c>
      <c r="D159" s="49" t="s">
        <v>237</v>
      </c>
      <c r="E159" s="51">
        <v>-1000</v>
      </c>
      <c r="F159" s="51">
        <f>E159/'Reporting Hebdo'!$E$3</f>
      </c>
      <c r="G159" s="94" t="s">
        <v>212</v>
      </c>
      <c r="H159" s="95"/>
      <c r="I159" s="96"/>
      <c r="J159" s="51">
        <f>IF(E159&lt;0,MIN(0,E159+N(H159)),MAX(0,E159-N(H159)))</f>
      </c>
    </row>
    <row r="160" spans="1:10" x14ac:dyDescent="0.25">
      <c r="A160" s="94" t="s">
        <v>5</v>
      </c>
      <c r="B160" s="49" t="s">
        <v>36</v>
      </c>
      <c r="C160" s="49" t="s">
        <v>109</v>
      </c>
      <c r="D160" s="49" t="s">
        <v>238</v>
      </c>
      <c r="E160" s="51">
        <v>-90000</v>
      </c>
      <c r="F160" s="51">
        <f>E160/'Reporting Hebdo'!$E$3</f>
      </c>
      <c r="G160" s="94" t="s">
        <v>212</v>
      </c>
      <c r="H160" s="95"/>
      <c r="I160" s="96"/>
      <c r="J160" s="51">
        <f>IF(E160&lt;0,MIN(0,E160+N(H160)),MAX(0,E160-N(H160)))</f>
      </c>
    </row>
    <row r="161" spans="1:10" x14ac:dyDescent="0.25">
      <c r="A161" s="94" t="s">
        <v>5</v>
      </c>
      <c r="B161" s="49" t="s">
        <v>39</v>
      </c>
      <c r="C161" s="49" t="s">
        <v>107</v>
      </c>
      <c r="D161" s="49" t="s">
        <v>303</v>
      </c>
      <c r="E161" s="51">
        <v>-7412668</v>
      </c>
      <c r="F161" s="51">
        <f>E161/'Reporting Hebdo'!$E$3</f>
      </c>
      <c r="G161" s="94" t="s">
        <v>212</v>
      </c>
      <c r="H161" s="95"/>
      <c r="I161" s="96"/>
      <c r="J161" s="51">
        <f>IF(E161&lt;0,MIN(0,E161+N(H161)),MAX(0,E161-N(H161)))</f>
      </c>
    </row>
    <row r="162" spans="1:10" x14ac:dyDescent="0.25">
      <c r="A162" s="94" t="s">
        <v>5</v>
      </c>
      <c r="B162" s="49" t="s">
        <v>39</v>
      </c>
      <c r="C162" s="49" t="s">
        <v>114</v>
      </c>
      <c r="D162" s="49" t="s">
        <v>297</v>
      </c>
      <c r="E162" s="51">
        <v>-10443000</v>
      </c>
      <c r="F162" s="51">
        <f>E162/'Reporting Hebdo'!$E$3</f>
      </c>
      <c r="G162" s="94" t="s">
        <v>212</v>
      </c>
      <c r="H162" s="95"/>
      <c r="I162" s="96"/>
      <c r="J162" s="51">
        <f>IF(E162&lt;0,MIN(0,E162+N(H162)),MAX(0,E162-N(H162)))</f>
      </c>
    </row>
    <row r="163" spans="1:10" x14ac:dyDescent="0.25">
      <c r="A163" s="94" t="s">
        <v>5</v>
      </c>
      <c r="B163" s="49" t="s">
        <v>39</v>
      </c>
      <c r="C163" s="49" t="s">
        <v>108</v>
      </c>
      <c r="D163" s="49" t="s">
        <v>304</v>
      </c>
      <c r="E163" s="51">
        <v>-17104196</v>
      </c>
      <c r="F163" s="51">
        <f>E163/'Reporting Hebdo'!$E$3</f>
      </c>
      <c r="G163" s="94" t="s">
        <v>212</v>
      </c>
      <c r="H163" s="95"/>
      <c r="I163" s="96"/>
      <c r="J163" s="51">
        <f>IF(E163&lt;0,MIN(0,E163+N(H163)),MAX(0,E163-N(H163)))</f>
      </c>
    </row>
    <row r="164" spans="1:10" x14ac:dyDescent="0.25">
      <c r="A164" s="94" t="s">
        <v>5</v>
      </c>
      <c r="B164" s="49" t="s">
        <v>39</v>
      </c>
      <c r="C164" s="49" t="s">
        <v>117</v>
      </c>
      <c r="D164" s="49" t="s">
        <v>305</v>
      </c>
      <c r="E164" s="51">
        <v>-11598990</v>
      </c>
      <c r="F164" s="51">
        <f>E164/'Reporting Hebdo'!$E$3</f>
      </c>
      <c r="G164" s="94" t="s">
        <v>212</v>
      </c>
      <c r="H164" s="95"/>
      <c r="I164" s="96"/>
      <c r="J164" s="51">
        <f>IF(E164&lt;0,MIN(0,E164+N(H164)),MAX(0,E164-N(H164)))</f>
      </c>
    </row>
    <row r="165" spans="1:10" x14ac:dyDescent="0.25">
      <c r="A165" s="94" t="s">
        <v>5</v>
      </c>
      <c r="B165" s="49" t="s">
        <v>39</v>
      </c>
      <c r="C165" s="49" t="s">
        <v>111</v>
      </c>
      <c r="D165" s="49" t="s">
        <v>306</v>
      </c>
      <c r="E165" s="51">
        <v>59000000</v>
      </c>
      <c r="F165" s="51">
        <f>E165/'Reporting Hebdo'!$E$3</f>
      </c>
      <c r="G165" s="94" t="s">
        <v>212</v>
      </c>
      <c r="H165" s="95"/>
      <c r="I165" s="96"/>
      <c r="J165" s="51">
        <f>IF(E165&lt;0,MIN(0,E165+N(H165)),MAX(0,E165-N(H165)))</f>
      </c>
    </row>
    <row r="166" spans="1:10" x14ac:dyDescent="0.25">
      <c r="A166" s="94" t="s">
        <v>5</v>
      </c>
      <c r="B166" s="49" t="s">
        <v>46</v>
      </c>
      <c r="C166" s="49" t="s">
        <v>109</v>
      </c>
      <c r="D166" s="49" t="s">
        <v>237</v>
      </c>
      <c r="E166" s="51">
        <v>-60000</v>
      </c>
      <c r="F166" s="51">
        <f>E166/'Reporting Hebdo'!$E$3</f>
      </c>
      <c r="G166" s="94" t="s">
        <v>212</v>
      </c>
      <c r="H166" s="95"/>
      <c r="I166" s="96"/>
      <c r="J166" s="51">
        <f>IF(E166&lt;0,MIN(0,E166+N(H166)),MAX(0,E166-N(H166)))</f>
      </c>
    </row>
    <row r="167" spans="1:10" x14ac:dyDescent="0.25">
      <c r="A167" s="94" t="s">
        <v>5</v>
      </c>
      <c r="B167" s="49" t="s">
        <v>46</v>
      </c>
      <c r="C167" s="49" t="s">
        <v>109</v>
      </c>
      <c r="D167" s="49" t="s">
        <v>238</v>
      </c>
      <c r="E167" s="51">
        <v>-4000000</v>
      </c>
      <c r="F167" s="51">
        <f>E167/'Reporting Hebdo'!$E$3</f>
      </c>
      <c r="G167" s="94" t="s">
        <v>212</v>
      </c>
      <c r="H167" s="95"/>
      <c r="I167" s="96"/>
      <c r="J167" s="51">
        <f>IF(E167&lt;0,MIN(0,E167+N(H167)),MAX(0,E167-N(H167)))</f>
      </c>
    </row>
    <row r="168" spans="1:10" x14ac:dyDescent="0.25">
      <c r="A168" s="94" t="s">
        <v>5</v>
      </c>
      <c r="B168" s="49" t="s">
        <v>46</v>
      </c>
      <c r="C168" s="49" t="s">
        <v>117</v>
      </c>
      <c r="D168" s="49" t="s">
        <v>302</v>
      </c>
      <c r="E168" s="51">
        <v>-38477044</v>
      </c>
      <c r="F168" s="51">
        <f>E168/'Reporting Hebdo'!$E$3</f>
      </c>
      <c r="G168" s="94" t="s">
        <v>212</v>
      </c>
      <c r="H168" s="95"/>
      <c r="I168" s="96"/>
      <c r="J168" s="51">
        <f>IF(E168&lt;0,MIN(0,E168+N(H168)),MAX(0,E168-N(H168)))</f>
      </c>
    </row>
    <row r="169" spans="1:10" x14ac:dyDescent="0.25">
      <c r="A169" s="94" t="s">
        <v>5</v>
      </c>
      <c r="B169" s="49" t="s">
        <v>53</v>
      </c>
      <c r="C169" s="49" t="s">
        <v>109</v>
      </c>
      <c r="D169" s="49" t="s">
        <v>237</v>
      </c>
      <c r="E169" s="51">
        <v>-30000</v>
      </c>
      <c r="F169" s="51">
        <f>E169/'Reporting Hebdo'!$E$3</f>
      </c>
      <c r="G169" s="94" t="s">
        <v>212</v>
      </c>
      <c r="H169" s="95"/>
      <c r="I169" s="96"/>
      <c r="J169" s="51">
        <f>IF(E169&lt;0,MIN(0,E169+N(H169)),MAX(0,E169-N(H169)))</f>
      </c>
    </row>
    <row r="170" spans="1:10" x14ac:dyDescent="0.25">
      <c r="A170" s="94" t="s">
        <v>5</v>
      </c>
      <c r="B170" s="49" t="s">
        <v>53</v>
      </c>
      <c r="C170" s="49" t="s">
        <v>109</v>
      </c>
      <c r="D170" s="49" t="s">
        <v>238</v>
      </c>
      <c r="E170" s="51">
        <v>-3200000</v>
      </c>
      <c r="F170" s="51">
        <f>E170/'Reporting Hebdo'!$E$3</f>
      </c>
      <c r="G170" s="94" t="s">
        <v>212</v>
      </c>
      <c r="H170" s="95"/>
      <c r="I170" s="96"/>
      <c r="J170" s="51">
        <f>IF(E170&lt;0,MIN(0,E170+N(H170)),MAX(0,E170-N(H170)))</f>
      </c>
    </row>
    <row r="171" spans="1:10" x14ac:dyDescent="0.25">
      <c r="A171" s="94" t="s">
        <v>5</v>
      </c>
      <c r="B171" s="49" t="s">
        <v>53</v>
      </c>
      <c r="C171" s="49" t="s">
        <v>117</v>
      </c>
      <c r="D171" s="49" t="s">
        <v>302</v>
      </c>
      <c r="E171" s="51">
        <v>-26000000</v>
      </c>
      <c r="F171" s="51">
        <f>E171/'Reporting Hebdo'!$E$3</f>
      </c>
      <c r="G171" s="94" t="s">
        <v>212</v>
      </c>
      <c r="H171" s="95"/>
      <c r="I171" s="96"/>
      <c r="J171" s="51">
        <f>IF(E171&lt;0,MIN(0,E171+N(H171)),MAX(0,E171-N(H171)))</f>
      </c>
    </row>
    <row r="172" spans="1:10" x14ac:dyDescent="0.25">
      <c r="A172" s="94" t="s">
        <v>5</v>
      </c>
      <c r="B172" s="49" t="s">
        <v>61</v>
      </c>
      <c r="C172" s="49" t="s">
        <v>109</v>
      </c>
      <c r="D172" s="49" t="s">
        <v>237</v>
      </c>
      <c r="E172" s="51">
        <v>-8000</v>
      </c>
      <c r="F172" s="51">
        <f>E172/'Reporting Hebdo'!$E$3</f>
      </c>
      <c r="G172" s="94" t="s">
        <v>212</v>
      </c>
      <c r="H172" s="95"/>
      <c r="I172" s="96"/>
      <c r="J172" s="51">
        <f>IF(E172&lt;0,MIN(0,E172+N(H172)),MAX(0,E172-N(H172)))</f>
      </c>
    </row>
    <row r="173" spans="1:10" x14ac:dyDescent="0.25">
      <c r="A173" s="94" t="s">
        <v>5</v>
      </c>
      <c r="B173" s="49" t="s">
        <v>61</v>
      </c>
      <c r="C173" s="49" t="s">
        <v>109</v>
      </c>
      <c r="D173" s="49" t="s">
        <v>238</v>
      </c>
      <c r="E173" s="51">
        <v>-960000</v>
      </c>
      <c r="F173" s="51">
        <f>E173/'Reporting Hebdo'!$E$3</f>
      </c>
      <c r="G173" s="94" t="s">
        <v>212</v>
      </c>
      <c r="H173" s="95"/>
      <c r="I173" s="96"/>
      <c r="J173" s="51">
        <f>IF(E173&lt;0,MIN(0,E173+N(H173)),MAX(0,E173-N(H173)))</f>
      </c>
    </row>
    <row r="174" spans="1:10" x14ac:dyDescent="0.25">
      <c r="A174" s="94" t="s">
        <v>6</v>
      </c>
      <c r="B174" s="49" t="s">
        <v>39</v>
      </c>
      <c r="C174" s="49" t="s">
        <v>107</v>
      </c>
      <c r="D174" s="49" t="s">
        <v>307</v>
      </c>
      <c r="E174" s="51">
        <v>-9705500</v>
      </c>
      <c r="F174" s="51">
        <f>E174/'Reporting Hebdo'!$E$3</f>
      </c>
      <c r="G174" s="94" t="s">
        <v>212</v>
      </c>
      <c r="H174" s="95"/>
      <c r="I174" s="96"/>
      <c r="J174" s="51">
        <f>IF(E174&lt;0,MIN(0,E174+N(H174)),MAX(0,E174-N(H174)))</f>
      </c>
    </row>
    <row r="175" spans="1:10" x14ac:dyDescent="0.25">
      <c r="A175" s="94" t="s">
        <v>6</v>
      </c>
      <c r="B175" s="49" t="s">
        <v>39</v>
      </c>
      <c r="C175" s="49" t="s">
        <v>107</v>
      </c>
      <c r="D175" s="49" t="s">
        <v>308</v>
      </c>
      <c r="E175" s="51">
        <v>-876739</v>
      </c>
      <c r="F175" s="51">
        <f>E175/'Reporting Hebdo'!$E$3</f>
      </c>
      <c r="G175" s="94" t="s">
        <v>212</v>
      </c>
      <c r="H175" s="95"/>
      <c r="I175" s="96"/>
      <c r="J175" s="51">
        <f>IF(E175&lt;0,MIN(0,E175+N(H175)),MAX(0,E175-N(H175)))</f>
      </c>
    </row>
    <row r="176" spans="1:10" x14ac:dyDescent="0.25">
      <c r="A176" s="94" t="s">
        <v>6</v>
      </c>
      <c r="B176" s="49" t="s">
        <v>39</v>
      </c>
      <c r="C176" s="49" t="s">
        <v>107</v>
      </c>
      <c r="D176" s="49" t="s">
        <v>261</v>
      </c>
      <c r="E176" s="51">
        <v>-15000000</v>
      </c>
      <c r="F176" s="51">
        <f>E176/'Reporting Hebdo'!$E$3</f>
      </c>
      <c r="G176" s="94" t="s">
        <v>212</v>
      </c>
      <c r="H176" s="95"/>
      <c r="I176" s="96"/>
      <c r="J176" s="51">
        <f>IF(E176&lt;0,MIN(0,E176+N(H176)),MAX(0,E176-N(H176)))</f>
      </c>
    </row>
    <row r="177" spans="1:10" x14ac:dyDescent="0.25">
      <c r="A177" s="94" t="s">
        <v>6</v>
      </c>
      <c r="B177" s="49" t="s">
        <v>39</v>
      </c>
      <c r="C177" s="49" t="s">
        <v>114</v>
      </c>
      <c r="D177" s="49" t="s">
        <v>309</v>
      </c>
      <c r="E177" s="51">
        <v>-1470000</v>
      </c>
      <c r="F177" s="51">
        <f>E177/'Reporting Hebdo'!$E$3</f>
      </c>
      <c r="G177" s="94" t="s">
        <v>212</v>
      </c>
      <c r="H177" s="95"/>
      <c r="I177" s="96"/>
      <c r="J177" s="51">
        <f>IF(E177&lt;0,MIN(0,E177+N(H177)),MAX(0,E177-N(H177)))</f>
      </c>
    </row>
    <row r="178" spans="1:10" x14ac:dyDescent="0.25">
      <c r="A178" s="94" t="s">
        <v>7</v>
      </c>
      <c r="B178" s="49" t="s">
        <v>39</v>
      </c>
      <c r="C178" s="49" t="s">
        <v>107</v>
      </c>
      <c r="D178" s="49" t="s">
        <v>310</v>
      </c>
      <c r="E178" s="51">
        <v>-63600000</v>
      </c>
      <c r="F178" s="51">
        <f>E178/'Reporting Hebdo'!$E$3</f>
      </c>
      <c r="G178" s="94" t="s">
        <v>212</v>
      </c>
      <c r="H178" s="95"/>
      <c r="I178" s="96"/>
      <c r="J178" s="51">
        <f>IF(E178&lt;0,MIN(0,E178+N(H178)),MAX(0,E178-N(H178)))</f>
      </c>
    </row>
    <row r="179" spans="1:10" x14ac:dyDescent="0.25">
      <c r="A179" s="94" t="s">
        <v>7</v>
      </c>
      <c r="B179" s="49" t="s">
        <v>39</v>
      </c>
      <c r="C179" s="49" t="s">
        <v>107</v>
      </c>
      <c r="D179" s="49" t="s">
        <v>311</v>
      </c>
      <c r="E179" s="51">
        <v>-784080</v>
      </c>
      <c r="F179" s="51">
        <f>E179/'Reporting Hebdo'!$E$3</f>
      </c>
      <c r="G179" s="94" t="s">
        <v>212</v>
      </c>
      <c r="H179" s="95"/>
      <c r="I179" s="96"/>
      <c r="J179" s="51">
        <f>IF(E179&lt;0,MIN(0,E179+N(H179)),MAX(0,E179-N(H179)))</f>
      </c>
    </row>
    <row r="180" spans="1:10" x14ac:dyDescent="0.25">
      <c r="A180" s="94" t="s">
        <v>312</v>
      </c>
      <c r="B180" s="49" t="s">
        <v>39</v>
      </c>
      <c r="C180" s="49" t="s">
        <v>107</v>
      </c>
      <c r="D180" s="49" t="s">
        <v>295</v>
      </c>
      <c r="E180" s="51">
        <v>-2297039</v>
      </c>
      <c r="F180" s="51">
        <f>E180/'Reporting Hebdo'!$E$3</f>
      </c>
      <c r="G180" s="94" t="s">
        <v>212</v>
      </c>
      <c r="H180" s="95"/>
      <c r="I180" s="96"/>
      <c r="J180" s="51">
        <f>IF(E180&lt;0,MIN(0,E180+N(H180)),MAX(0,E180-N(H180)))</f>
      </c>
    </row>
    <row r="181" spans="1:10" x14ac:dyDescent="0.25">
      <c r="A181" s="94" t="s">
        <v>312</v>
      </c>
      <c r="B181" s="49" t="s">
        <v>39</v>
      </c>
      <c r="C181" s="49" t="s">
        <v>109</v>
      </c>
      <c r="D181" s="49" t="s">
        <v>299</v>
      </c>
      <c r="E181" s="51">
        <v>-3090871</v>
      </c>
      <c r="F181" s="51">
        <f>E181/'Reporting Hebdo'!$E$3</f>
      </c>
      <c r="G181" s="94" t="s">
        <v>212</v>
      </c>
      <c r="H181" s="95"/>
      <c r="I181" s="96"/>
      <c r="J181" s="51">
        <f>IF(E181&lt;0,MIN(0,E181+N(H181)),MAX(0,E181-N(H181)))</f>
      </c>
    </row>
    <row r="182" spans="1:10" x14ac:dyDescent="0.25">
      <c r="A182" s="97" t="s">
        <v>3</v>
      </c>
      <c r="B182" s="98" t="s">
        <v>22</v>
      </c>
      <c r="C182" s="98" t="s">
        <v>107</v>
      </c>
      <c r="D182" s="98" t="s">
        <v>313</v>
      </c>
      <c r="E182" s="99">
        <v>-6540976</v>
      </c>
      <c r="F182" s="99">
        <f>E182/'Reporting Hebdo'!$E$3</f>
      </c>
      <c r="G182" s="97" t="s">
        <v>314</v>
      </c>
      <c r="H182" s="100"/>
      <c r="I182" s="101"/>
      <c r="J182" s="51">
        <f>IF(E182&lt;0,MIN(0,E182+N(H182)),MAX(0,E182-N(H182)))</f>
      </c>
    </row>
    <row r="183" spans="1:10" x14ac:dyDescent="0.25">
      <c r="A183" s="97" t="s">
        <v>3</v>
      </c>
      <c r="B183" s="98" t="s">
        <v>22</v>
      </c>
      <c r="C183" s="98" t="s">
        <v>107</v>
      </c>
      <c r="D183" s="98" t="s">
        <v>315</v>
      </c>
      <c r="E183" s="99">
        <v>-761565</v>
      </c>
      <c r="F183" s="99">
        <f>E183/'Reporting Hebdo'!$E$3</f>
      </c>
      <c r="G183" s="97" t="s">
        <v>314</v>
      </c>
      <c r="H183" s="100"/>
      <c r="I183" s="101"/>
      <c r="J183" s="51">
        <f>IF(E183&lt;0,MIN(0,E183+N(H183)),MAX(0,E183-N(H183)))</f>
      </c>
    </row>
    <row r="184" spans="1:10" x14ac:dyDescent="0.25">
      <c r="A184" s="97" t="s">
        <v>3</v>
      </c>
      <c r="B184" s="98" t="s">
        <v>22</v>
      </c>
      <c r="C184" s="98" t="s">
        <v>107</v>
      </c>
      <c r="D184" s="98" t="s">
        <v>316</v>
      </c>
      <c r="E184" s="99">
        <v>-26238280</v>
      </c>
      <c r="F184" s="99">
        <f>E184/'Reporting Hebdo'!$E$3</f>
      </c>
      <c r="G184" s="97" t="s">
        <v>314</v>
      </c>
      <c r="H184" s="100"/>
      <c r="I184" s="101"/>
      <c r="J184" s="51">
        <f>IF(E184&lt;0,MIN(0,E184+N(H184)),MAX(0,E184-N(H184)))</f>
      </c>
    </row>
    <row r="185" spans="1:10" x14ac:dyDescent="0.25">
      <c r="A185" s="97" t="s">
        <v>3</v>
      </c>
      <c r="B185" s="98" t="s">
        <v>22</v>
      </c>
      <c r="C185" s="98" t="s">
        <v>107</v>
      </c>
      <c r="D185" s="98" t="s">
        <v>317</v>
      </c>
      <c r="E185" s="99">
        <v>-910000</v>
      </c>
      <c r="F185" s="99">
        <f>E185/'Reporting Hebdo'!$E$3</f>
      </c>
      <c r="G185" s="97" t="s">
        <v>314</v>
      </c>
      <c r="H185" s="100"/>
      <c r="I185" s="101"/>
      <c r="J185" s="51">
        <f>IF(E185&lt;0,MIN(0,E185+N(H185)),MAX(0,E185-N(H185)))</f>
      </c>
    </row>
    <row r="186" spans="1:10" x14ac:dyDescent="0.25">
      <c r="A186" s="97" t="s">
        <v>3</v>
      </c>
      <c r="B186" s="98" t="s">
        <v>22</v>
      </c>
      <c r="C186" s="98" t="s">
        <v>107</v>
      </c>
      <c r="D186" s="98" t="s">
        <v>318</v>
      </c>
      <c r="E186" s="99">
        <v>-1318473</v>
      </c>
      <c r="F186" s="99">
        <f>E186/'Reporting Hebdo'!$E$3</f>
      </c>
      <c r="G186" s="97" t="s">
        <v>314</v>
      </c>
      <c r="H186" s="100"/>
      <c r="I186" s="101"/>
      <c r="J186" s="51">
        <f>IF(E186&lt;0,MIN(0,E186+N(H186)),MAX(0,E186-N(H186)))</f>
      </c>
    </row>
    <row r="187" spans="1:10" x14ac:dyDescent="0.25">
      <c r="A187" s="97" t="s">
        <v>3</v>
      </c>
      <c r="B187" s="98" t="s">
        <v>22</v>
      </c>
      <c r="C187" s="98" t="s">
        <v>107</v>
      </c>
      <c r="D187" s="98" t="s">
        <v>319</v>
      </c>
      <c r="E187" s="99">
        <v>-62745367</v>
      </c>
      <c r="F187" s="99">
        <f>E187/'Reporting Hebdo'!$E$3</f>
      </c>
      <c r="G187" s="97" t="s">
        <v>314</v>
      </c>
      <c r="H187" s="100"/>
      <c r="I187" s="101"/>
      <c r="J187" s="51">
        <f>IF(E187&lt;0,MIN(0,E187+N(H187)),MAX(0,E187-N(H187)))</f>
      </c>
    </row>
    <row r="188" spans="1:10" x14ac:dyDescent="0.25">
      <c r="A188" s="97" t="s">
        <v>3</v>
      </c>
      <c r="B188" s="98" t="s">
        <v>22</v>
      </c>
      <c r="C188" s="98" t="s">
        <v>161</v>
      </c>
      <c r="D188" s="98" t="s">
        <v>320</v>
      </c>
      <c r="E188" s="99">
        <v>-15365000</v>
      </c>
      <c r="F188" s="99">
        <f>E188/'Reporting Hebdo'!$E$3</f>
      </c>
      <c r="G188" s="97" t="s">
        <v>314</v>
      </c>
      <c r="H188" s="100"/>
      <c r="I188" s="101"/>
      <c r="J188" s="51">
        <f>IF(E188&lt;0,MIN(0,E188+N(H188)),MAX(0,E188-N(H188)))</f>
      </c>
    </row>
    <row r="189" spans="1:10" x14ac:dyDescent="0.25">
      <c r="A189" s="97" t="s">
        <v>3</v>
      </c>
      <c r="B189" s="98" t="s">
        <v>29</v>
      </c>
      <c r="C189" s="98" t="s">
        <v>107</v>
      </c>
      <c r="D189" s="98" t="s">
        <v>321</v>
      </c>
      <c r="E189" s="99">
        <v>-3679785</v>
      </c>
      <c r="F189" s="99">
        <f>E189/'Reporting Hebdo'!$E$3</f>
      </c>
      <c r="G189" s="97" t="s">
        <v>314</v>
      </c>
      <c r="H189" s="100"/>
      <c r="I189" s="101"/>
      <c r="J189" s="51">
        <f>IF(E189&lt;0,MIN(0,E189+N(H189)),MAX(0,E189-N(H189)))</f>
      </c>
    </row>
    <row r="190" spans="1:10" x14ac:dyDescent="0.25">
      <c r="A190" s="97" t="s">
        <v>3</v>
      </c>
      <c r="B190" s="98" t="s">
        <v>33</v>
      </c>
      <c r="C190" s="98" t="s">
        <v>107</v>
      </c>
      <c r="D190" s="98" t="s">
        <v>322</v>
      </c>
      <c r="E190" s="99">
        <v>-283242233</v>
      </c>
      <c r="F190" s="99">
        <f>E190/'Reporting Hebdo'!$E$3</f>
      </c>
      <c r="G190" s="97" t="s">
        <v>314</v>
      </c>
      <c r="H190" s="100"/>
      <c r="I190" s="101"/>
      <c r="J190" s="51">
        <f>IF(E190&lt;0,MIN(0,E190+N(H190)),MAX(0,E190-N(H190)))</f>
      </c>
    </row>
    <row r="191" spans="1:10" x14ac:dyDescent="0.25">
      <c r="A191" s="97" t="s">
        <v>3</v>
      </c>
      <c r="B191" s="98" t="s">
        <v>33</v>
      </c>
      <c r="C191" s="98" t="s">
        <v>107</v>
      </c>
      <c r="D191" s="98" t="s">
        <v>323</v>
      </c>
      <c r="E191" s="99">
        <v>-8594077952</v>
      </c>
      <c r="F191" s="99">
        <f>E191/'Reporting Hebdo'!$E$3</f>
      </c>
      <c r="G191" s="97" t="s">
        <v>314</v>
      </c>
      <c r="H191" s="100"/>
      <c r="I191" s="101"/>
      <c r="J191" s="51">
        <f>IF(E191&lt;0,MIN(0,E191+N(H191)),MAX(0,E191-N(H191)))</f>
      </c>
    </row>
    <row r="192" spans="1:10" x14ac:dyDescent="0.25">
      <c r="A192" s="97" t="s">
        <v>3</v>
      </c>
      <c r="B192" s="98" t="s">
        <v>33</v>
      </c>
      <c r="C192" s="98" t="s">
        <v>161</v>
      </c>
      <c r="D192" s="98" t="s">
        <v>320</v>
      </c>
      <c r="E192" s="99">
        <v>-860588775</v>
      </c>
      <c r="F192" s="99">
        <f>E192/'Reporting Hebdo'!$E$3</f>
      </c>
      <c r="G192" s="97" t="s">
        <v>314</v>
      </c>
      <c r="H192" s="100"/>
      <c r="I192" s="101"/>
      <c r="J192" s="51">
        <f>IF(E192&lt;0,MIN(0,E192+N(H192)),MAX(0,E192-N(H192)))</f>
      </c>
    </row>
    <row r="193" spans="1:10" x14ac:dyDescent="0.25">
      <c r="A193" s="97" t="s">
        <v>3</v>
      </c>
      <c r="B193" s="98" t="s">
        <v>36</v>
      </c>
      <c r="C193" s="98" t="s">
        <v>107</v>
      </c>
      <c r="D193" s="98" t="s">
        <v>324</v>
      </c>
      <c r="E193" s="99">
        <v>-3728238700</v>
      </c>
      <c r="F193" s="99">
        <f>E193/'Reporting Hebdo'!$E$3</f>
      </c>
      <c r="G193" s="97" t="s">
        <v>314</v>
      </c>
      <c r="H193" s="100"/>
      <c r="I193" s="101"/>
      <c r="J193" s="51">
        <f>IF(E193&lt;0,MIN(0,E193+N(H193)),MAX(0,E193-N(H193)))</f>
      </c>
    </row>
    <row r="194" spans="1:10" x14ac:dyDescent="0.25">
      <c r="A194" s="97" t="s">
        <v>3</v>
      </c>
      <c r="B194" s="98" t="s">
        <v>36</v>
      </c>
      <c r="C194" s="98" t="s">
        <v>107</v>
      </c>
      <c r="D194" s="98" t="s">
        <v>322</v>
      </c>
      <c r="E194" s="99">
        <v>-405477195</v>
      </c>
      <c r="F194" s="99">
        <f>E194/'Reporting Hebdo'!$E$3</f>
      </c>
      <c r="G194" s="97" t="s">
        <v>314</v>
      </c>
      <c r="H194" s="100"/>
      <c r="I194" s="101"/>
      <c r="J194" s="51">
        <f>IF(E194&lt;0,MIN(0,E194+N(H194)),MAX(0,E194-N(H194)))</f>
      </c>
    </row>
    <row r="195" spans="1:10" x14ac:dyDescent="0.25">
      <c r="A195" s="97" t="s">
        <v>3</v>
      </c>
      <c r="B195" s="98" t="s">
        <v>36</v>
      </c>
      <c r="C195" s="98" t="s">
        <v>161</v>
      </c>
      <c r="D195" s="98" t="s">
        <v>320</v>
      </c>
      <c r="E195" s="99">
        <v>-810588775</v>
      </c>
      <c r="F195" s="99">
        <f>E195/'Reporting Hebdo'!$E$3</f>
      </c>
      <c r="G195" s="97" t="s">
        <v>314</v>
      </c>
      <c r="H195" s="100"/>
      <c r="I195" s="101"/>
      <c r="J195" s="51">
        <f>IF(E195&lt;0,MIN(0,E195+N(H195)),MAX(0,E195-N(H195)))</f>
      </c>
    </row>
    <row r="196" spans="1:10" x14ac:dyDescent="0.25">
      <c r="A196" s="97" t="s">
        <v>3</v>
      </c>
      <c r="B196" s="98" t="s">
        <v>46</v>
      </c>
      <c r="C196" s="98" t="s">
        <v>107</v>
      </c>
      <c r="D196" s="98" t="s">
        <v>325</v>
      </c>
      <c r="E196" s="99">
        <v>-906277</v>
      </c>
      <c r="F196" s="99">
        <f>E196/'Reporting Hebdo'!$E$3</f>
      </c>
      <c r="G196" s="97" t="s">
        <v>314</v>
      </c>
      <c r="H196" s="100"/>
      <c r="I196" s="101"/>
      <c r="J196" s="51">
        <f>IF(E196&lt;0,MIN(0,E196+N(H196)),MAX(0,E196-N(H196)))</f>
      </c>
    </row>
    <row r="197" spans="1:10" x14ac:dyDescent="0.25">
      <c r="A197" s="97" t="s">
        <v>3</v>
      </c>
      <c r="B197" s="98" t="s">
        <v>46</v>
      </c>
      <c r="C197" s="98" t="s">
        <v>107</v>
      </c>
      <c r="D197" s="98" t="s">
        <v>323</v>
      </c>
      <c r="E197" s="99">
        <v>-15231224</v>
      </c>
      <c r="F197" s="99">
        <f>E197/'Reporting Hebdo'!$E$3</f>
      </c>
      <c r="G197" s="97" t="s">
        <v>314</v>
      </c>
      <c r="H197" s="100"/>
      <c r="I197" s="101"/>
      <c r="J197" s="51">
        <f>IF(E197&lt;0,MIN(0,E197+N(H197)),MAX(0,E197-N(H197)))</f>
      </c>
    </row>
    <row r="198" spans="1:10" x14ac:dyDescent="0.25">
      <c r="A198" s="97" t="s">
        <v>3</v>
      </c>
      <c r="B198" s="98" t="s">
        <v>46</v>
      </c>
      <c r="C198" s="98" t="s">
        <v>107</v>
      </c>
      <c r="D198" s="98" t="s">
        <v>319</v>
      </c>
      <c r="E198" s="99">
        <v>-109014663</v>
      </c>
      <c r="F198" s="99">
        <f>E198/'Reporting Hebdo'!$E$3</f>
      </c>
      <c r="G198" s="97" t="s">
        <v>314</v>
      </c>
      <c r="H198" s="100"/>
      <c r="I198" s="101"/>
      <c r="J198" s="51">
        <f>IF(E198&lt;0,MIN(0,E198+N(H198)),MAX(0,E198-N(H198)))</f>
      </c>
    </row>
    <row r="199" spans="1:10" x14ac:dyDescent="0.25">
      <c r="A199" s="97" t="s">
        <v>3</v>
      </c>
      <c r="B199" s="98" t="s">
        <v>50</v>
      </c>
      <c r="C199" s="98" t="s">
        <v>161</v>
      </c>
      <c r="D199" s="98" t="s">
        <v>320</v>
      </c>
      <c r="E199" s="99">
        <v>-14400000</v>
      </c>
      <c r="F199" s="99">
        <f>E199/'Reporting Hebdo'!$E$3</f>
      </c>
      <c r="G199" s="97" t="s">
        <v>314</v>
      </c>
      <c r="H199" s="100"/>
      <c r="I199" s="101"/>
      <c r="J199" s="51">
        <f>IF(E199&lt;0,MIN(0,E199+N(H199)),MAX(0,E199-N(H199)))</f>
      </c>
    </row>
    <row r="200" spans="1:10" x14ac:dyDescent="0.25">
      <c r="A200" s="97" t="s">
        <v>3</v>
      </c>
      <c r="B200" s="98" t="s">
        <v>53</v>
      </c>
      <c r="C200" s="98" t="s">
        <v>107</v>
      </c>
      <c r="D200" s="98" t="s">
        <v>326</v>
      </c>
      <c r="E200" s="99">
        <v>-13000000</v>
      </c>
      <c r="F200" s="99">
        <f>E200/'Reporting Hebdo'!$E$3</f>
      </c>
      <c r="G200" s="97" t="s">
        <v>314</v>
      </c>
      <c r="H200" s="100"/>
      <c r="I200" s="101"/>
      <c r="J200" s="51">
        <f>IF(E200&lt;0,MIN(0,E200+N(H200)),MAX(0,E200-N(H200)))</f>
      </c>
    </row>
    <row r="201" spans="1:10" x14ac:dyDescent="0.25">
      <c r="A201" s="97" t="s">
        <v>3</v>
      </c>
      <c r="B201" s="98" t="s">
        <v>53</v>
      </c>
      <c r="C201" s="98" t="s">
        <v>161</v>
      </c>
      <c r="D201" s="98" t="s">
        <v>320</v>
      </c>
      <c r="E201" s="99">
        <v>-14400000</v>
      </c>
      <c r="F201" s="99">
        <f>E201/'Reporting Hebdo'!$E$3</f>
      </c>
      <c r="G201" s="97" t="s">
        <v>314</v>
      </c>
      <c r="H201" s="100"/>
      <c r="I201" s="101"/>
      <c r="J201" s="51">
        <f>IF(E201&lt;0,MIN(0,E201+N(H201)),MAX(0,E201-N(H201)))</f>
      </c>
    </row>
    <row r="202" spans="1:10" x14ac:dyDescent="0.25">
      <c r="A202" s="97" t="s">
        <v>3</v>
      </c>
      <c r="B202" s="98" t="s">
        <v>59</v>
      </c>
      <c r="C202" s="98" t="s">
        <v>107</v>
      </c>
      <c r="D202" s="98" t="s">
        <v>327</v>
      </c>
      <c r="E202" s="99">
        <v>-1115127</v>
      </c>
      <c r="F202" s="99">
        <f>E202/'Reporting Hebdo'!$E$3</f>
      </c>
      <c r="G202" s="97" t="s">
        <v>314</v>
      </c>
      <c r="H202" s="100"/>
      <c r="I202" s="101"/>
      <c r="J202" s="51">
        <f>IF(E202&lt;0,MIN(0,E202+N(H202)),MAX(0,E202-N(H202)))</f>
      </c>
    </row>
    <row r="203" spans="1:10" x14ac:dyDescent="0.25">
      <c r="A203" s="97" t="s">
        <v>3</v>
      </c>
      <c r="B203" s="98" t="s">
        <v>59</v>
      </c>
      <c r="C203" s="98" t="s">
        <v>107</v>
      </c>
      <c r="D203" s="98" t="s">
        <v>328</v>
      </c>
      <c r="E203" s="99">
        <v>-1705487</v>
      </c>
      <c r="F203" s="99">
        <f>E203/'Reporting Hebdo'!$E$3</f>
      </c>
      <c r="G203" s="97" t="s">
        <v>314</v>
      </c>
      <c r="H203" s="100"/>
      <c r="I203" s="101"/>
      <c r="J203" s="51">
        <f>IF(E203&lt;0,MIN(0,E203+N(H203)),MAX(0,E203-N(H203)))</f>
      </c>
    </row>
    <row r="204" spans="1:10" x14ac:dyDescent="0.25">
      <c r="A204" s="97" t="s">
        <v>4</v>
      </c>
      <c r="B204" s="98" t="s">
        <v>29</v>
      </c>
      <c r="C204" s="98" t="s">
        <v>111</v>
      </c>
      <c r="D204" s="98" t="s">
        <v>329</v>
      </c>
      <c r="E204" s="99">
        <v>6113285</v>
      </c>
      <c r="F204" s="99">
        <f>E204/'Reporting Hebdo'!$E$3</f>
      </c>
      <c r="G204" s="97" t="s">
        <v>314</v>
      </c>
      <c r="H204" s="100"/>
      <c r="I204" s="101"/>
      <c r="J204" s="51">
        <f>IF(E204&lt;0,MIN(0,E204+N(H204)),MAX(0,E204-N(H204)))</f>
      </c>
    </row>
    <row r="205" spans="8:10" x14ac:dyDescent="0.25">
      <c r="H205" s="102"/>
      <c r="I205" s="102"/>
      <c r="J205" s="103">
        <f>IF(E205&lt;0,MIN(0,E205+N(H205)),MAX(0,E205-N(H205)))</f>
      </c>
    </row>
    <row r="206" spans="8:10" x14ac:dyDescent="0.25">
      <c r="H206" s="102"/>
      <c r="I206" s="102"/>
      <c r="J206" s="103">
        <f>IF(E206&lt;0,MIN(0,E206+N(H206)),MAX(0,E206-N(H206)))</f>
      </c>
    </row>
    <row r="207" spans="8:10" x14ac:dyDescent="0.25">
      <c r="H207" s="102"/>
      <c r="I207" s="102"/>
      <c r="J207" s="103">
        <f>IF(E207&lt;0,MIN(0,E207+N(H207)),MAX(0,E207-N(H207)))</f>
      </c>
    </row>
    <row r="208" spans="8:10" x14ac:dyDescent="0.25">
      <c r="H208" s="102"/>
      <c r="I208" s="102"/>
      <c r="J208" s="103">
        <f>IF(E208&lt;0,MIN(0,E208+N(H208)),MAX(0,E208-N(H208)))</f>
      </c>
    </row>
    <row r="209" spans="8:10" x14ac:dyDescent="0.25">
      <c r="H209" s="102"/>
      <c r="I209" s="102"/>
      <c r="J209" s="103">
        <f>IF(E209&lt;0,MIN(0,E209+N(H209)),MAX(0,E209-N(H209)))</f>
      </c>
    </row>
    <row r="210" spans="8:10" x14ac:dyDescent="0.25">
      <c r="H210" s="102"/>
      <c r="I210" s="102"/>
      <c r="J210" s="103">
        <f>IF(E210&lt;0,MIN(0,E210+N(H210)),MAX(0,E210-N(H210)))</f>
      </c>
    </row>
    <row r="211" spans="8:10" x14ac:dyDescent="0.25">
      <c r="H211" s="102"/>
      <c r="I211" s="102"/>
      <c r="J211" s="103">
        <f>IF(E211&lt;0,MIN(0,E211+N(H211)),MAX(0,E211-N(H211)))</f>
      </c>
    </row>
    <row r="212" spans="8:10" x14ac:dyDescent="0.25">
      <c r="H212" s="102"/>
      <c r="I212" s="102"/>
      <c r="J212" s="103">
        <f>IF(E212&lt;0,MIN(0,E212+N(H212)),MAX(0,E212-N(H212)))</f>
      </c>
    </row>
    <row r="213" spans="8:10" x14ac:dyDescent="0.25">
      <c r="H213" s="102"/>
      <c r="I213" s="102"/>
      <c r="J213" s="103">
        <f>IF(E213&lt;0,MIN(0,E213+N(H213)),MAX(0,E213-N(H213)))</f>
      </c>
    </row>
    <row r="214" spans="8:10" x14ac:dyDescent="0.25">
      <c r="H214" s="102"/>
      <c r="I214" s="102"/>
      <c r="J214" s="103">
        <f>IF(E214&lt;0,MIN(0,E214+N(H214)),MAX(0,E214-N(H214)))</f>
      </c>
    </row>
    <row r="215" spans="8:10" x14ac:dyDescent="0.25">
      <c r="H215" s="102"/>
      <c r="I215" s="102"/>
      <c r="J215" s="103">
        <f>IF(E215&lt;0,MIN(0,E215+N(H215)),MAX(0,E215-N(H215)))</f>
      </c>
    </row>
    <row r="216" spans="8:10" x14ac:dyDescent="0.25">
      <c r="H216" s="102"/>
      <c r="I216" s="102"/>
      <c r="J216" s="103">
        <f>IF(E216&lt;0,MIN(0,E216+N(H216)),MAX(0,E216-N(H216)))</f>
      </c>
    </row>
    <row r="217" spans="8:10" x14ac:dyDescent="0.25">
      <c r="H217" s="102"/>
      <c r="I217" s="102"/>
      <c r="J217" s="103">
        <f>IF(E217&lt;0,MIN(0,E217+N(H217)),MAX(0,E217-N(H217)))</f>
      </c>
    </row>
    <row r="218" spans="8:10" x14ac:dyDescent="0.25">
      <c r="H218" s="102"/>
      <c r="I218" s="102"/>
      <c r="J218" s="103">
        <f>IF(E218&lt;0,MIN(0,E218+N(H218)),MAX(0,E218-N(H218)))</f>
      </c>
    </row>
    <row r="219" spans="8:10" x14ac:dyDescent="0.25">
      <c r="H219" s="102"/>
      <c r="I219" s="102"/>
      <c r="J219" s="103">
        <f>IF(E219&lt;0,MIN(0,E219+N(H219)),MAX(0,E219-N(H219)))</f>
      </c>
    </row>
    <row r="220" spans="8:10" x14ac:dyDescent="0.25">
      <c r="H220" s="102"/>
      <c r="I220" s="102"/>
      <c r="J220" s="103">
        <f>IF(E220&lt;0,MIN(0,E220+N(H220)),MAX(0,E220-N(H220)))</f>
      </c>
    </row>
    <row r="221" spans="8:10" x14ac:dyDescent="0.25">
      <c r="H221" s="102"/>
      <c r="I221" s="102"/>
      <c r="J221" s="103">
        <f>IF(E221&lt;0,MIN(0,E221+N(H221)),MAX(0,E221-N(H221)))</f>
      </c>
    </row>
    <row r="222" spans="8:10" x14ac:dyDescent="0.25">
      <c r="H222" s="102"/>
      <c r="I222" s="102"/>
      <c r="J222" s="103">
        <f>IF(E222&lt;0,MIN(0,E222+N(H222)),MAX(0,E222-N(H222)))</f>
      </c>
    </row>
    <row r="223" spans="8:10" x14ac:dyDescent="0.25">
      <c r="H223" s="102"/>
      <c r="I223" s="102"/>
      <c r="J223" s="103">
        <f>IF(E223&lt;0,MIN(0,E223+N(H223)),MAX(0,E223-N(H223)))</f>
      </c>
    </row>
    <row r="224" spans="8:10" x14ac:dyDescent="0.25">
      <c r="H224" s="102"/>
      <c r="I224" s="102"/>
      <c r="J224" s="103">
        <f>IF(E224&lt;0,MIN(0,E224+N(H224)),MAX(0,E224-N(H224)))</f>
      </c>
    </row>
    <row r="225" spans="8:10" x14ac:dyDescent="0.25">
      <c r="H225" s="102"/>
      <c r="I225" s="102"/>
      <c r="J225" s="103">
        <f>IF(E225&lt;0,MIN(0,E225+N(H225)),MAX(0,E225-N(H225)))</f>
      </c>
    </row>
    <row r="226" spans="8:10" x14ac:dyDescent="0.25">
      <c r="H226" s="102"/>
      <c r="I226" s="102"/>
      <c r="J226" s="103">
        <f>IF(E226&lt;0,MIN(0,E226+N(H226)),MAX(0,E226-N(H226)))</f>
      </c>
    </row>
    <row r="227" spans="8:10" x14ac:dyDescent="0.25">
      <c r="H227" s="102"/>
      <c r="I227" s="102"/>
      <c r="J227" s="103">
        <f>IF(E227&lt;0,MIN(0,E227+N(H227)),MAX(0,E227-N(H227)))</f>
      </c>
    </row>
    <row r="228" spans="8:10" x14ac:dyDescent="0.25">
      <c r="H228" s="102"/>
      <c r="I228" s="102"/>
      <c r="J228" s="103">
        <f>IF(E228&lt;0,MIN(0,E228+N(H228)),MAX(0,E228-N(H228)))</f>
      </c>
    </row>
    <row r="229" spans="8:10" x14ac:dyDescent="0.25">
      <c r="H229" s="102"/>
      <c r="I229" s="102"/>
      <c r="J229" s="103">
        <f>IF(E229&lt;0,MIN(0,E229+N(H229)),MAX(0,E229-N(H229)))</f>
      </c>
    </row>
    <row r="230" spans="8:10" x14ac:dyDescent="0.25">
      <c r="H230" s="102"/>
      <c r="I230" s="102"/>
      <c r="J230" s="103">
        <f>IF(E230&lt;0,MIN(0,E230+N(H230)),MAX(0,E230-N(H230)))</f>
      </c>
    </row>
    <row r="231" spans="8:10" x14ac:dyDescent="0.25">
      <c r="H231" s="102"/>
      <c r="I231" s="102"/>
      <c r="J231" s="103">
        <f>IF(E231&lt;0,MIN(0,E231+N(H231)),MAX(0,E231-N(H231)))</f>
      </c>
    </row>
    <row r="232" spans="8:10" x14ac:dyDescent="0.25">
      <c r="H232" s="102"/>
      <c r="I232" s="102"/>
      <c r="J232" s="103">
        <f>IF(E232&lt;0,MIN(0,E232+N(H232)),MAX(0,E232-N(H232)))</f>
      </c>
    </row>
    <row r="233" spans="8:10" x14ac:dyDescent="0.25">
      <c r="H233" s="102"/>
      <c r="I233" s="102"/>
      <c r="J233" s="103">
        <f>IF(E233&lt;0,MIN(0,E233+N(H233)),MAX(0,E233-N(H233)))</f>
      </c>
    </row>
    <row r="234" spans="8:10" x14ac:dyDescent="0.25">
      <c r="H234" s="102"/>
      <c r="I234" s="102"/>
      <c r="J234" s="103">
        <f>IF(E234&lt;0,MIN(0,E234+N(H234)),MAX(0,E234-N(H234)))</f>
      </c>
    </row>
    <row r="235" spans="8:10" x14ac:dyDescent="0.25">
      <c r="H235" s="102"/>
      <c r="I235" s="102"/>
      <c r="J235" s="103">
        <f>IF(E235&lt;0,MIN(0,E235+N(H235)),MAX(0,E235-N(H235)))</f>
      </c>
    </row>
    <row r="236" spans="8:10" x14ac:dyDescent="0.25">
      <c r="H236" s="102"/>
      <c r="I236" s="102"/>
      <c r="J236" s="103">
        <f>IF(E236&lt;0,MIN(0,E236+N(H236)),MAX(0,E236-N(H236)))</f>
      </c>
    </row>
    <row r="237" spans="8:10" x14ac:dyDescent="0.25">
      <c r="H237" s="102"/>
      <c r="I237" s="102"/>
      <c r="J237" s="103">
        <f>IF(E237&lt;0,MIN(0,E237+N(H237)),MAX(0,E237-N(H237)))</f>
      </c>
    </row>
    <row r="238" spans="8:10" x14ac:dyDescent="0.25">
      <c r="H238" s="102"/>
      <c r="I238" s="102"/>
      <c r="J238" s="103">
        <f>IF(E238&lt;0,MIN(0,E238+N(H238)),MAX(0,E238-N(H238)))</f>
      </c>
    </row>
    <row r="239" spans="8:10" x14ac:dyDescent="0.25">
      <c r="H239" s="102"/>
      <c r="I239" s="102"/>
      <c r="J239" s="103">
        <f>IF(E239&lt;0,MIN(0,E239+N(H239)),MAX(0,E239-N(H239)))</f>
      </c>
    </row>
    <row r="240" spans="8:10" x14ac:dyDescent="0.25">
      <c r="H240" s="102"/>
      <c r="I240" s="102"/>
      <c r="J240" s="103">
        <f>IF(E240&lt;0,MIN(0,E240+N(H240)),MAX(0,E240-N(H240)))</f>
      </c>
    </row>
    <row r="241" spans="8:10" x14ac:dyDescent="0.25">
      <c r="H241" s="102"/>
      <c r="I241" s="102"/>
      <c r="J241" s="103">
        <f>IF(E241&lt;0,MIN(0,E241+N(H241)),MAX(0,E241-N(H241)))</f>
      </c>
    </row>
    <row r="242" spans="8:10" x14ac:dyDescent="0.25">
      <c r="H242" s="102"/>
      <c r="I242" s="102"/>
      <c r="J242" s="103">
        <f>IF(E242&lt;0,MIN(0,E242+N(H242)),MAX(0,E242-N(H242)))</f>
      </c>
    </row>
    <row r="243" spans="8:10" x14ac:dyDescent="0.25">
      <c r="H243" s="102"/>
      <c r="I243" s="102"/>
      <c r="J243" s="103">
        <f>IF(E243&lt;0,MIN(0,E243+N(H243)),MAX(0,E243-N(H243)))</f>
      </c>
    </row>
    <row r="244" spans="8:10" x14ac:dyDescent="0.25">
      <c r="H244" s="102"/>
      <c r="I244" s="102"/>
      <c r="J244" s="103">
        <f>IF(E244&lt;0,MIN(0,E244+N(H244)),MAX(0,E244-N(H244)))</f>
      </c>
    </row>
    <row r="245" spans="8:10" x14ac:dyDescent="0.25">
      <c r="H245" s="102"/>
      <c r="I245" s="102"/>
      <c r="J245" s="103">
        <f>IF(E245&lt;0,MIN(0,E245+N(H245)),MAX(0,E245-N(H245)))</f>
      </c>
    </row>
    <row r="246" spans="8:10" x14ac:dyDescent="0.25">
      <c r="H246" s="102"/>
      <c r="I246" s="102"/>
      <c r="J246" s="103">
        <f>IF(E246&lt;0,MIN(0,E246+N(H246)),MAX(0,E246-N(H246)))</f>
      </c>
    </row>
    <row r="247" spans="8:10" x14ac:dyDescent="0.25">
      <c r="H247" s="102"/>
      <c r="I247" s="102"/>
      <c r="J247" s="103">
        <f>IF(E247&lt;0,MIN(0,E247+N(H247)),MAX(0,E247-N(H247)))</f>
      </c>
    </row>
    <row r="248" spans="8:10" x14ac:dyDescent="0.25">
      <c r="H248" s="102"/>
      <c r="I248" s="102"/>
      <c r="J248" s="103">
        <f>IF(E248&lt;0,MIN(0,E248+N(H248)),MAX(0,E248-N(H248)))</f>
      </c>
    </row>
    <row r="249" spans="8:10" x14ac:dyDescent="0.25">
      <c r="H249" s="102"/>
      <c r="I249" s="102"/>
      <c r="J249" s="103">
        <f>IF(E249&lt;0,MIN(0,E249+N(H249)),MAX(0,E249-N(H249)))</f>
      </c>
    </row>
    <row r="250" spans="8:10" x14ac:dyDescent="0.25">
      <c r="H250" s="102"/>
      <c r="I250" s="102"/>
      <c r="J250" s="103">
        <f>IF(E250&lt;0,MIN(0,E250+N(H250)),MAX(0,E250-N(H250)))</f>
      </c>
    </row>
    <row r="251" spans="8:10" x14ac:dyDescent="0.25">
      <c r="H251" s="102"/>
      <c r="I251" s="102"/>
      <c r="J251" s="103">
        <f>IF(E251&lt;0,MIN(0,E251+N(H251)),MAX(0,E251-N(H251)))</f>
      </c>
    </row>
    <row r="252" spans="8:10" x14ac:dyDescent="0.25">
      <c r="H252" s="102"/>
      <c r="I252" s="102"/>
      <c r="J252" s="103">
        <f>IF(E252&lt;0,MIN(0,E252+N(H252)),MAX(0,E252-N(H252)))</f>
      </c>
    </row>
    <row r="253" spans="8:10" x14ac:dyDescent="0.25">
      <c r="H253" s="102"/>
      <c r="I253" s="102"/>
      <c r="J253" s="103">
        <f>IF(E253&lt;0,MIN(0,E253+N(H253)),MAX(0,E253-N(H253)))</f>
      </c>
    </row>
    <row r="254" spans="8:10" x14ac:dyDescent="0.25">
      <c r="H254" s="102"/>
      <c r="I254" s="102"/>
      <c r="J254" s="103">
        <f>IF(E254&lt;0,MIN(0,E254+N(H254)),MAX(0,E254-N(H254)))</f>
      </c>
    </row>
    <row r="255" spans="8:10" x14ac:dyDescent="0.25">
      <c r="H255" s="102"/>
      <c r="I255" s="102"/>
      <c r="J255" s="103">
        <f>IF(E255&lt;0,MIN(0,E255+N(H255)),MAX(0,E255-N(H255)))</f>
      </c>
    </row>
    <row r="256" spans="8:10" x14ac:dyDescent="0.25">
      <c r="H256" s="102"/>
      <c r="I256" s="102"/>
      <c r="J256" s="103">
        <f>IF(E256&lt;0,MIN(0,E256+N(H256)),MAX(0,E256-N(H256)))</f>
      </c>
    </row>
    <row r="257" spans="8:10" x14ac:dyDescent="0.25">
      <c r="H257" s="102"/>
      <c r="I257" s="102"/>
      <c r="J257" s="103">
        <f>IF(E257&lt;0,MIN(0,E257+N(H257)),MAX(0,E257-N(H257)))</f>
      </c>
    </row>
    <row r="258" spans="8:10" x14ac:dyDescent="0.25">
      <c r="H258" s="102"/>
      <c r="I258" s="102"/>
      <c r="J258" s="103">
        <f>IF(E258&lt;0,MIN(0,E258+N(H258)),MAX(0,E258-N(H258)))</f>
      </c>
    </row>
    <row r="259" spans="8:10" x14ac:dyDescent="0.25">
      <c r="H259" s="102"/>
      <c r="I259" s="102"/>
      <c r="J259" s="103">
        <f>IF(E259&lt;0,MIN(0,E259+N(H259)),MAX(0,E259-N(H259)))</f>
      </c>
    </row>
    <row r="260" spans="8:10" x14ac:dyDescent="0.25">
      <c r="H260" s="102"/>
      <c r="I260" s="102"/>
      <c r="J260" s="103">
        <f>IF(E260&lt;0,MIN(0,E260+N(H260)),MAX(0,E260-N(H260)))</f>
      </c>
    </row>
    <row r="261" spans="8:10" x14ac:dyDescent="0.25">
      <c r="H261" s="102"/>
      <c r="I261" s="102"/>
      <c r="J261" s="103">
        <f>IF(E261&lt;0,MIN(0,E261+N(H261)),MAX(0,E261-N(H261)))</f>
      </c>
    </row>
    <row r="262" spans="8:10" x14ac:dyDescent="0.25">
      <c r="H262" s="102"/>
      <c r="I262" s="102"/>
      <c r="J262" s="103">
        <f>IF(E262&lt;0,MIN(0,E262+N(H262)),MAX(0,E262-N(H262)))</f>
      </c>
    </row>
    <row r="263" spans="8:10" x14ac:dyDescent="0.25">
      <c r="H263" s="102"/>
      <c r="I263" s="102"/>
      <c r="J263" s="103">
        <f>IF(E263&lt;0,MIN(0,E263+N(H263)),MAX(0,E263-N(H263)))</f>
      </c>
    </row>
    <row r="264" spans="8:10" x14ac:dyDescent="0.25">
      <c r="H264" s="102"/>
      <c r="I264" s="102"/>
      <c r="J264" s="103">
        <f>IF(E264&lt;0,MIN(0,E264+N(H264)),MAX(0,E264-N(H264)))</f>
      </c>
    </row>
    <row r="265" spans="8:10" x14ac:dyDescent="0.25">
      <c r="H265" s="102"/>
      <c r="I265" s="102"/>
      <c r="J265" s="103">
        <f>IF(E265&lt;0,MIN(0,E265+N(H265)),MAX(0,E265-N(H265)))</f>
      </c>
    </row>
    <row r="266" spans="8:10" x14ac:dyDescent="0.25">
      <c r="H266" s="102"/>
      <c r="I266" s="102"/>
      <c r="J266" s="103">
        <f>IF(E266&lt;0,MIN(0,E266+N(H266)),MAX(0,E266-N(H266)))</f>
      </c>
    </row>
    <row r="267" spans="8:10" x14ac:dyDescent="0.25">
      <c r="H267" s="102"/>
      <c r="I267" s="102"/>
      <c r="J267" s="103">
        <f>IF(E267&lt;0,MIN(0,E267+N(H267)),MAX(0,E267-N(H267)))</f>
      </c>
    </row>
    <row r="268" spans="8:10" x14ac:dyDescent="0.25">
      <c r="H268" s="102"/>
      <c r="I268" s="102"/>
      <c r="J268" s="103">
        <f>IF(E268&lt;0,MIN(0,E268+N(H268)),MAX(0,E268-N(H268)))</f>
      </c>
    </row>
    <row r="269" spans="8:10" x14ac:dyDescent="0.25">
      <c r="H269" s="102"/>
      <c r="I269" s="102"/>
      <c r="J269" s="103">
        <f>IF(E269&lt;0,MIN(0,E269+N(H269)),MAX(0,E269-N(H269)))</f>
      </c>
    </row>
    <row r="270" spans="8:10" x14ac:dyDescent="0.25">
      <c r="H270" s="102"/>
      <c r="I270" s="102"/>
      <c r="J270" s="103">
        <f>IF(E270&lt;0,MIN(0,E270+N(H270)),MAX(0,E270-N(H270)))</f>
      </c>
    </row>
    <row r="271" spans="8:10" x14ac:dyDescent="0.25">
      <c r="H271" s="102"/>
      <c r="I271" s="102"/>
      <c r="J271" s="103">
        <f>IF(E271&lt;0,MIN(0,E271+N(H271)),MAX(0,E271-N(H271)))</f>
      </c>
    </row>
    <row r="272" spans="8:10" x14ac:dyDescent="0.25">
      <c r="H272" s="102"/>
      <c r="I272" s="102"/>
      <c r="J272" s="103">
        <f>IF(E272&lt;0,MIN(0,E272+N(H272)),MAX(0,E272-N(H272)))</f>
      </c>
    </row>
    <row r="273" spans="8:10" x14ac:dyDescent="0.25">
      <c r="H273" s="102"/>
      <c r="I273" s="102"/>
      <c r="J273" s="103">
        <f>IF(E273&lt;0,MIN(0,E273+N(H273)),MAX(0,E273-N(H273)))</f>
      </c>
    </row>
    <row r="274" spans="8:10" x14ac:dyDescent="0.25">
      <c r="H274" s="102"/>
      <c r="I274" s="102"/>
      <c r="J274" s="103">
        <f>IF(E274&lt;0,MIN(0,E274+N(H274)),MAX(0,E274-N(H274)))</f>
      </c>
    </row>
    <row r="275" spans="8:10" x14ac:dyDescent="0.25">
      <c r="H275" s="102"/>
      <c r="I275" s="102"/>
      <c r="J275" s="103">
        <f>IF(E275&lt;0,MIN(0,E275+N(H275)),MAX(0,E275-N(H275)))</f>
      </c>
    </row>
    <row r="276" spans="8:10" x14ac:dyDescent="0.25">
      <c r="H276" s="102"/>
      <c r="I276" s="102"/>
      <c r="J276" s="103">
        <f>IF(E276&lt;0,MIN(0,E276+N(H276)),MAX(0,E276-N(H276)))</f>
      </c>
    </row>
    <row r="277" spans="8:10" x14ac:dyDescent="0.25">
      <c r="H277" s="102"/>
      <c r="I277" s="102"/>
      <c r="J277" s="103">
        <f>IF(E277&lt;0,MIN(0,E277+N(H277)),MAX(0,E277-N(H277)))</f>
      </c>
    </row>
    <row r="278" spans="8:10" x14ac:dyDescent="0.25">
      <c r="H278" s="102"/>
      <c r="I278" s="102"/>
      <c r="J278" s="103">
        <f>IF(E278&lt;0,MIN(0,E278+N(H278)),MAX(0,E278-N(H278)))</f>
      </c>
    </row>
    <row r="279" spans="8:10" x14ac:dyDescent="0.25">
      <c r="H279" s="102"/>
      <c r="I279" s="102"/>
      <c r="J279" s="103">
        <f>IF(E279&lt;0,MIN(0,E279+N(H279)),MAX(0,E279-N(H279)))</f>
      </c>
    </row>
    <row r="280" spans="8:10" x14ac:dyDescent="0.25">
      <c r="H280" s="102"/>
      <c r="I280" s="102"/>
      <c r="J280" s="103">
        <f>IF(E280&lt;0,MIN(0,E280+N(H280)),MAX(0,E280-N(H280)))</f>
      </c>
    </row>
    <row r="281" spans="8:10" x14ac:dyDescent="0.25">
      <c r="H281" s="102"/>
      <c r="I281" s="102"/>
      <c r="J281" s="103">
        <f>IF(E281&lt;0,MIN(0,E281+N(H281)),MAX(0,E281-N(H281)))</f>
      </c>
    </row>
    <row r="282" spans="8:10" x14ac:dyDescent="0.25">
      <c r="H282" s="102"/>
      <c r="I282" s="102"/>
      <c r="J282" s="103">
        <f>IF(E282&lt;0,MIN(0,E282+N(H282)),MAX(0,E282-N(H282)))</f>
      </c>
    </row>
    <row r="283" spans="8:10" x14ac:dyDescent="0.25">
      <c r="H283" s="102"/>
      <c r="I283" s="102"/>
      <c r="J283" s="103">
        <f>IF(E283&lt;0,MIN(0,E283+N(H283)),MAX(0,E283-N(H283)))</f>
      </c>
    </row>
    <row r="284" spans="8:10" x14ac:dyDescent="0.25">
      <c r="H284" s="102"/>
      <c r="I284" s="102"/>
      <c r="J284" s="103">
        <f>IF(E284&lt;0,MIN(0,E284+N(H284)),MAX(0,E284-N(H284)))</f>
      </c>
    </row>
    <row r="285" spans="8:10" x14ac:dyDescent="0.25">
      <c r="H285" s="102"/>
      <c r="I285" s="102"/>
      <c r="J285" s="103">
        <f>IF(E285&lt;0,MIN(0,E285+N(H285)),MAX(0,E285-N(H285)))</f>
      </c>
    </row>
    <row r="286" spans="8:10" x14ac:dyDescent="0.25">
      <c r="H286" s="102"/>
      <c r="I286" s="102"/>
      <c r="J286" s="103">
        <f>IF(E286&lt;0,MIN(0,E286+N(H286)),MAX(0,E286-N(H286)))</f>
      </c>
    </row>
    <row r="287" spans="8:10" x14ac:dyDescent="0.25">
      <c r="H287" s="102"/>
      <c r="I287" s="102"/>
      <c r="J287" s="103">
        <f>IF(E287&lt;0,MIN(0,E287+N(H287)),MAX(0,E287-N(H287)))</f>
      </c>
    </row>
    <row r="288" spans="8:10" x14ac:dyDescent="0.25">
      <c r="H288" s="102"/>
      <c r="I288" s="102"/>
      <c r="J288" s="103">
        <f>IF(E288&lt;0,MIN(0,E288+N(H288)),MAX(0,E288-N(H288)))</f>
      </c>
    </row>
    <row r="289" spans="8:10" x14ac:dyDescent="0.25">
      <c r="H289" s="102"/>
      <c r="I289" s="102"/>
      <c r="J289" s="103">
        <f>IF(E289&lt;0,MIN(0,E289+N(H289)),MAX(0,E289-N(H289)))</f>
      </c>
    </row>
    <row r="290" spans="8:10" x14ac:dyDescent="0.25">
      <c r="H290" s="102"/>
      <c r="I290" s="102"/>
      <c r="J290" s="103">
        <f>IF(E290&lt;0,MIN(0,E290+N(H290)),MAX(0,E290-N(H290)))</f>
      </c>
    </row>
    <row r="291" spans="8:10" x14ac:dyDescent="0.25">
      <c r="H291" s="102"/>
      <c r="I291" s="102"/>
      <c r="J291" s="103">
        <f>IF(E291&lt;0,MIN(0,E291+N(H291)),MAX(0,E291-N(H291)))</f>
      </c>
    </row>
    <row r="292" spans="8:10" x14ac:dyDescent="0.25">
      <c r="H292" s="102"/>
      <c r="I292" s="102"/>
      <c r="J292" s="103">
        <f>IF(E292&lt;0,MIN(0,E292+N(H292)),MAX(0,E292-N(H292)))</f>
      </c>
    </row>
    <row r="293" spans="8:10" x14ac:dyDescent="0.25">
      <c r="H293" s="102"/>
      <c r="I293" s="102"/>
      <c r="J293" s="103">
        <f>IF(E293&lt;0,MIN(0,E293+N(H293)),MAX(0,E293-N(H293)))</f>
      </c>
    </row>
    <row r="294" spans="8:10" x14ac:dyDescent="0.25">
      <c r="H294" s="102"/>
      <c r="I294" s="102"/>
      <c r="J294" s="103">
        <f>IF(E294&lt;0,MIN(0,E294+N(H294)),MAX(0,E294-N(H294)))</f>
      </c>
    </row>
    <row r="295" spans="8:10" x14ac:dyDescent="0.25">
      <c r="H295" s="102"/>
      <c r="I295" s="102"/>
      <c r="J295" s="103">
        <f>IF(E295&lt;0,MIN(0,E295+N(H295)),MAX(0,E295-N(H295)))</f>
      </c>
    </row>
    <row r="296" spans="8:10" x14ac:dyDescent="0.25">
      <c r="H296" s="102"/>
      <c r="I296" s="102"/>
      <c r="J296" s="103">
        <f>IF(E296&lt;0,MIN(0,E296+N(H296)),MAX(0,E296-N(H296)))</f>
      </c>
    </row>
    <row r="297" spans="8:10" x14ac:dyDescent="0.25">
      <c r="H297" s="102"/>
      <c r="I297" s="102"/>
      <c r="J297" s="103">
        <f>IF(E297&lt;0,MIN(0,E297+N(H297)),MAX(0,E297-N(H297)))</f>
      </c>
    </row>
    <row r="298" spans="8:10" x14ac:dyDescent="0.25">
      <c r="H298" s="102"/>
      <c r="I298" s="102"/>
      <c r="J298" s="103">
        <f>IF(E298&lt;0,MIN(0,E298+N(H298)),MAX(0,E298-N(H298)))</f>
      </c>
    </row>
    <row r="299" spans="8:10" x14ac:dyDescent="0.25">
      <c r="H299" s="102"/>
      <c r="I299" s="102"/>
      <c r="J299" s="103">
        <f>IF(E299&lt;0,MIN(0,E299+N(H299)),MAX(0,E299-N(H299)))</f>
      </c>
    </row>
    <row r="300" spans="8:10" x14ac:dyDescent="0.25">
      <c r="H300" s="102"/>
      <c r="I300" s="102"/>
      <c r="J300" s="103">
        <f>IF(E300&lt;0,MIN(0,E300+N(H300)),MAX(0,E300-N(H300)))</f>
      </c>
    </row>
    <row r="301" spans="8:10" x14ac:dyDescent="0.25">
      <c r="H301" s="102"/>
      <c r="I301" s="102"/>
      <c r="J301" s="103">
        <f>IF(E301&lt;0,MIN(0,E301+N(H301)),MAX(0,E301-N(H301)))</f>
      </c>
    </row>
    <row r="302" spans="8:10" x14ac:dyDescent="0.25">
      <c r="H302" s="102"/>
      <c r="I302" s="102"/>
      <c r="J302" s="103">
        <f>IF(E302&lt;0,MIN(0,E302+N(H302)),MAX(0,E302-N(H302)))</f>
      </c>
    </row>
    <row r="303" spans="8:10" x14ac:dyDescent="0.25">
      <c r="H303" s="102"/>
      <c r="I303" s="102"/>
      <c r="J303" s="103">
        <f>IF(E303&lt;0,MIN(0,E303+N(H303)),MAX(0,E303-N(H303)))</f>
      </c>
    </row>
    <row r="304" spans="8:10" x14ac:dyDescent="0.25">
      <c r="H304" s="102"/>
      <c r="I304" s="102"/>
      <c r="J304" s="103">
        <f>IF(E304&lt;0,MIN(0,E304+N(H304)),MAX(0,E304-N(H304)))</f>
      </c>
    </row>
    <row r="305" spans="8:10" x14ac:dyDescent="0.25">
      <c r="H305" s="102"/>
      <c r="I305" s="102"/>
      <c r="J305" s="103">
        <f>IF(E305&lt;0,MIN(0,E305+N(H305)),MAX(0,E305-N(H305)))</f>
      </c>
    </row>
    <row r="306" spans="8:10" x14ac:dyDescent="0.25">
      <c r="H306" s="102"/>
      <c r="I306" s="102"/>
      <c r="J306" s="103">
        <f>IF(E306&lt;0,MIN(0,E306+N(H306)),MAX(0,E306-N(H306)))</f>
      </c>
    </row>
    <row r="307" spans="8:10" x14ac:dyDescent="0.25">
      <c r="H307" s="102"/>
      <c r="I307" s="102"/>
      <c r="J307" s="103">
        <f>IF(E307&lt;0,MIN(0,E307+N(H307)),MAX(0,E307-N(H307)))</f>
      </c>
    </row>
    <row r="308" spans="8:10" x14ac:dyDescent="0.25">
      <c r="H308" s="102"/>
      <c r="I308" s="102"/>
      <c r="J308" s="103">
        <f>IF(E308&lt;0,MIN(0,E308+N(H308)),MAX(0,E308-N(H308)))</f>
      </c>
    </row>
    <row r="309" spans="8:10" x14ac:dyDescent="0.25">
      <c r="H309" s="102"/>
      <c r="I309" s="102"/>
      <c r="J309" s="103">
        <f>IF(E309&lt;0,MIN(0,E309+N(H309)),MAX(0,E309-N(H309)))</f>
      </c>
    </row>
    <row r="310" spans="8:10" x14ac:dyDescent="0.25">
      <c r="H310" s="102"/>
      <c r="I310" s="102"/>
      <c r="J310" s="103">
        <f>IF(E310&lt;0,MIN(0,E310+N(H310)),MAX(0,E310-N(H310)))</f>
      </c>
    </row>
    <row r="311" spans="8:10" x14ac:dyDescent="0.25">
      <c r="H311" s="102"/>
      <c r="I311" s="102"/>
      <c r="J311" s="103">
        <f>IF(E311&lt;0,MIN(0,E311+N(H311)),MAX(0,E311-N(H311)))</f>
      </c>
    </row>
    <row r="312" spans="8:10" x14ac:dyDescent="0.25">
      <c r="H312" s="102"/>
      <c r="I312" s="102"/>
      <c r="J312" s="103">
        <f>IF(E312&lt;0,MIN(0,E312+N(H312)),MAX(0,E312-N(H312)))</f>
      </c>
    </row>
    <row r="313" spans="8:10" x14ac:dyDescent="0.25">
      <c r="H313" s="102"/>
      <c r="I313" s="102"/>
      <c r="J313" s="103">
        <f>IF(E313&lt;0,MIN(0,E313+N(H313)),MAX(0,E313-N(H313)))</f>
      </c>
    </row>
    <row r="314" spans="8:10" x14ac:dyDescent="0.25">
      <c r="H314" s="102"/>
      <c r="I314" s="102"/>
      <c r="J314" s="103">
        <f>IF(E314&lt;0,MIN(0,E314+N(H314)),MAX(0,E314-N(H314)))</f>
      </c>
    </row>
    <row r="315" spans="8:10" x14ac:dyDescent="0.25">
      <c r="H315" s="102"/>
      <c r="I315" s="102"/>
      <c r="J315" s="103">
        <f>IF(E315&lt;0,MIN(0,E315+N(H315)),MAX(0,E315-N(H315)))</f>
      </c>
    </row>
    <row r="316" spans="8:10" x14ac:dyDescent="0.25">
      <c r="H316" s="102"/>
      <c r="I316" s="102"/>
      <c r="J316" s="103">
        <f>IF(E316&lt;0,MIN(0,E316+N(H316)),MAX(0,E316-N(H316)))</f>
      </c>
    </row>
    <row r="317" spans="8:10" x14ac:dyDescent="0.25">
      <c r="H317" s="102"/>
      <c r="I317" s="102"/>
      <c r="J317" s="103">
        <f>IF(E317&lt;0,MIN(0,E317+N(H317)),MAX(0,E317-N(H317)))</f>
      </c>
    </row>
    <row r="318" spans="8:10" x14ac:dyDescent="0.25">
      <c r="H318" s="102"/>
      <c r="I318" s="102"/>
      <c r="J318" s="103">
        <f>IF(E318&lt;0,MIN(0,E318+N(H318)),MAX(0,E318-N(H318)))</f>
      </c>
    </row>
    <row r="319" spans="8:10" x14ac:dyDescent="0.25">
      <c r="H319" s="102"/>
      <c r="I319" s="102"/>
      <c r="J319" s="103">
        <f>IF(E319&lt;0,MIN(0,E319+N(H319)),MAX(0,E319-N(H319)))</f>
      </c>
    </row>
    <row r="320" spans="8:10" x14ac:dyDescent="0.25">
      <c r="H320" s="102"/>
      <c r="I320" s="102"/>
      <c r="J320" s="103">
        <f>IF(E320&lt;0,MIN(0,E320+N(H320)),MAX(0,E320-N(H320)))</f>
      </c>
    </row>
    <row r="321" spans="8:10" x14ac:dyDescent="0.25">
      <c r="H321" s="102"/>
      <c r="I321" s="102"/>
      <c r="J321" s="103">
        <f>IF(E321&lt;0,MIN(0,E321+N(H321)),MAX(0,E321-N(H321)))</f>
      </c>
    </row>
    <row r="322" spans="8:10" x14ac:dyDescent="0.25">
      <c r="H322" s="102"/>
      <c r="I322" s="102"/>
      <c r="J322" s="103">
        <f>IF(E322&lt;0,MIN(0,E322+N(H322)),MAX(0,E322-N(H322)))</f>
      </c>
    </row>
    <row r="323" spans="8:10" x14ac:dyDescent="0.25">
      <c r="H323" s="102"/>
      <c r="I323" s="102"/>
      <c r="J323" s="103">
        <f>IF(E323&lt;0,MIN(0,E323+N(H323)),MAX(0,E323-N(H323)))</f>
      </c>
    </row>
    <row r="324" spans="8:10" x14ac:dyDescent="0.25">
      <c r="H324" s="102"/>
      <c r="I324" s="102"/>
      <c r="J324" s="103">
        <f>IF(E324&lt;0,MIN(0,E324+N(H324)),MAX(0,E324-N(H324)))</f>
      </c>
    </row>
    <row r="325" spans="8:10" x14ac:dyDescent="0.25">
      <c r="H325" s="102"/>
      <c r="I325" s="102"/>
      <c r="J325" s="103">
        <f>IF(E325&lt;0,MIN(0,E325+N(H325)),MAX(0,E325-N(H325)))</f>
      </c>
    </row>
    <row r="326" spans="8:10" x14ac:dyDescent="0.25">
      <c r="H326" s="102"/>
      <c r="I326" s="102"/>
      <c r="J326" s="103">
        <f>IF(E326&lt;0,MIN(0,E326+N(H326)),MAX(0,E326-N(H326)))</f>
      </c>
    </row>
    <row r="327" spans="8:10" x14ac:dyDescent="0.25">
      <c r="H327" s="102"/>
      <c r="I327" s="102"/>
      <c r="J327" s="103">
        <f>IF(E327&lt;0,MIN(0,E327+N(H327)),MAX(0,E327-N(H327)))</f>
      </c>
    </row>
    <row r="328" spans="8:10" x14ac:dyDescent="0.25">
      <c r="H328" s="102"/>
      <c r="I328" s="102"/>
      <c r="J328" s="103">
        <f>IF(E328&lt;0,MIN(0,E328+N(H328)),MAX(0,E328-N(H328)))</f>
      </c>
    </row>
    <row r="329" spans="8:10" x14ac:dyDescent="0.25">
      <c r="H329" s="102"/>
      <c r="I329" s="102"/>
      <c r="J329" s="103">
        <f>IF(E329&lt;0,MIN(0,E329+N(H329)),MAX(0,E329-N(H329)))</f>
      </c>
    </row>
    <row r="330" spans="8:10" x14ac:dyDescent="0.25">
      <c r="H330" s="102"/>
      <c r="I330" s="102"/>
      <c r="J330" s="103">
        <f>IF(E330&lt;0,MIN(0,E330+N(H330)),MAX(0,E330-N(H330)))</f>
      </c>
    </row>
    <row r="331" spans="8:10" x14ac:dyDescent="0.25">
      <c r="H331" s="102"/>
      <c r="I331" s="102"/>
      <c r="J331" s="103">
        <f>IF(E331&lt;0,MIN(0,E331+N(H331)),MAX(0,E331-N(H331)))</f>
      </c>
    </row>
    <row r="332" spans="8:10" x14ac:dyDescent="0.25">
      <c r="H332" s="102"/>
      <c r="I332" s="102"/>
      <c r="J332" s="103">
        <f>IF(E332&lt;0,MIN(0,E332+N(H332)),MAX(0,E332-N(H332)))</f>
      </c>
    </row>
    <row r="333" spans="8:10" x14ac:dyDescent="0.25">
      <c r="H333" s="102"/>
      <c r="I333" s="102"/>
      <c r="J333" s="103">
        <f>IF(E333&lt;0,MIN(0,E333+N(H333)),MAX(0,E333-N(H333)))</f>
      </c>
    </row>
    <row r="334" spans="8:10" x14ac:dyDescent="0.25">
      <c r="H334" s="102"/>
      <c r="I334" s="102"/>
      <c r="J334" s="103">
        <f>IF(E334&lt;0,MIN(0,E334+N(H334)),MAX(0,E334-N(H334)))</f>
      </c>
    </row>
    <row r="335" spans="8:10" x14ac:dyDescent="0.25">
      <c r="H335" s="102"/>
      <c r="I335" s="102"/>
      <c r="J335" s="103">
        <f>IF(E335&lt;0,MIN(0,E335+N(H335)),MAX(0,E335-N(H335)))</f>
      </c>
    </row>
    <row r="336" spans="8:10" x14ac:dyDescent="0.25">
      <c r="H336" s="102"/>
      <c r="I336" s="102"/>
      <c r="J336" s="103">
        <f>IF(E336&lt;0,MIN(0,E336+N(H336)),MAX(0,E336-N(H336)))</f>
      </c>
    </row>
    <row r="337" spans="8:10" x14ac:dyDescent="0.25">
      <c r="H337" s="102"/>
      <c r="I337" s="102"/>
      <c r="J337" s="103">
        <f>IF(E337&lt;0,MIN(0,E337+N(H337)),MAX(0,E337-N(H337)))</f>
      </c>
    </row>
    <row r="338" spans="8:10" x14ac:dyDescent="0.25">
      <c r="H338" s="102"/>
      <c r="I338" s="102"/>
      <c r="J338" s="103">
        <f>IF(E338&lt;0,MIN(0,E338+N(H338)),MAX(0,E338-N(H338)))</f>
      </c>
    </row>
    <row r="339" spans="8:10" x14ac:dyDescent="0.25">
      <c r="H339" s="102"/>
      <c r="I339" s="102"/>
      <c r="J339" s="103">
        <f>IF(E339&lt;0,MIN(0,E339+N(H339)),MAX(0,E339-N(H339)))</f>
      </c>
    </row>
    <row r="340" spans="8:10" x14ac:dyDescent="0.25">
      <c r="H340" s="102"/>
      <c r="I340" s="102"/>
      <c r="J340" s="103">
        <f>IF(E340&lt;0,MIN(0,E340+N(H340)),MAX(0,E340-N(H340)))</f>
      </c>
    </row>
    <row r="341" spans="8:10" x14ac:dyDescent="0.25">
      <c r="H341" s="102"/>
      <c r="I341" s="102"/>
      <c r="J341" s="103">
        <f>IF(E341&lt;0,MIN(0,E341+N(H341)),MAX(0,E341-N(H341)))</f>
      </c>
    </row>
    <row r="342" spans="8:10" x14ac:dyDescent="0.25">
      <c r="H342" s="102"/>
      <c r="I342" s="102"/>
      <c r="J342" s="103">
        <f>IF(E342&lt;0,MIN(0,E342+N(H342)),MAX(0,E342-N(H342)))</f>
      </c>
    </row>
    <row r="343" spans="8:10" x14ac:dyDescent="0.25">
      <c r="H343" s="102"/>
      <c r="I343" s="102"/>
      <c r="J343" s="103">
        <f>IF(E343&lt;0,MIN(0,E343+N(H343)),MAX(0,E343-N(H343)))</f>
      </c>
    </row>
    <row r="344" spans="8:10" x14ac:dyDescent="0.25">
      <c r="H344" s="102"/>
      <c r="I344" s="102"/>
      <c r="J344" s="103">
        <f>IF(E344&lt;0,MIN(0,E344+N(H344)),MAX(0,E344-N(H344)))</f>
      </c>
    </row>
    <row r="345" spans="8:10" x14ac:dyDescent="0.25">
      <c r="H345" s="102"/>
      <c r="I345" s="102"/>
      <c r="J345" s="103">
        <f>IF(E345&lt;0,MIN(0,E345+N(H345)),MAX(0,E345-N(H345)))</f>
      </c>
    </row>
    <row r="346" spans="8:10" x14ac:dyDescent="0.25">
      <c r="H346" s="102"/>
      <c r="I346" s="102"/>
      <c r="J346" s="103">
        <f>IF(E346&lt;0,MIN(0,E346+N(H346)),MAX(0,E346-N(H346)))</f>
      </c>
    </row>
    <row r="347" spans="8:10" x14ac:dyDescent="0.25">
      <c r="H347" s="102"/>
      <c r="I347" s="102"/>
      <c r="J347" s="103">
        <f>IF(E347&lt;0,MIN(0,E347+N(H347)),MAX(0,E347-N(H347)))</f>
      </c>
    </row>
    <row r="348" spans="8:10" x14ac:dyDescent="0.25">
      <c r="H348" s="102"/>
      <c r="I348" s="102"/>
      <c r="J348" s="103">
        <f>IF(E348&lt;0,MIN(0,E348+N(H348)),MAX(0,E348-N(H348)))</f>
      </c>
    </row>
    <row r="349" spans="8:10" x14ac:dyDescent="0.25">
      <c r="H349" s="102"/>
      <c r="I349" s="102"/>
      <c r="J349" s="103">
        <f>IF(E349&lt;0,MIN(0,E349+N(H349)),MAX(0,E349-N(H349)))</f>
      </c>
    </row>
    <row r="350" spans="8:10" x14ac:dyDescent="0.25">
      <c r="H350" s="102"/>
      <c r="I350" s="102"/>
      <c r="J350" s="103">
        <f>IF(E350&lt;0,MIN(0,E350+N(H350)),MAX(0,E350-N(H350)))</f>
      </c>
    </row>
    <row r="351" spans="8:10" x14ac:dyDescent="0.25">
      <c r="H351" s="102"/>
      <c r="I351" s="102"/>
      <c r="J351" s="103">
        <f>IF(E351&lt;0,MIN(0,E351+N(H351)),MAX(0,E351-N(H351)))</f>
      </c>
    </row>
    <row r="352" spans="8:10" x14ac:dyDescent="0.25">
      <c r="H352" s="102"/>
      <c r="I352" s="102"/>
      <c r="J352" s="103">
        <f>IF(E352&lt;0,MIN(0,E352+N(H352)),MAX(0,E352-N(H352)))</f>
      </c>
    </row>
    <row r="353" spans="8:10" x14ac:dyDescent="0.25">
      <c r="H353" s="102"/>
      <c r="I353" s="102"/>
      <c r="J353" s="103">
        <f>IF(E353&lt;0,MIN(0,E353+N(H353)),MAX(0,E353-N(H353)))</f>
      </c>
    </row>
    <row r="354" spans="8:10" x14ac:dyDescent="0.25">
      <c r="H354" s="102"/>
      <c r="I354" s="102"/>
      <c r="J354" s="103">
        <f>IF(E354&lt;0,MIN(0,E354+N(H354)),MAX(0,E354-N(H354)))</f>
      </c>
    </row>
    <row r="355" spans="8:10" x14ac:dyDescent="0.25">
      <c r="H355" s="102"/>
      <c r="I355" s="102"/>
      <c r="J355" s="103">
        <f>IF(E355&lt;0,MIN(0,E355+N(H355)),MAX(0,E355-N(H355)))</f>
      </c>
    </row>
    <row r="356" spans="8:10" x14ac:dyDescent="0.25">
      <c r="H356" s="102"/>
      <c r="I356" s="102"/>
      <c r="J356" s="103">
        <f>IF(E356&lt;0,MIN(0,E356+N(H356)),MAX(0,E356-N(H356)))</f>
      </c>
    </row>
    <row r="357" spans="8:10" x14ac:dyDescent="0.25">
      <c r="H357" s="102"/>
      <c r="I357" s="102"/>
      <c r="J357" s="103">
        <f>IF(E357&lt;0,MIN(0,E357+N(H357)),MAX(0,E357-N(H357)))</f>
      </c>
    </row>
    <row r="358" spans="8:10" x14ac:dyDescent="0.25">
      <c r="H358" s="102"/>
      <c r="I358" s="102"/>
      <c r="J358" s="103">
        <f>IF(E358&lt;0,MIN(0,E358+N(H358)),MAX(0,E358-N(H358)))</f>
      </c>
    </row>
    <row r="359" spans="8:10" x14ac:dyDescent="0.25">
      <c r="H359" s="102"/>
      <c r="I359" s="102"/>
      <c r="J359" s="103">
        <f>IF(E359&lt;0,MIN(0,E359+N(H359)),MAX(0,E359-N(H359)))</f>
      </c>
    </row>
    <row r="360" spans="8:10" x14ac:dyDescent="0.25">
      <c r="H360" s="102"/>
      <c r="I360" s="102"/>
      <c r="J360" s="103">
        <f>IF(E360&lt;0,MIN(0,E360+N(H360)),MAX(0,E360-N(H360)))</f>
      </c>
    </row>
    <row r="361" spans="8:10" x14ac:dyDescent="0.25">
      <c r="H361" s="102"/>
      <c r="I361" s="102"/>
      <c r="J361" s="103">
        <f>IF(E361&lt;0,MIN(0,E361+N(H361)),MAX(0,E361-N(H361)))</f>
      </c>
    </row>
    <row r="362" spans="8:10" x14ac:dyDescent="0.25">
      <c r="H362" s="102"/>
      <c r="I362" s="102"/>
      <c r="J362" s="103">
        <f>IF(E362&lt;0,MIN(0,E362+N(H362)),MAX(0,E362-N(H362)))</f>
      </c>
    </row>
    <row r="363" spans="8:10" x14ac:dyDescent="0.25">
      <c r="H363" s="102"/>
      <c r="I363" s="102"/>
      <c r="J363" s="103">
        <f>IF(E363&lt;0,MIN(0,E363+N(H363)),MAX(0,E363-N(H363)))</f>
      </c>
    </row>
    <row r="364" spans="8:10" x14ac:dyDescent="0.25">
      <c r="H364" s="102"/>
      <c r="I364" s="102"/>
      <c r="J364" s="103">
        <f>IF(E364&lt;0,MIN(0,E364+N(H364)),MAX(0,E364-N(H364)))</f>
      </c>
    </row>
    <row r="365" spans="8:10" x14ac:dyDescent="0.25">
      <c r="H365" s="102"/>
      <c r="I365" s="102"/>
      <c r="J365" s="103">
        <f>IF(E365&lt;0,MIN(0,E365+N(H365)),MAX(0,E365-N(H365)))</f>
      </c>
    </row>
    <row r="366" spans="8:10" x14ac:dyDescent="0.25">
      <c r="H366" s="102"/>
      <c r="I366" s="102"/>
      <c r="J366" s="103">
        <f>IF(E366&lt;0,MIN(0,E366+N(H366)),MAX(0,E366-N(H366)))</f>
      </c>
    </row>
    <row r="367" spans="8:10" x14ac:dyDescent="0.25">
      <c r="H367" s="102"/>
      <c r="I367" s="102"/>
      <c r="J367" s="103">
        <f>IF(E367&lt;0,MIN(0,E367+N(H367)),MAX(0,E367-N(H367)))</f>
      </c>
    </row>
    <row r="368" spans="8:10" x14ac:dyDescent="0.25">
      <c r="H368" s="102"/>
      <c r="I368" s="102"/>
      <c r="J368" s="103">
        <f>IF(E368&lt;0,MIN(0,E368+N(H368)),MAX(0,E368-N(H368)))</f>
      </c>
    </row>
    <row r="369" spans="8:10" x14ac:dyDescent="0.25">
      <c r="H369" s="102"/>
      <c r="I369" s="102"/>
      <c r="J369" s="103">
        <f>IF(E369&lt;0,MIN(0,E369+N(H369)),MAX(0,E369-N(H369)))</f>
      </c>
    </row>
    <row r="370" spans="8:10" x14ac:dyDescent="0.25">
      <c r="H370" s="102"/>
      <c r="I370" s="102"/>
      <c r="J370" s="103">
        <f>IF(E370&lt;0,MIN(0,E370+N(H370)),MAX(0,E370-N(H370)))</f>
      </c>
    </row>
    <row r="371" spans="8:10" x14ac:dyDescent="0.25">
      <c r="H371" s="102"/>
      <c r="I371" s="102"/>
      <c r="J371" s="103">
        <f>IF(E371&lt;0,MIN(0,E371+N(H371)),MAX(0,E371-N(H371)))</f>
      </c>
    </row>
    <row r="372" spans="8:10" x14ac:dyDescent="0.25">
      <c r="H372" s="102"/>
      <c r="I372" s="102"/>
      <c r="J372" s="103">
        <f>IF(E372&lt;0,MIN(0,E372+N(H372)),MAX(0,E372-N(H372)))</f>
      </c>
    </row>
    <row r="373" spans="8:10" x14ac:dyDescent="0.25">
      <c r="H373" s="102"/>
      <c r="I373" s="102"/>
      <c r="J373" s="103">
        <f>IF(E373&lt;0,MIN(0,E373+N(H373)),MAX(0,E373-N(H373)))</f>
      </c>
    </row>
    <row r="374" spans="8:10" x14ac:dyDescent="0.25">
      <c r="H374" s="102"/>
      <c r="I374" s="102"/>
      <c r="J374" s="103">
        <f>IF(E374&lt;0,MIN(0,E374+N(H374)),MAX(0,E374-N(H374)))</f>
      </c>
    </row>
    <row r="375" spans="8:10" x14ac:dyDescent="0.25">
      <c r="H375" s="102"/>
      <c r="I375" s="102"/>
      <c r="J375" s="103">
        <f>IF(E375&lt;0,MIN(0,E375+N(H375)),MAX(0,E375-N(H375)))</f>
      </c>
    </row>
    <row r="376" spans="8:10" x14ac:dyDescent="0.25">
      <c r="H376" s="102"/>
      <c r="I376" s="102"/>
      <c r="J376" s="103">
        <f>IF(E376&lt;0,MIN(0,E376+N(H376)),MAX(0,E376-N(H376)))</f>
      </c>
    </row>
    <row r="377" spans="8:10" x14ac:dyDescent="0.25">
      <c r="H377" s="102"/>
      <c r="I377" s="102"/>
      <c r="J377" s="103">
        <f>IF(E377&lt;0,MIN(0,E377+N(H377)),MAX(0,E377-N(H377)))</f>
      </c>
    </row>
    <row r="378" spans="8:10" x14ac:dyDescent="0.25">
      <c r="H378" s="102"/>
      <c r="I378" s="102"/>
      <c r="J378" s="103">
        <f>IF(E378&lt;0,MIN(0,E378+N(H378)),MAX(0,E378-N(H378)))</f>
      </c>
    </row>
    <row r="379" spans="8:10" x14ac:dyDescent="0.25">
      <c r="H379" s="102"/>
      <c r="I379" s="102"/>
      <c r="J379" s="103">
        <f>IF(E379&lt;0,MIN(0,E379+N(H379)),MAX(0,E379-N(H379)))</f>
      </c>
    </row>
    <row r="380" spans="8:10" x14ac:dyDescent="0.25">
      <c r="H380" s="102"/>
      <c r="I380" s="102"/>
      <c r="J380" s="103">
        <f>IF(E380&lt;0,MIN(0,E380+N(H380)),MAX(0,E380-N(H380)))</f>
      </c>
    </row>
    <row r="381" spans="8:10" x14ac:dyDescent="0.25">
      <c r="H381" s="102"/>
      <c r="I381" s="102"/>
      <c r="J381" s="103">
        <f>IF(E381&lt;0,MIN(0,E381+N(H381)),MAX(0,E381-N(H381)))</f>
      </c>
    </row>
    <row r="382" spans="8:10" x14ac:dyDescent="0.25">
      <c r="H382" s="102"/>
      <c r="I382" s="102"/>
      <c r="J382" s="103">
        <f>IF(E382&lt;0,MIN(0,E382+N(H382)),MAX(0,E382-N(H382)))</f>
      </c>
    </row>
    <row r="383" spans="8:10" x14ac:dyDescent="0.25">
      <c r="H383" s="102"/>
      <c r="I383" s="102"/>
      <c r="J383" s="103">
        <f>IF(E383&lt;0,MIN(0,E383+N(H383)),MAX(0,E383-N(H383)))</f>
      </c>
    </row>
    <row r="384" spans="8:10" x14ac:dyDescent="0.25">
      <c r="H384" s="102"/>
      <c r="I384" s="102"/>
      <c r="J384" s="103">
        <f>IF(E384&lt;0,MIN(0,E384+N(H384)),MAX(0,E384-N(H384)))</f>
      </c>
    </row>
    <row r="385" spans="8:10" x14ac:dyDescent="0.25">
      <c r="H385" s="102"/>
      <c r="I385" s="102"/>
      <c r="J385" s="103">
        <f>IF(E385&lt;0,MIN(0,E385+N(H385)),MAX(0,E385-N(H385)))</f>
      </c>
    </row>
    <row r="386" spans="8:10" x14ac:dyDescent="0.25">
      <c r="H386" s="102"/>
      <c r="I386" s="102"/>
      <c r="J386" s="103">
        <f>IF(E386&lt;0,MIN(0,E386+N(H386)),MAX(0,E386-N(H386)))</f>
      </c>
    </row>
    <row r="387" spans="8:10" x14ac:dyDescent="0.25">
      <c r="H387" s="102"/>
      <c r="I387" s="102"/>
      <c r="J387" s="103">
        <f>IF(E387&lt;0,MIN(0,E387+N(H387)),MAX(0,E387-N(H387)))</f>
      </c>
    </row>
    <row r="388" spans="8:10" x14ac:dyDescent="0.25">
      <c r="H388" s="102"/>
      <c r="I388" s="102"/>
      <c r="J388" s="103">
        <f>IF(E388&lt;0,MIN(0,E388+N(H388)),MAX(0,E388-N(H388)))</f>
      </c>
    </row>
    <row r="389" spans="8:10" x14ac:dyDescent="0.25">
      <c r="H389" s="102"/>
      <c r="I389" s="102"/>
      <c r="J389" s="103">
        <f>IF(E389&lt;0,MIN(0,E389+N(H389)),MAX(0,E389-N(H389)))</f>
      </c>
    </row>
    <row r="390" spans="8:10" x14ac:dyDescent="0.25">
      <c r="H390" s="102"/>
      <c r="I390" s="102"/>
      <c r="J390" s="103">
        <f>IF(E390&lt;0,MIN(0,E390+N(H390)),MAX(0,E390-N(H390)))</f>
      </c>
    </row>
    <row r="391" spans="8:10" x14ac:dyDescent="0.25">
      <c r="H391" s="102"/>
      <c r="I391" s="102"/>
      <c r="J391" s="103">
        <f>IF(E391&lt;0,MIN(0,E391+N(H391)),MAX(0,E391-N(H391)))</f>
      </c>
    </row>
    <row r="392" spans="8:10" x14ac:dyDescent="0.25">
      <c r="H392" s="102"/>
      <c r="I392" s="102"/>
      <c r="J392" s="103">
        <f>IF(E392&lt;0,MIN(0,E392+N(H392)),MAX(0,E392-N(H392)))</f>
      </c>
    </row>
    <row r="393" spans="8:10" x14ac:dyDescent="0.25">
      <c r="H393" s="102"/>
      <c r="I393" s="102"/>
      <c r="J393" s="103">
        <f>IF(E393&lt;0,MIN(0,E393+N(H393)),MAX(0,E393-N(H393)))</f>
      </c>
    </row>
    <row r="394" spans="8:10" x14ac:dyDescent="0.25">
      <c r="H394" s="102"/>
      <c r="I394" s="102"/>
      <c r="J394" s="103">
        <f>IF(E394&lt;0,MIN(0,E394+N(H394)),MAX(0,E394-N(H394)))</f>
      </c>
    </row>
    <row r="395" spans="8:10" x14ac:dyDescent="0.25">
      <c r="H395" s="102"/>
      <c r="I395" s="102"/>
      <c r="J395" s="103">
        <f>IF(E395&lt;0,MIN(0,E395+N(H395)),MAX(0,E395-N(H395)))</f>
      </c>
    </row>
    <row r="396" spans="8:10" x14ac:dyDescent="0.25">
      <c r="H396" s="102"/>
      <c r="I396" s="102"/>
      <c r="J396" s="103">
        <f>IF(E396&lt;0,MIN(0,E396+N(H396)),MAX(0,E396-N(H396)))</f>
      </c>
    </row>
    <row r="397" spans="8:10" x14ac:dyDescent="0.25">
      <c r="H397" s="102"/>
      <c r="I397" s="102"/>
      <c r="J397" s="103">
        <f>IF(E397&lt;0,MIN(0,E397+N(H397)),MAX(0,E397-N(H397)))</f>
      </c>
    </row>
    <row r="398" spans="8:10" x14ac:dyDescent="0.25">
      <c r="H398" s="102"/>
      <c r="I398" s="102"/>
      <c r="J398" s="103">
        <f>IF(E398&lt;0,MIN(0,E398+N(H398)),MAX(0,E398-N(H398)))</f>
      </c>
    </row>
    <row r="399" spans="8:10" x14ac:dyDescent="0.25">
      <c r="H399" s="102"/>
      <c r="I399" s="102"/>
      <c r="J399" s="103">
        <f>IF(E399&lt;0,MIN(0,E399+N(H399)),MAX(0,E399-N(H399)))</f>
      </c>
    </row>
    <row r="400" spans="8:10" x14ac:dyDescent="0.25">
      <c r="H400" s="102"/>
      <c r="I400" s="102"/>
      <c r="J400" s="103">
        <f>IF(E400&lt;0,MIN(0,E400+N(H400)),MAX(0,E400-N(H400)))</f>
      </c>
    </row>
    <row r="401" spans="8:10" x14ac:dyDescent="0.25">
      <c r="H401" s="102"/>
      <c r="I401" s="102"/>
      <c r="J401" s="103">
        <f>IF(E401&lt;0,MIN(0,E401+N(H401)),MAX(0,E401-N(H401)))</f>
      </c>
    </row>
    <row r="402" spans="8:10" x14ac:dyDescent="0.25">
      <c r="H402" s="102"/>
      <c r="I402" s="102"/>
      <c r="J402" s="103">
        <f>IF(E402&lt;0,MIN(0,E402+N(H402)),MAX(0,E402-N(H402)))</f>
      </c>
    </row>
    <row r="403" spans="8:10" x14ac:dyDescent="0.25">
      <c r="H403" s="102"/>
      <c r="I403" s="102"/>
      <c r="J403" s="103">
        <f>IF(E403&lt;0,MIN(0,E403+N(H403)),MAX(0,E403-N(H403)))</f>
      </c>
    </row>
    <row r="404" spans="8:10" x14ac:dyDescent="0.25">
      <c r="H404" s="102"/>
      <c r="I404" s="102"/>
      <c r="J404" s="103">
        <f>IF(E404&lt;0,MIN(0,E404+N(H404)),MAX(0,E404-N(H404)))</f>
      </c>
    </row>
    <row r="405" spans="8:10" x14ac:dyDescent="0.25">
      <c r="H405" s="102"/>
      <c r="I405" s="102"/>
      <c r="J405" s="103">
        <f>IF(E405&lt;0,MIN(0,E405+N(H405)),MAX(0,E405-N(H405)))</f>
      </c>
    </row>
    <row r="406" spans="8:10" x14ac:dyDescent="0.25">
      <c r="H406" s="102"/>
      <c r="I406" s="102"/>
      <c r="J406" s="103">
        <f>IF(E406&lt;0,MIN(0,E406+N(H406)),MAX(0,E406-N(H406)))</f>
      </c>
    </row>
    <row r="407" spans="8:10" x14ac:dyDescent="0.25">
      <c r="H407" s="102"/>
      <c r="I407" s="102"/>
      <c r="J407" s="103">
        <f>IF(E407&lt;0,MIN(0,E407+N(H407)),MAX(0,E407-N(H407)))</f>
      </c>
    </row>
    <row r="408" spans="8:10" x14ac:dyDescent="0.25">
      <c r="H408" s="102"/>
      <c r="I408" s="102"/>
      <c r="J408" s="103">
        <f>IF(E408&lt;0,MIN(0,E408+N(H408)),MAX(0,E408-N(H408)))</f>
      </c>
    </row>
    <row r="409" spans="8:10" x14ac:dyDescent="0.25">
      <c r="H409" s="102"/>
      <c r="I409" s="102"/>
      <c r="J409" s="103">
        <f>IF(E409&lt;0,MIN(0,E409+N(H409)),MAX(0,E409-N(H409)))</f>
      </c>
    </row>
    <row r="410" spans="8:10" x14ac:dyDescent="0.25">
      <c r="H410" s="102"/>
      <c r="I410" s="102"/>
      <c r="J410" s="103">
        <f>IF(E410&lt;0,MIN(0,E410+N(H410)),MAX(0,E410-N(H410)))</f>
      </c>
    </row>
    <row r="411" spans="8:10" x14ac:dyDescent="0.25">
      <c r="H411" s="102"/>
      <c r="I411" s="102"/>
      <c r="J411" s="103">
        <f>IF(E411&lt;0,MIN(0,E411+N(H411)),MAX(0,E411-N(H411)))</f>
      </c>
    </row>
    <row r="412" spans="8:10" x14ac:dyDescent="0.25">
      <c r="H412" s="102"/>
      <c r="I412" s="102"/>
      <c r="J412" s="103">
        <f>IF(E412&lt;0,MIN(0,E412+N(H412)),MAX(0,E412-N(H412)))</f>
      </c>
    </row>
    <row r="413" spans="8:10" x14ac:dyDescent="0.25">
      <c r="H413" s="102"/>
      <c r="I413" s="102"/>
      <c r="J413" s="103">
        <f>IF(E413&lt;0,MIN(0,E413+N(H413)),MAX(0,E413-N(H413)))</f>
      </c>
    </row>
    <row r="414" spans="8:10" x14ac:dyDescent="0.25">
      <c r="H414" s="102"/>
      <c r="I414" s="102"/>
      <c r="J414" s="103">
        <f>IF(E414&lt;0,MIN(0,E414+N(H414)),MAX(0,E414-N(H414)))</f>
      </c>
    </row>
    <row r="415" spans="8:10" x14ac:dyDescent="0.25">
      <c r="H415" s="102"/>
      <c r="I415" s="102"/>
      <c r="J415" s="103">
        <f>IF(E415&lt;0,MIN(0,E415+N(H415)),MAX(0,E415-N(H415)))</f>
      </c>
    </row>
    <row r="416" spans="8:10" x14ac:dyDescent="0.25">
      <c r="H416" s="102"/>
      <c r="I416" s="102"/>
      <c r="J416" s="103">
        <f>IF(E416&lt;0,MIN(0,E416+N(H416)),MAX(0,E416-N(H416)))</f>
      </c>
    </row>
    <row r="417" spans="8:10" x14ac:dyDescent="0.25">
      <c r="H417" s="102"/>
      <c r="I417" s="102"/>
      <c r="J417" s="103">
        <f>IF(E417&lt;0,MIN(0,E417+N(H417)),MAX(0,E417-N(H417)))</f>
      </c>
    </row>
    <row r="418" spans="8:10" x14ac:dyDescent="0.25">
      <c r="H418" s="102"/>
      <c r="I418" s="102"/>
      <c r="J418" s="103">
        <f>IF(E418&lt;0,MIN(0,E418+N(H418)),MAX(0,E418-N(H418)))</f>
      </c>
    </row>
    <row r="419" spans="8:10" x14ac:dyDescent="0.25">
      <c r="H419" s="102"/>
      <c r="I419" s="102"/>
      <c r="J419" s="103">
        <f>IF(E419&lt;0,MIN(0,E419+N(H419)),MAX(0,E419-N(H419)))</f>
      </c>
    </row>
    <row r="420" spans="8:10" x14ac:dyDescent="0.25">
      <c r="H420" s="102"/>
      <c r="I420" s="102"/>
      <c r="J420" s="103">
        <f>IF(E420&lt;0,MIN(0,E420+N(H420)),MAX(0,E420-N(H420)))</f>
      </c>
    </row>
    <row r="421" spans="8:10" x14ac:dyDescent="0.25">
      <c r="H421" s="102"/>
      <c r="I421" s="102"/>
      <c r="J421" s="103">
        <f>IF(E421&lt;0,MIN(0,E421+N(H421)),MAX(0,E421-N(H421)))</f>
      </c>
    </row>
    <row r="422" spans="8:10" x14ac:dyDescent="0.25">
      <c r="H422" s="102"/>
      <c r="I422" s="102"/>
      <c r="J422" s="103">
        <f>IF(E422&lt;0,MIN(0,E422+N(H422)),MAX(0,E422-N(H422)))</f>
      </c>
    </row>
    <row r="423" spans="8:10" x14ac:dyDescent="0.25">
      <c r="H423" s="102"/>
      <c r="I423" s="102"/>
      <c r="J423" s="103">
        <f>IF(E423&lt;0,MIN(0,E423+N(H423)),MAX(0,E423-N(H423)))</f>
      </c>
    </row>
    <row r="424" spans="8:10" x14ac:dyDescent="0.25">
      <c r="H424" s="102"/>
      <c r="I424" s="102"/>
      <c r="J424" s="103">
        <f>IF(E424&lt;0,MIN(0,E424+N(H424)),MAX(0,E424-N(H424)))</f>
      </c>
    </row>
    <row r="425" spans="8:10" x14ac:dyDescent="0.25">
      <c r="H425" s="102"/>
      <c r="I425" s="102"/>
      <c r="J425" s="103">
        <f>IF(E425&lt;0,MIN(0,E425+N(H425)),MAX(0,E425-N(H425)))</f>
      </c>
    </row>
    <row r="426" spans="8:10" x14ac:dyDescent="0.25">
      <c r="H426" s="102"/>
      <c r="I426" s="102"/>
      <c r="J426" s="103">
        <f>IF(E426&lt;0,MIN(0,E426+N(H426)),MAX(0,E426-N(H426)))</f>
      </c>
    </row>
    <row r="427" spans="8:10" x14ac:dyDescent="0.25">
      <c r="H427" s="102"/>
      <c r="I427" s="102"/>
      <c r="J427" s="103">
        <f>IF(E427&lt;0,MIN(0,E427+N(H427)),MAX(0,E427-N(H427)))</f>
      </c>
    </row>
    <row r="428" spans="8:10" x14ac:dyDescent="0.25">
      <c r="H428" s="102"/>
      <c r="I428" s="102"/>
      <c r="J428" s="103">
        <f>IF(E428&lt;0,MIN(0,E428+N(H428)),MAX(0,E428-N(H428)))</f>
      </c>
    </row>
    <row r="429" spans="8:10" x14ac:dyDescent="0.25">
      <c r="H429" s="102"/>
      <c r="I429" s="102"/>
      <c r="J429" s="103">
        <f>IF(E429&lt;0,MIN(0,E429+N(H429)),MAX(0,E429-N(H429)))</f>
      </c>
    </row>
    <row r="430" spans="8:10" x14ac:dyDescent="0.25">
      <c r="H430" s="102"/>
      <c r="I430" s="102"/>
      <c r="J430" s="103">
        <f>IF(E430&lt;0,MIN(0,E430+N(H430)),MAX(0,E430-N(H430)))</f>
      </c>
    </row>
    <row r="431" spans="8:10" x14ac:dyDescent="0.25">
      <c r="H431" s="102"/>
      <c r="I431" s="102"/>
      <c r="J431" s="103">
        <f>IF(E431&lt;0,MIN(0,E431+N(H431)),MAX(0,E431-N(H431)))</f>
      </c>
    </row>
    <row r="432" spans="8:10" x14ac:dyDescent="0.25">
      <c r="H432" s="102"/>
      <c r="I432" s="102"/>
      <c r="J432" s="103">
        <f>IF(E432&lt;0,MIN(0,E432+N(H432)),MAX(0,E432-N(H432)))</f>
      </c>
    </row>
    <row r="433" spans="8:10" x14ac:dyDescent="0.25">
      <c r="H433" s="102"/>
      <c r="I433" s="102"/>
      <c r="J433" s="103">
        <f>IF(E433&lt;0,MIN(0,E433+N(H433)),MAX(0,E433-N(H433)))</f>
      </c>
    </row>
    <row r="434" spans="8:10" x14ac:dyDescent="0.25">
      <c r="H434" s="102"/>
      <c r="I434" s="102"/>
      <c r="J434" s="103">
        <f>IF(E434&lt;0,MIN(0,E434+N(H434)),MAX(0,E434-N(H434)))</f>
      </c>
    </row>
    <row r="435" spans="8:10" x14ac:dyDescent="0.25">
      <c r="H435" s="102"/>
      <c r="I435" s="102"/>
      <c r="J435" s="103">
        <f>IF(E435&lt;0,MIN(0,E435+N(H435)),MAX(0,E435-N(H435)))</f>
      </c>
    </row>
    <row r="436" spans="8:10" x14ac:dyDescent="0.25">
      <c r="H436" s="102"/>
      <c r="I436" s="102"/>
      <c r="J436" s="103">
        <f>IF(E436&lt;0,MIN(0,E436+N(H436)),MAX(0,E436-N(H436)))</f>
      </c>
    </row>
    <row r="437" spans="8:10" x14ac:dyDescent="0.25">
      <c r="H437" s="102"/>
      <c r="I437" s="102"/>
      <c r="J437" s="103">
        <f>IF(E437&lt;0,MIN(0,E437+N(H437)),MAX(0,E437-N(H437)))</f>
      </c>
    </row>
    <row r="438" spans="8:10" x14ac:dyDescent="0.25">
      <c r="H438" s="102"/>
      <c r="I438" s="102"/>
      <c r="J438" s="103">
        <f>IF(E438&lt;0,MIN(0,E438+N(H438)),MAX(0,E438-N(H438)))</f>
      </c>
    </row>
    <row r="439" spans="8:10" x14ac:dyDescent="0.25">
      <c r="H439" s="102"/>
      <c r="I439" s="102"/>
      <c r="J439" s="103">
        <f>IF(E439&lt;0,MIN(0,E439+N(H439)),MAX(0,E439-N(H439)))</f>
      </c>
    </row>
    <row r="440" spans="8:10" x14ac:dyDescent="0.25">
      <c r="H440" s="102"/>
      <c r="I440" s="102"/>
      <c r="J440" s="103">
        <f>IF(E440&lt;0,MIN(0,E440+N(H440)),MAX(0,E440-N(H440)))</f>
      </c>
    </row>
    <row r="441" spans="8:10" x14ac:dyDescent="0.25">
      <c r="H441" s="102"/>
      <c r="I441" s="102"/>
      <c r="J441" s="103">
        <f>IF(E441&lt;0,MIN(0,E441+N(H441)),MAX(0,E441-N(H441)))</f>
      </c>
    </row>
    <row r="442" spans="8:10" x14ac:dyDescent="0.25">
      <c r="H442" s="102"/>
      <c r="I442" s="102"/>
      <c r="J442" s="103">
        <f>IF(E442&lt;0,MIN(0,E442+N(H442)),MAX(0,E442-N(H442)))</f>
      </c>
    </row>
    <row r="443" spans="8:10" x14ac:dyDescent="0.25">
      <c r="H443" s="102"/>
      <c r="I443" s="102"/>
      <c r="J443" s="103">
        <f>IF(E443&lt;0,MIN(0,E443+N(H443)),MAX(0,E443-N(H443)))</f>
      </c>
    </row>
    <row r="444" spans="8:10" x14ac:dyDescent="0.25">
      <c r="H444" s="102"/>
      <c r="I444" s="102"/>
      <c r="J444" s="103">
        <f>IF(E444&lt;0,MIN(0,E444+N(H444)),MAX(0,E444-N(H444)))</f>
      </c>
    </row>
    <row r="445" spans="8:10" x14ac:dyDescent="0.25">
      <c r="H445" s="102"/>
      <c r="I445" s="102"/>
      <c r="J445" s="103">
        <f>IF(E445&lt;0,MIN(0,E445+N(H445)),MAX(0,E445-N(H445)))</f>
      </c>
    </row>
    <row r="446" spans="8:10" x14ac:dyDescent="0.25">
      <c r="H446" s="102"/>
      <c r="I446" s="102"/>
      <c r="J446" s="103">
        <f>IF(E446&lt;0,MIN(0,E446+N(H446)),MAX(0,E446-N(H446)))</f>
      </c>
    </row>
    <row r="447" spans="8:10" x14ac:dyDescent="0.25">
      <c r="H447" s="102"/>
      <c r="I447" s="102"/>
      <c r="J447" s="103">
        <f>IF(E447&lt;0,MIN(0,E447+N(H447)),MAX(0,E447-N(H447)))</f>
      </c>
    </row>
    <row r="448" spans="8:10" x14ac:dyDescent="0.25">
      <c r="H448" s="102"/>
      <c r="I448" s="102"/>
      <c r="J448" s="103">
        <f>IF(E448&lt;0,MIN(0,E448+N(H448)),MAX(0,E448-N(H448)))</f>
      </c>
    </row>
    <row r="449" spans="8:10" x14ac:dyDescent="0.25">
      <c r="H449" s="102"/>
      <c r="I449" s="102"/>
      <c r="J449" s="103">
        <f>IF(E449&lt;0,MIN(0,E449+N(H449)),MAX(0,E449-N(H449)))</f>
      </c>
    </row>
    <row r="450" spans="8:10" x14ac:dyDescent="0.25">
      <c r="H450" s="102"/>
      <c r="I450" s="102"/>
      <c r="J450" s="103">
        <f>IF(E450&lt;0,MIN(0,E450+N(H450)),MAX(0,E450-N(H450)))</f>
      </c>
    </row>
    <row r="451" spans="8:10" x14ac:dyDescent="0.25">
      <c r="H451" s="102"/>
      <c r="I451" s="102"/>
      <c r="J451" s="103">
        <f>IF(E451&lt;0,MIN(0,E451+N(H451)),MAX(0,E451-N(H451)))</f>
      </c>
    </row>
    <row r="452" spans="8:10" x14ac:dyDescent="0.25">
      <c r="H452" s="102"/>
      <c r="I452" s="102"/>
      <c r="J452" s="103">
        <f>IF(E452&lt;0,MIN(0,E452+N(H452)),MAX(0,E452-N(H452)))</f>
      </c>
    </row>
    <row r="453" spans="8:10" x14ac:dyDescent="0.25">
      <c r="H453" s="102"/>
      <c r="I453" s="102"/>
      <c r="J453" s="103">
        <f>IF(E453&lt;0,MIN(0,E453+N(H453)),MAX(0,E453-N(H453)))</f>
      </c>
    </row>
    <row r="454" spans="8:10" x14ac:dyDescent="0.25">
      <c r="H454" s="102"/>
      <c r="I454" s="102"/>
      <c r="J454" s="103">
        <f>IF(E454&lt;0,MIN(0,E454+N(H454)),MAX(0,E454-N(H454)))</f>
      </c>
    </row>
    <row r="455" spans="8:10" x14ac:dyDescent="0.25">
      <c r="H455" s="102"/>
      <c r="I455" s="102"/>
      <c r="J455" s="103">
        <f>IF(E455&lt;0,MIN(0,E455+N(H455)),MAX(0,E455-N(H455)))</f>
      </c>
    </row>
    <row r="456" spans="8:10" x14ac:dyDescent="0.25">
      <c r="H456" s="102"/>
      <c r="I456" s="102"/>
      <c r="J456" s="103">
        <f>IF(E456&lt;0,MIN(0,E456+N(H456)),MAX(0,E456-N(H456)))</f>
      </c>
    </row>
    <row r="457" spans="8:10" x14ac:dyDescent="0.25">
      <c r="H457" s="102"/>
      <c r="I457" s="102"/>
      <c r="J457" s="103">
        <f>IF(E457&lt;0,MIN(0,E457+N(H457)),MAX(0,E457-N(H457)))</f>
      </c>
    </row>
    <row r="458" spans="8:10" x14ac:dyDescent="0.25">
      <c r="H458" s="102"/>
      <c r="I458" s="102"/>
      <c r="J458" s="103">
        <f>IF(E458&lt;0,MIN(0,E458+N(H458)),MAX(0,E458-N(H458)))</f>
      </c>
    </row>
    <row r="459" spans="8:10" x14ac:dyDescent="0.25">
      <c r="H459" s="102"/>
      <c r="I459" s="102"/>
      <c r="J459" s="103">
        <f>IF(E459&lt;0,MIN(0,E459+N(H459)),MAX(0,E459-N(H459)))</f>
      </c>
    </row>
    <row r="460" spans="8:10" x14ac:dyDescent="0.25">
      <c r="H460" s="102"/>
      <c r="I460" s="102"/>
      <c r="J460" s="103">
        <f>IF(E460&lt;0,MIN(0,E460+N(H460)),MAX(0,E460-N(H460)))</f>
      </c>
    </row>
    <row r="461" spans="8:10" x14ac:dyDescent="0.25">
      <c r="H461" s="102"/>
      <c r="I461" s="102"/>
      <c r="J461" s="103">
        <f>IF(E461&lt;0,MIN(0,E461+N(H461)),MAX(0,E461-N(H461)))</f>
      </c>
    </row>
    <row r="462" spans="8:10" x14ac:dyDescent="0.25">
      <c r="H462" s="102"/>
      <c r="I462" s="102"/>
      <c r="J462" s="103">
        <f>IF(E462&lt;0,MIN(0,E462+N(H462)),MAX(0,E462-N(H462)))</f>
      </c>
    </row>
    <row r="463" spans="8:10" x14ac:dyDescent="0.25">
      <c r="H463" s="102"/>
      <c r="I463" s="102"/>
      <c r="J463" s="103">
        <f>IF(E463&lt;0,MIN(0,E463+N(H463)),MAX(0,E463-N(H463)))</f>
      </c>
    </row>
    <row r="464" spans="8:10" x14ac:dyDescent="0.25">
      <c r="H464" s="102"/>
      <c r="I464" s="102"/>
      <c r="J464" s="103">
        <f>IF(E464&lt;0,MIN(0,E464+N(H464)),MAX(0,E464-N(H464)))</f>
      </c>
    </row>
    <row r="465" spans="8:10" x14ac:dyDescent="0.25">
      <c r="H465" s="102"/>
      <c r="I465" s="102"/>
      <c r="J465" s="103">
        <f>IF(E465&lt;0,MIN(0,E465+N(H465)),MAX(0,E465-N(H465)))</f>
      </c>
    </row>
    <row r="466" spans="8:10" x14ac:dyDescent="0.25">
      <c r="H466" s="102"/>
      <c r="I466" s="102"/>
      <c r="J466" s="103">
        <f>IF(E466&lt;0,MIN(0,E466+N(H466)),MAX(0,E466-N(H466)))</f>
      </c>
    </row>
    <row r="467" spans="8:10" x14ac:dyDescent="0.25">
      <c r="H467" s="102"/>
      <c r="I467" s="102"/>
      <c r="J467" s="103">
        <f>IF(E467&lt;0,MIN(0,E467+N(H467)),MAX(0,E467-N(H467)))</f>
      </c>
    </row>
    <row r="468" spans="8:10" x14ac:dyDescent="0.25">
      <c r="H468" s="102"/>
      <c r="I468" s="102"/>
      <c r="J468" s="103">
        <f>IF(E468&lt;0,MIN(0,E468+N(H468)),MAX(0,E468-N(H468)))</f>
      </c>
    </row>
    <row r="469" spans="8:10" x14ac:dyDescent="0.25">
      <c r="H469" s="102"/>
      <c r="I469" s="102"/>
      <c r="J469" s="103">
        <f>IF(E469&lt;0,MIN(0,E469+N(H469)),MAX(0,E469-N(H469)))</f>
      </c>
    </row>
    <row r="470" spans="8:10" x14ac:dyDescent="0.25">
      <c r="H470" s="102"/>
      <c r="I470" s="102"/>
      <c r="J470" s="103">
        <f>IF(E470&lt;0,MIN(0,E470+N(H470)),MAX(0,E470-N(H470)))</f>
      </c>
    </row>
    <row r="471" spans="8:10" x14ac:dyDescent="0.25">
      <c r="H471" s="102"/>
      <c r="I471" s="102"/>
      <c r="J471" s="103">
        <f>IF(E471&lt;0,MIN(0,E471+N(H471)),MAX(0,E471-N(H471)))</f>
      </c>
    </row>
    <row r="472" spans="8:10" x14ac:dyDescent="0.25">
      <c r="H472" s="102"/>
      <c r="I472" s="102"/>
      <c r="J472" s="103">
        <f>IF(E472&lt;0,MIN(0,E472+N(H472)),MAX(0,E472-N(H472)))</f>
      </c>
    </row>
    <row r="473" spans="8:10" x14ac:dyDescent="0.25">
      <c r="H473" s="102"/>
      <c r="I473" s="102"/>
      <c r="J473" s="103">
        <f>IF(E473&lt;0,MIN(0,E473+N(H473)),MAX(0,E473-N(H473)))</f>
      </c>
    </row>
    <row r="474" spans="8:10" x14ac:dyDescent="0.25">
      <c r="H474" s="102"/>
      <c r="I474" s="102"/>
      <c r="J474" s="103">
        <f>IF(E474&lt;0,MIN(0,E474+N(H474)),MAX(0,E474-N(H474)))</f>
      </c>
    </row>
    <row r="475" spans="8:10" x14ac:dyDescent="0.25">
      <c r="H475" s="102"/>
      <c r="I475" s="102"/>
      <c r="J475" s="103">
        <f>IF(E475&lt;0,MIN(0,E475+N(H475)),MAX(0,E475-N(H475)))</f>
      </c>
    </row>
    <row r="476" spans="8:10" x14ac:dyDescent="0.25">
      <c r="H476" s="102"/>
      <c r="I476" s="102"/>
      <c r="J476" s="103">
        <f>IF(E476&lt;0,MIN(0,E476+N(H476)),MAX(0,E476-N(H476)))</f>
      </c>
    </row>
    <row r="477" spans="8:10" x14ac:dyDescent="0.25">
      <c r="H477" s="102"/>
      <c r="I477" s="102"/>
      <c r="J477" s="103">
        <f>IF(E477&lt;0,MIN(0,E477+N(H477)),MAX(0,E477-N(H477)))</f>
      </c>
    </row>
    <row r="478" spans="8:10" x14ac:dyDescent="0.25">
      <c r="H478" s="102"/>
      <c r="I478" s="102"/>
      <c r="J478" s="103">
        <f>IF(E478&lt;0,MIN(0,E478+N(H478)),MAX(0,E478-N(H478)))</f>
      </c>
    </row>
    <row r="479" spans="8:10" x14ac:dyDescent="0.25">
      <c r="H479" s="102"/>
      <c r="I479" s="102"/>
      <c r="J479" s="103">
        <f>IF(E479&lt;0,MIN(0,E479+N(H479)),MAX(0,E479-N(H479)))</f>
      </c>
    </row>
    <row r="480" spans="8:10" x14ac:dyDescent="0.25">
      <c r="H480" s="102"/>
      <c r="I480" s="102"/>
      <c r="J480" s="103">
        <f>IF(E480&lt;0,MIN(0,E480+N(H480)),MAX(0,E480-N(H480)))</f>
      </c>
    </row>
    <row r="481" spans="8:10" x14ac:dyDescent="0.25">
      <c r="H481" s="102"/>
      <c r="I481" s="102"/>
      <c r="J481" s="103">
        <f>IF(E481&lt;0,MIN(0,E481+N(H481)),MAX(0,E481-N(H481)))</f>
      </c>
    </row>
    <row r="482" spans="8:10" x14ac:dyDescent="0.25">
      <c r="H482" s="102"/>
      <c r="I482" s="102"/>
      <c r="J482" s="103">
        <f>IF(E482&lt;0,MIN(0,E482+N(H482)),MAX(0,E482-N(H482)))</f>
      </c>
    </row>
    <row r="483" spans="8:10" x14ac:dyDescent="0.25">
      <c r="H483" s="102"/>
      <c r="I483" s="102"/>
      <c r="J483" s="103">
        <f>IF(E483&lt;0,MIN(0,E483+N(H483)),MAX(0,E483-N(H483)))</f>
      </c>
    </row>
    <row r="484" spans="8:10" x14ac:dyDescent="0.25">
      <c r="H484" s="102"/>
      <c r="I484" s="102"/>
      <c r="J484" s="103">
        <f>IF(E484&lt;0,MIN(0,E484+N(H484)),MAX(0,E484-N(H484)))</f>
      </c>
    </row>
    <row r="485" spans="8:10" x14ac:dyDescent="0.25">
      <c r="H485" s="102"/>
      <c r="I485" s="102"/>
      <c r="J485" s="103">
        <f>IF(E485&lt;0,MIN(0,E485+N(H485)),MAX(0,E485-N(H485)))</f>
      </c>
    </row>
    <row r="486" spans="8:10" x14ac:dyDescent="0.25">
      <c r="H486" s="102"/>
      <c r="I486" s="102"/>
      <c r="J486" s="103">
        <f>IF(E486&lt;0,MIN(0,E486+N(H486)),MAX(0,E486-N(H486)))</f>
      </c>
    </row>
    <row r="487" spans="8:10" x14ac:dyDescent="0.25">
      <c r="H487" s="102"/>
      <c r="I487" s="102"/>
      <c r="J487" s="103">
        <f>IF(E487&lt;0,MIN(0,E487+N(H487)),MAX(0,E487-N(H487)))</f>
      </c>
    </row>
    <row r="488" spans="8:10" x14ac:dyDescent="0.25">
      <c r="H488" s="102"/>
      <c r="I488" s="102"/>
      <c r="J488" s="103">
        <f>IF(E488&lt;0,MIN(0,E488+N(H488)),MAX(0,E488-N(H488)))</f>
      </c>
    </row>
    <row r="489" spans="8:10" x14ac:dyDescent="0.25">
      <c r="H489" s="102"/>
      <c r="I489" s="102"/>
      <c r="J489" s="103">
        <f>IF(E489&lt;0,MIN(0,E489+N(H489)),MAX(0,E489-N(H489)))</f>
      </c>
    </row>
    <row r="490" spans="8:10" x14ac:dyDescent="0.25">
      <c r="H490" s="102"/>
      <c r="I490" s="102"/>
      <c r="J490" s="103">
        <f>IF(E490&lt;0,MIN(0,E490+N(H490)),MAX(0,E490-N(H490)))</f>
      </c>
    </row>
    <row r="491" spans="8:10" x14ac:dyDescent="0.25">
      <c r="H491" s="102"/>
      <c r="I491" s="102"/>
      <c r="J491" s="103">
        <f>IF(E491&lt;0,MIN(0,E491+N(H491)),MAX(0,E491-N(H491)))</f>
      </c>
    </row>
    <row r="492" spans="8:10" x14ac:dyDescent="0.25">
      <c r="H492" s="102"/>
      <c r="I492" s="102"/>
      <c r="J492" s="103">
        <f>IF(E492&lt;0,MIN(0,E492+N(H492)),MAX(0,E492-N(H492)))</f>
      </c>
    </row>
    <row r="493" spans="8:10" x14ac:dyDescent="0.25">
      <c r="H493" s="102"/>
      <c r="I493" s="102"/>
      <c r="J493" s="103">
        <f>IF(E493&lt;0,MIN(0,E493+N(H493)),MAX(0,E493-N(H493)))</f>
      </c>
    </row>
    <row r="494" spans="8:10" x14ac:dyDescent="0.25">
      <c r="H494" s="102"/>
      <c r="I494" s="102"/>
      <c r="J494" s="103">
        <f>IF(E494&lt;0,MIN(0,E494+N(H494)),MAX(0,E494-N(H494)))</f>
      </c>
    </row>
    <row r="495" spans="8:10" x14ac:dyDescent="0.25">
      <c r="H495" s="102"/>
      <c r="I495" s="102"/>
      <c r="J495" s="103">
        <f>IF(E495&lt;0,MIN(0,E495+N(H495)),MAX(0,E495-N(H495)))</f>
      </c>
    </row>
    <row r="496" spans="8:10" x14ac:dyDescent="0.25">
      <c r="H496" s="102"/>
      <c r="I496" s="102"/>
      <c r="J496" s="103">
        <f>IF(E496&lt;0,MIN(0,E496+N(H496)),MAX(0,E496-N(H496)))</f>
      </c>
    </row>
    <row r="497" spans="8:10" x14ac:dyDescent="0.25">
      <c r="H497" s="102"/>
      <c r="I497" s="102"/>
      <c r="J497" s="103">
        <f>IF(E497&lt;0,MIN(0,E497+N(H497)),MAX(0,E497-N(H497)))</f>
      </c>
    </row>
    <row r="498" spans="8:10" x14ac:dyDescent="0.25">
      <c r="H498" s="102"/>
      <c r="I498" s="102"/>
      <c r="J498" s="103">
        <f>IF(E498&lt;0,MIN(0,E498+N(H498)),MAX(0,E498-N(H498)))</f>
      </c>
    </row>
    <row r="499" spans="8:10" x14ac:dyDescent="0.25">
      <c r="H499" s="102"/>
      <c r="I499" s="102"/>
      <c r="J499" s="103">
        <f>IF(E499&lt;0,MIN(0,E499+N(H499)),MAX(0,E499-N(H499)))</f>
      </c>
    </row>
    <row r="500" spans="8:10" x14ac:dyDescent="0.25">
      <c r="H500" s="102"/>
      <c r="I500" s="102"/>
      <c r="J500" s="103">
        <f>IF(E500&lt;0,MIN(0,E500+N(H500)),MAX(0,E500-N(H500)))</f>
      </c>
    </row>
    <row r="501" spans="8:10" x14ac:dyDescent="0.25">
      <c r="H501" s="102"/>
      <c r="I501" s="102"/>
      <c r="J501" s="103">
        <f>IF(E501&lt;0,MIN(0,E501+N(H501)),MAX(0,E501-N(H501)))</f>
      </c>
    </row>
    <row r="502" spans="8:10" x14ac:dyDescent="0.25">
      <c r="H502" s="102"/>
      <c r="I502" s="102"/>
      <c r="J502" s="103">
        <f>IF(E502&lt;0,MIN(0,E502+N(H502)),MAX(0,E502-N(H502)))</f>
      </c>
    </row>
    <row r="503" spans="8:10" x14ac:dyDescent="0.25">
      <c r="H503" s="102"/>
      <c r="I503" s="102"/>
      <c r="J503" s="103">
        <f>IF(E503&lt;0,MIN(0,E503+N(H503)),MAX(0,E503-N(H503)))</f>
      </c>
    </row>
    <row r="504" spans="8:10" x14ac:dyDescent="0.25">
      <c r="H504" s="102"/>
      <c r="I504" s="102"/>
      <c r="J504" s="103">
        <f>IF(E504&lt;0,MIN(0,E504+N(H504)),MAX(0,E504-N(H504)))</f>
      </c>
    </row>
    <row r="505" spans="8:10" x14ac:dyDescent="0.25">
      <c r="H505" s="102"/>
      <c r="I505" s="102"/>
      <c r="J505" s="103">
        <f>IF(E505&lt;0,MIN(0,E505+N(H505)),MAX(0,E505-N(H505)))</f>
      </c>
    </row>
  </sheetData>
  <autoFilter ref="A4:J204"/>
  <dataValidations count="2">
    <dataValidation type="list" allowBlank="1" sqref="A5:A505">
      <formula1>"S1,S2,S3,S4,S5,Après S5"</formula1>
    </dataValidation>
    <dataValidation type="list" allowBlank="1" sqref="G5:G505">
      <formula1>"O,N"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 showGridLines="0">
      <pane xSplit="7" ySplit="4" topLeftCell="H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12" customWidth="1"/>
    <col min="4" max="4" width="22" customWidth="1"/>
    <col min="5" max="5" width="11" customWidth="1"/>
    <col min="6" max="6" width="40" customWidth="1"/>
    <col min="7" max="7" width="22" customWidth="1"/>
    <col min="8" max="8" width="14" customWidth="1"/>
    <col min="9" max="9" width="16" customWidth="1"/>
    <col min="10" max="10" width="10" customWidth="1"/>
    <col min="11" max="11" width="16" customWidth="1"/>
    <col min="12" max="12" width="13" customWidth="1"/>
    <col min="13" max="13" width="16" customWidth="1"/>
  </cols>
  <sheetData>
    <row r="1" spans="1:1" x14ac:dyDescent="0.25">
      <c r="A1" s="1" t="s">
        <v>330</v>
      </c>
    </row>
    <row r="2" spans="1:1" x14ac:dyDescent="0.25">
      <c r="A2" s="74" t="s">
        <v>331</v>
      </c>
    </row>
    <row r="4" spans="1:13" x14ac:dyDescent="0.25">
      <c r="A4" s="93" t="s">
        <v>2</v>
      </c>
      <c r="B4" s="93" t="s">
        <v>332</v>
      </c>
      <c r="C4" s="93" t="s">
        <v>97</v>
      </c>
      <c r="D4" s="93" t="s">
        <v>204</v>
      </c>
      <c r="E4" s="93" t="s">
        <v>333</v>
      </c>
      <c r="F4" s="93" t="s">
        <v>334</v>
      </c>
      <c r="G4" s="93" t="s">
        <v>335</v>
      </c>
      <c r="H4" s="93" t="s">
        <v>336</v>
      </c>
      <c r="I4" s="93" t="s">
        <v>172</v>
      </c>
      <c r="J4" s="93" t="s">
        <v>207</v>
      </c>
      <c r="K4" s="93" t="s">
        <v>208</v>
      </c>
      <c r="L4" s="93" t="s">
        <v>209</v>
      </c>
      <c r="M4" s="93" t="s">
        <v>210</v>
      </c>
    </row>
    <row r="5" spans="1:13" x14ac:dyDescent="0.25">
      <c r="A5" s="94" t="s">
        <v>3</v>
      </c>
      <c r="B5" s="49" t="s">
        <v>70</v>
      </c>
      <c r="C5" s="49" t="s">
        <v>33</v>
      </c>
      <c r="D5" s="49" t="s">
        <v>124</v>
      </c>
      <c r="E5" s="49" t="s">
        <v>337</v>
      </c>
      <c r="F5" s="49" t="s">
        <v>338</v>
      </c>
      <c r="G5" s="49" t="s">
        <v>339</v>
      </c>
      <c r="H5" s="51">
        <v>-5802</v>
      </c>
      <c r="I5" s="51">
        <f>H5*'Reporting Hebdo'!$E$3</f>
      </c>
      <c r="J5" s="94" t="s">
        <v>212</v>
      </c>
      <c r="K5" s="95"/>
      <c r="L5" s="96"/>
      <c r="M5" s="51">
        <f>IF(I5&lt;0,MIN(0,I5+N(K5)),MAX(0,I5-N(K5)))</f>
      </c>
    </row>
    <row r="6" spans="1:13" x14ac:dyDescent="0.25">
      <c r="A6" s="94" t="s">
        <v>3</v>
      </c>
      <c r="B6" s="49" t="s">
        <v>70</v>
      </c>
      <c r="C6" s="49" t="s">
        <v>33</v>
      </c>
      <c r="D6" s="49" t="s">
        <v>125</v>
      </c>
      <c r="E6" s="49" t="s">
        <v>15</v>
      </c>
      <c r="F6" s="49" t="s">
        <v>340</v>
      </c>
      <c r="G6" s="49" t="s">
        <v>15</v>
      </c>
      <c r="H6" s="51">
        <v>-86158.96</v>
      </c>
      <c r="I6" s="51">
        <f>H6*'Reporting Hebdo'!$E$3</f>
      </c>
      <c r="J6" s="94" t="s">
        <v>212</v>
      </c>
      <c r="K6" s="95"/>
      <c r="L6" s="96"/>
      <c r="M6" s="51">
        <f>IF(I6&lt;0,MIN(0,I6+N(K6)),MAX(0,I6-N(K6)))</f>
      </c>
    </row>
    <row r="7" spans="1:13" x14ac:dyDescent="0.25">
      <c r="A7" s="94" t="s">
        <v>3</v>
      </c>
      <c r="B7" s="49" t="s">
        <v>70</v>
      </c>
      <c r="C7" s="49" t="s">
        <v>33</v>
      </c>
      <c r="D7" s="49" t="s">
        <v>125</v>
      </c>
      <c r="E7" s="49" t="s">
        <v>341</v>
      </c>
      <c r="F7" s="49" t="s">
        <v>342</v>
      </c>
      <c r="G7" s="49" t="s">
        <v>15</v>
      </c>
      <c r="H7" s="51">
        <v>-12500</v>
      </c>
      <c r="I7" s="51">
        <f>H7*'Reporting Hebdo'!$E$3</f>
      </c>
      <c r="J7" s="94" t="s">
        <v>212</v>
      </c>
      <c r="K7" s="95"/>
      <c r="L7" s="96"/>
      <c r="M7" s="51">
        <f>IF(I7&lt;0,MIN(0,I7+N(K7)),MAX(0,I7-N(K7)))</f>
      </c>
    </row>
    <row r="8" spans="1:13" x14ac:dyDescent="0.25">
      <c r="A8" s="94" t="s">
        <v>3</v>
      </c>
      <c r="B8" s="49" t="s">
        <v>70</v>
      </c>
      <c r="C8" s="49" t="s">
        <v>33</v>
      </c>
      <c r="D8" s="49" t="s">
        <v>125</v>
      </c>
      <c r="E8" s="49" t="s">
        <v>343</v>
      </c>
      <c r="F8" s="49" t="s">
        <v>344</v>
      </c>
      <c r="G8" s="49" t="s">
        <v>15</v>
      </c>
      <c r="H8" s="51">
        <v>-598630.99</v>
      </c>
      <c r="I8" s="51">
        <f>H8*'Reporting Hebdo'!$E$3</f>
      </c>
      <c r="J8" s="94" t="s">
        <v>212</v>
      </c>
      <c r="K8" s="95">
        <v>392676186</v>
      </c>
      <c r="L8" s="96" t="s">
        <v>345</v>
      </c>
      <c r="M8" s="51">
        <f>IF(I8&lt;0,MIN(0,I8+N(K8)),MAX(0,I8-N(K8)))</f>
      </c>
    </row>
    <row r="9" spans="1:13" x14ac:dyDescent="0.25">
      <c r="A9" s="94" t="s">
        <v>3</v>
      </c>
      <c r="B9" s="49" t="s">
        <v>70</v>
      </c>
      <c r="C9" s="49" t="s">
        <v>33</v>
      </c>
      <c r="D9" s="49" t="s">
        <v>125</v>
      </c>
      <c r="E9" s="49" t="s">
        <v>346</v>
      </c>
      <c r="F9" s="49" t="s">
        <v>347</v>
      </c>
      <c r="G9" s="49" t="s">
        <v>15</v>
      </c>
      <c r="H9" s="51">
        <v>-164209.05</v>
      </c>
      <c r="I9" s="51">
        <f>H9*'Reporting Hebdo'!$E$3</f>
      </c>
      <c r="J9" s="94" t="s">
        <v>212</v>
      </c>
      <c r="K9" s="95"/>
      <c r="L9" s="96"/>
      <c r="M9" s="51">
        <f>IF(I9&lt;0,MIN(0,I9+N(K9)),MAX(0,I9-N(K9)))</f>
      </c>
    </row>
    <row r="10" spans="1:13" x14ac:dyDescent="0.25">
      <c r="A10" s="94" t="s">
        <v>3</v>
      </c>
      <c r="B10" s="49" t="s">
        <v>70</v>
      </c>
      <c r="C10" s="49" t="s">
        <v>33</v>
      </c>
      <c r="D10" s="49" t="s">
        <v>125</v>
      </c>
      <c r="E10" s="49" t="s">
        <v>348</v>
      </c>
      <c r="F10" s="49" t="s">
        <v>349</v>
      </c>
      <c r="G10" s="49" t="s">
        <v>15</v>
      </c>
      <c r="H10" s="51">
        <v>-224940.6</v>
      </c>
      <c r="I10" s="51">
        <f>H10*'Reporting Hebdo'!$E$3</f>
      </c>
      <c r="J10" s="94" t="s">
        <v>212</v>
      </c>
      <c r="K10" s="95"/>
      <c r="L10" s="96"/>
      <c r="M10" s="51">
        <f>IF(I10&lt;0,MIN(0,I10+N(K10)),MAX(0,I10-N(K10)))</f>
      </c>
    </row>
    <row r="11" spans="1:13" x14ac:dyDescent="0.25">
      <c r="A11" s="94" t="s">
        <v>3</v>
      </c>
      <c r="B11" s="49" t="s">
        <v>70</v>
      </c>
      <c r="C11" s="49" t="s">
        <v>33</v>
      </c>
      <c r="D11" s="49" t="s">
        <v>125</v>
      </c>
      <c r="E11" s="49" t="s">
        <v>350</v>
      </c>
      <c r="F11" s="49" t="s">
        <v>351</v>
      </c>
      <c r="G11" s="49" t="s">
        <v>15</v>
      </c>
      <c r="H11" s="51">
        <v>-338435.85</v>
      </c>
      <c r="I11" s="51">
        <f>H11*'Reporting Hebdo'!$E$3</f>
      </c>
      <c r="J11" s="94" t="s">
        <v>212</v>
      </c>
      <c r="K11" s="95"/>
      <c r="L11" s="96"/>
      <c r="M11" s="51">
        <f>IF(I11&lt;0,MIN(0,I11+N(K11)),MAX(0,I11-N(K11)))</f>
      </c>
    </row>
    <row r="12" spans="1:13" x14ac:dyDescent="0.25">
      <c r="A12" s="94" t="s">
        <v>3</v>
      </c>
      <c r="B12" s="49" t="s">
        <v>70</v>
      </c>
      <c r="C12" s="49" t="s">
        <v>33</v>
      </c>
      <c r="D12" s="49" t="s">
        <v>126</v>
      </c>
      <c r="E12" s="49" t="s">
        <v>352</v>
      </c>
      <c r="F12" s="49" t="s">
        <v>353</v>
      </c>
      <c r="G12" s="49" t="s">
        <v>354</v>
      </c>
      <c r="H12" s="51">
        <v>-54903</v>
      </c>
      <c r="I12" s="51">
        <f>H12*'Reporting Hebdo'!$E$3</f>
      </c>
      <c r="J12" s="94" t="s">
        <v>212</v>
      </c>
      <c r="K12" s="95"/>
      <c r="L12" s="96"/>
      <c r="M12" s="51">
        <f>IF(I12&lt;0,MIN(0,I12+N(K12)),MAX(0,I12-N(K12)))</f>
      </c>
    </row>
    <row r="13" spans="1:13" x14ac:dyDescent="0.25">
      <c r="A13" s="94" t="s">
        <v>3</v>
      </c>
      <c r="B13" s="49" t="s">
        <v>70</v>
      </c>
      <c r="C13" s="49" t="s">
        <v>33</v>
      </c>
      <c r="D13" s="49" t="s">
        <v>126</v>
      </c>
      <c r="E13" s="49" t="s">
        <v>352</v>
      </c>
      <c r="F13" s="49" t="s">
        <v>353</v>
      </c>
      <c r="G13" s="49" t="s">
        <v>354</v>
      </c>
      <c r="H13" s="51">
        <v>-6577</v>
      </c>
      <c r="I13" s="51">
        <f>H13*'Reporting Hebdo'!$E$3</f>
      </c>
      <c r="J13" s="94" t="s">
        <v>212</v>
      </c>
      <c r="K13" s="95"/>
      <c r="L13" s="96"/>
      <c r="M13" s="51">
        <f>IF(I13&lt;0,MIN(0,I13+N(K13)),MAX(0,I13-N(K13)))</f>
      </c>
    </row>
    <row r="14" spans="1:13" x14ac:dyDescent="0.25">
      <c r="A14" s="94" t="s">
        <v>3</v>
      </c>
      <c r="B14" s="49" t="s">
        <v>70</v>
      </c>
      <c r="C14" s="49" t="s">
        <v>33</v>
      </c>
      <c r="D14" s="49" t="s">
        <v>126</v>
      </c>
      <c r="E14" s="49" t="s">
        <v>355</v>
      </c>
      <c r="F14" s="49" t="s">
        <v>356</v>
      </c>
      <c r="G14" s="49" t="s">
        <v>357</v>
      </c>
      <c r="H14" s="51">
        <v>-82323.18</v>
      </c>
      <c r="I14" s="51">
        <f>H14*'Reporting Hebdo'!$E$3</f>
      </c>
      <c r="J14" s="94" t="s">
        <v>212</v>
      </c>
      <c r="K14" s="95">
        <v>2709103</v>
      </c>
      <c r="L14" s="96" t="s">
        <v>345</v>
      </c>
      <c r="M14" s="51">
        <f>IF(I14&lt;0,MIN(0,I14+N(K14)),MAX(0,I14-N(K14)))</f>
      </c>
    </row>
    <row r="15" spans="1:13" x14ac:dyDescent="0.25">
      <c r="A15" s="94" t="s">
        <v>3</v>
      </c>
      <c r="B15" s="49" t="s">
        <v>70</v>
      </c>
      <c r="C15" s="49" t="s">
        <v>33</v>
      </c>
      <c r="D15" s="49" t="s">
        <v>126</v>
      </c>
      <c r="E15" s="49" t="s">
        <v>358</v>
      </c>
      <c r="F15" s="49" t="s">
        <v>359</v>
      </c>
      <c r="G15" s="49" t="s">
        <v>360</v>
      </c>
      <c r="H15" s="51">
        <v>-8415.19</v>
      </c>
      <c r="I15" s="51">
        <f>H15*'Reporting Hebdo'!$E$3</f>
      </c>
      <c r="J15" s="94" t="s">
        <v>212</v>
      </c>
      <c r="K15" s="95"/>
      <c r="L15" s="96"/>
      <c r="M15" s="51">
        <f>IF(I15&lt;0,MIN(0,I15+N(K15)),MAX(0,I15-N(K15)))</f>
      </c>
    </row>
    <row r="16" spans="1:13" x14ac:dyDescent="0.25">
      <c r="A16" s="94" t="s">
        <v>3</v>
      </c>
      <c r="B16" s="49" t="s">
        <v>70</v>
      </c>
      <c r="C16" s="49" t="s">
        <v>33</v>
      </c>
      <c r="D16" s="49" t="s">
        <v>126</v>
      </c>
      <c r="E16" s="49" t="s">
        <v>361</v>
      </c>
      <c r="F16" s="49" t="s">
        <v>362</v>
      </c>
      <c r="G16" s="49" t="s">
        <v>363</v>
      </c>
      <c r="H16" s="51">
        <v>-6738.37</v>
      </c>
      <c r="I16" s="51">
        <f>H16*'Reporting Hebdo'!$E$3</f>
      </c>
      <c r="J16" s="94" t="s">
        <v>212</v>
      </c>
      <c r="K16" s="95"/>
      <c r="L16" s="96"/>
      <c r="M16" s="51">
        <f>IF(I16&lt;0,MIN(0,I16+N(K16)),MAX(0,I16-N(K16)))</f>
      </c>
    </row>
    <row r="17" spans="1:13" x14ac:dyDescent="0.25">
      <c r="A17" s="94" t="s">
        <v>3</v>
      </c>
      <c r="B17" s="49" t="s">
        <v>70</v>
      </c>
      <c r="C17" s="49" t="s">
        <v>33</v>
      </c>
      <c r="D17" s="49" t="s">
        <v>126</v>
      </c>
      <c r="E17" s="49" t="s">
        <v>364</v>
      </c>
      <c r="F17" s="49" t="s">
        <v>365</v>
      </c>
      <c r="G17" s="49" t="s">
        <v>366</v>
      </c>
      <c r="H17" s="51">
        <v>-105395.81</v>
      </c>
      <c r="I17" s="51">
        <f>H17*'Reporting Hebdo'!$E$3</f>
      </c>
      <c r="J17" s="94" t="s">
        <v>212</v>
      </c>
      <c r="K17" s="95"/>
      <c r="L17" s="96"/>
      <c r="M17" s="51">
        <f>IF(I17&lt;0,MIN(0,I17+N(K17)),MAX(0,I17-N(K17)))</f>
      </c>
    </row>
    <row r="18" spans="1:13" x14ac:dyDescent="0.25">
      <c r="A18" s="94" t="s">
        <v>3</v>
      </c>
      <c r="B18" s="49" t="s">
        <v>70</v>
      </c>
      <c r="C18" s="49" t="s">
        <v>33</v>
      </c>
      <c r="D18" s="49" t="s">
        <v>126</v>
      </c>
      <c r="E18" s="49" t="s">
        <v>367</v>
      </c>
      <c r="F18" s="49" t="s">
        <v>368</v>
      </c>
      <c r="G18" s="49" t="s">
        <v>369</v>
      </c>
      <c r="H18" s="51">
        <v>-7000</v>
      </c>
      <c r="I18" s="51">
        <f>H18*'Reporting Hebdo'!$E$3</f>
      </c>
      <c r="J18" s="94" t="s">
        <v>212</v>
      </c>
      <c r="K18" s="95"/>
      <c r="L18" s="96"/>
      <c r="M18" s="51">
        <f>IF(I18&lt;0,MIN(0,I18+N(K18)),MAX(0,I18-N(K18)))</f>
      </c>
    </row>
    <row r="19" spans="1:13" x14ac:dyDescent="0.25">
      <c r="A19" s="94" t="s">
        <v>3</v>
      </c>
      <c r="B19" s="49" t="s">
        <v>70</v>
      </c>
      <c r="C19" s="49" t="s">
        <v>33</v>
      </c>
      <c r="D19" s="49" t="s">
        <v>126</v>
      </c>
      <c r="E19" s="49" t="s">
        <v>370</v>
      </c>
      <c r="F19" s="49" t="s">
        <v>371</v>
      </c>
      <c r="G19" s="49" t="s">
        <v>15</v>
      </c>
      <c r="H19" s="51">
        <v>-48527.84</v>
      </c>
      <c r="I19" s="51">
        <f>H19*'Reporting Hebdo'!$E$3</f>
      </c>
      <c r="J19" s="94" t="s">
        <v>212</v>
      </c>
      <c r="K19" s="95"/>
      <c r="L19" s="96"/>
      <c r="M19" s="51">
        <f>IF(I19&lt;0,MIN(0,I19+N(K19)),MAX(0,I19-N(K19)))</f>
      </c>
    </row>
    <row r="20" spans="1:13" x14ac:dyDescent="0.25">
      <c r="A20" s="94" t="s">
        <v>3</v>
      </c>
      <c r="B20" s="49" t="s">
        <v>70</v>
      </c>
      <c r="C20" s="49" t="s">
        <v>33</v>
      </c>
      <c r="D20" s="49" t="s">
        <v>127</v>
      </c>
      <c r="E20" s="49" t="s">
        <v>372</v>
      </c>
      <c r="F20" s="49" t="s">
        <v>373</v>
      </c>
      <c r="G20" s="49" t="s">
        <v>374</v>
      </c>
      <c r="H20" s="51">
        <v>-10000</v>
      </c>
      <c r="I20" s="51">
        <f>H20*'Reporting Hebdo'!$E$3</f>
      </c>
      <c r="J20" s="94" t="s">
        <v>212</v>
      </c>
      <c r="K20" s="95"/>
      <c r="L20" s="96"/>
      <c r="M20" s="51">
        <f>IF(I20&lt;0,MIN(0,I20+N(K20)),MAX(0,I20-N(K20)))</f>
      </c>
    </row>
    <row r="21" spans="1:13" x14ac:dyDescent="0.25">
      <c r="A21" s="94" t="s">
        <v>3</v>
      </c>
      <c r="B21" s="49" t="s">
        <v>70</v>
      </c>
      <c r="C21" s="49" t="s">
        <v>33</v>
      </c>
      <c r="D21" s="49" t="s">
        <v>127</v>
      </c>
      <c r="E21" s="49" t="s">
        <v>375</v>
      </c>
      <c r="F21" s="49" t="s">
        <v>376</v>
      </c>
      <c r="G21" s="49" t="s">
        <v>377</v>
      </c>
      <c r="H21" s="51">
        <v>-1255555.2</v>
      </c>
      <c r="I21" s="51">
        <f>H21*'Reporting Hebdo'!$E$3</f>
      </c>
      <c r="J21" s="94" t="s">
        <v>212</v>
      </c>
      <c r="K21" s="95"/>
      <c r="L21" s="96"/>
      <c r="M21" s="51">
        <f>IF(I21&lt;0,MIN(0,I21+N(K21)),MAX(0,I21-N(K21)))</f>
      </c>
    </row>
    <row r="22" spans="1:13" x14ac:dyDescent="0.25">
      <c r="A22" s="94" t="s">
        <v>3</v>
      </c>
      <c r="B22" s="49" t="s">
        <v>70</v>
      </c>
      <c r="C22" s="49" t="s">
        <v>33</v>
      </c>
      <c r="D22" s="49" t="s">
        <v>128</v>
      </c>
      <c r="E22" s="49" t="s">
        <v>378</v>
      </c>
      <c r="F22" s="49" t="s">
        <v>379</v>
      </c>
      <c r="G22" s="49" t="s">
        <v>15</v>
      </c>
      <c r="H22" s="51">
        <v>-128661.33</v>
      </c>
      <c r="I22" s="51">
        <f>H22*'Reporting Hebdo'!$E$3</f>
      </c>
      <c r="J22" s="94" t="s">
        <v>212</v>
      </c>
      <c r="K22" s="95"/>
      <c r="L22" s="96"/>
      <c r="M22" s="51">
        <f>IF(I22&lt;0,MIN(0,I22+N(K22)),MAX(0,I22-N(K22)))</f>
      </c>
    </row>
    <row r="23" spans="1:13" x14ac:dyDescent="0.25">
      <c r="A23" s="94" t="s">
        <v>3</v>
      </c>
      <c r="B23" s="49" t="s">
        <v>70</v>
      </c>
      <c r="C23" s="49" t="s">
        <v>33</v>
      </c>
      <c r="D23" s="49" t="s">
        <v>128</v>
      </c>
      <c r="E23" s="49" t="s">
        <v>380</v>
      </c>
      <c r="F23" s="49" t="s">
        <v>381</v>
      </c>
      <c r="G23" s="49" t="s">
        <v>15</v>
      </c>
      <c r="H23" s="51">
        <v>-212269.89</v>
      </c>
      <c r="I23" s="51">
        <f>H23*'Reporting Hebdo'!$E$3</f>
      </c>
      <c r="J23" s="94" t="s">
        <v>212</v>
      </c>
      <c r="K23" s="95"/>
      <c r="L23" s="96"/>
      <c r="M23" s="51">
        <f>IF(I23&lt;0,MIN(0,I23+N(K23)),MAX(0,I23-N(K23)))</f>
      </c>
    </row>
    <row r="24" spans="1:13" x14ac:dyDescent="0.25">
      <c r="A24" s="94" t="s">
        <v>3</v>
      </c>
      <c r="B24" s="49" t="s">
        <v>67</v>
      </c>
      <c r="C24" s="49" t="s">
        <v>36</v>
      </c>
      <c r="D24" s="49" t="s">
        <v>124</v>
      </c>
      <c r="E24" s="49" t="s">
        <v>337</v>
      </c>
      <c r="F24" s="49" t="s">
        <v>338</v>
      </c>
      <c r="G24" s="49" t="s">
        <v>382</v>
      </c>
      <c r="H24" s="51">
        <v>-2000</v>
      </c>
      <c r="I24" s="51">
        <f>H24*'Reporting Hebdo'!$E$3</f>
      </c>
      <c r="J24" s="94" t="s">
        <v>212</v>
      </c>
      <c r="K24" s="95"/>
      <c r="L24" s="96"/>
      <c r="M24" s="51">
        <f>IF(I24&lt;0,MIN(0,I24+N(K24)),MAX(0,I24-N(K24)))</f>
      </c>
    </row>
    <row r="25" spans="1:13" x14ac:dyDescent="0.25">
      <c r="A25" s="94" t="s">
        <v>3</v>
      </c>
      <c r="B25" s="49" t="s">
        <v>67</v>
      </c>
      <c r="C25" s="49" t="s">
        <v>36</v>
      </c>
      <c r="D25" s="49" t="s">
        <v>124</v>
      </c>
      <c r="E25" s="49" t="s">
        <v>383</v>
      </c>
      <c r="F25" s="49" t="s">
        <v>384</v>
      </c>
      <c r="G25" s="49" t="s">
        <v>385</v>
      </c>
      <c r="H25" s="51">
        <v>-6532.01</v>
      </c>
      <c r="I25" s="51">
        <f>H25*'Reporting Hebdo'!$E$3</f>
      </c>
      <c r="J25" s="94" t="s">
        <v>212</v>
      </c>
      <c r="K25" s="95"/>
      <c r="L25" s="96"/>
      <c r="M25" s="51">
        <f>IF(I25&lt;0,MIN(0,I25+N(K25)),MAX(0,I25-N(K25)))</f>
      </c>
    </row>
    <row r="26" spans="1:13" x14ac:dyDescent="0.25">
      <c r="A26" s="94" t="s">
        <v>3</v>
      </c>
      <c r="B26" s="49" t="s">
        <v>67</v>
      </c>
      <c r="C26" s="49" t="s">
        <v>36</v>
      </c>
      <c r="D26" s="49" t="s">
        <v>124</v>
      </c>
      <c r="E26" s="49" t="s">
        <v>386</v>
      </c>
      <c r="F26" s="49" t="s">
        <v>387</v>
      </c>
      <c r="G26" s="49" t="s">
        <v>229</v>
      </c>
      <c r="H26" s="51">
        <v>-9643.65</v>
      </c>
      <c r="I26" s="51">
        <f>H26*'Reporting Hebdo'!$E$3</f>
      </c>
      <c r="J26" s="94" t="s">
        <v>212</v>
      </c>
      <c r="K26" s="95"/>
      <c r="L26" s="96"/>
      <c r="M26" s="51">
        <f>IF(I26&lt;0,MIN(0,I26+N(K26)),MAX(0,I26-N(K26)))</f>
      </c>
    </row>
    <row r="27" spans="1:13" x14ac:dyDescent="0.25">
      <c r="A27" s="94" t="s">
        <v>3</v>
      </c>
      <c r="B27" s="49" t="s">
        <v>67</v>
      </c>
      <c r="C27" s="49" t="s">
        <v>36</v>
      </c>
      <c r="D27" s="49" t="s">
        <v>125</v>
      </c>
      <c r="E27" s="49" t="s">
        <v>388</v>
      </c>
      <c r="F27" s="49" t="s">
        <v>389</v>
      </c>
      <c r="G27" s="49" t="s">
        <v>15</v>
      </c>
      <c r="H27" s="51">
        <v>-35324</v>
      </c>
      <c r="I27" s="51">
        <f>H27*'Reporting Hebdo'!$E$3</f>
      </c>
      <c r="J27" s="94" t="s">
        <v>212</v>
      </c>
      <c r="K27" s="95"/>
      <c r="L27" s="96"/>
      <c r="M27" s="51">
        <f>IF(I27&lt;0,MIN(0,I27+N(K27)),MAX(0,I27-N(K27)))</f>
      </c>
    </row>
    <row r="28" spans="1:13" x14ac:dyDescent="0.25">
      <c r="A28" s="94" t="s">
        <v>3</v>
      </c>
      <c r="B28" s="49" t="s">
        <v>67</v>
      </c>
      <c r="C28" s="49" t="s">
        <v>36</v>
      </c>
      <c r="D28" s="49" t="s">
        <v>125</v>
      </c>
      <c r="E28" s="49" t="s">
        <v>390</v>
      </c>
      <c r="F28" s="49" t="s">
        <v>391</v>
      </c>
      <c r="G28" s="49" t="s">
        <v>15</v>
      </c>
      <c r="H28" s="51">
        <v>-153276</v>
      </c>
      <c r="I28" s="51">
        <f>H28*'Reporting Hebdo'!$E$3</f>
      </c>
      <c r="J28" s="94" t="s">
        <v>212</v>
      </c>
      <c r="K28" s="95"/>
      <c r="L28" s="96"/>
      <c r="M28" s="51">
        <f>IF(I28&lt;0,MIN(0,I28+N(K28)),MAX(0,I28-N(K28)))</f>
      </c>
    </row>
    <row r="29" spans="1:13" x14ac:dyDescent="0.25">
      <c r="A29" s="94" t="s">
        <v>3</v>
      </c>
      <c r="B29" s="49" t="s">
        <v>67</v>
      </c>
      <c r="C29" s="49" t="s">
        <v>36</v>
      </c>
      <c r="D29" s="49" t="s">
        <v>125</v>
      </c>
      <c r="E29" s="49" t="s">
        <v>392</v>
      </c>
      <c r="F29" s="49" t="s">
        <v>393</v>
      </c>
      <c r="G29" s="49" t="s">
        <v>394</v>
      </c>
      <c r="H29" s="51">
        <v>-318222.84</v>
      </c>
      <c r="I29" s="51">
        <f>H29*'Reporting Hebdo'!$E$3</f>
      </c>
      <c r="J29" s="94" t="s">
        <v>212</v>
      </c>
      <c r="K29" s="95"/>
      <c r="L29" s="96"/>
      <c r="M29" s="51">
        <f>IF(I29&lt;0,MIN(0,I29+N(K29)),MAX(0,I29-N(K29)))</f>
      </c>
    </row>
    <row r="30" spans="1:13" x14ac:dyDescent="0.25">
      <c r="A30" s="94" t="s">
        <v>3</v>
      </c>
      <c r="B30" s="49" t="s">
        <v>67</v>
      </c>
      <c r="C30" s="49" t="s">
        <v>36</v>
      </c>
      <c r="D30" s="49" t="s">
        <v>125</v>
      </c>
      <c r="E30" s="49" t="s">
        <v>395</v>
      </c>
      <c r="F30" s="49" t="s">
        <v>396</v>
      </c>
      <c r="G30" s="49" t="s">
        <v>15</v>
      </c>
      <c r="H30" s="51">
        <v>-1078767.18</v>
      </c>
      <c r="I30" s="51">
        <f>H30*'Reporting Hebdo'!$E$3</f>
      </c>
      <c r="J30" s="94" t="s">
        <v>212</v>
      </c>
      <c r="K30" s="95"/>
      <c r="L30" s="96"/>
      <c r="M30" s="51">
        <f>IF(I30&lt;0,MIN(0,I30+N(K30)),MAX(0,I30-N(K30)))</f>
      </c>
    </row>
    <row r="31" spans="1:13" x14ac:dyDescent="0.25">
      <c r="A31" s="94" t="s">
        <v>3</v>
      </c>
      <c r="B31" s="49" t="s">
        <v>67</v>
      </c>
      <c r="C31" s="49" t="s">
        <v>36</v>
      </c>
      <c r="D31" s="49" t="s">
        <v>125</v>
      </c>
      <c r="E31" s="49" t="s">
        <v>397</v>
      </c>
      <c r="F31" s="49" t="s">
        <v>398</v>
      </c>
      <c r="G31" s="49" t="s">
        <v>15</v>
      </c>
      <c r="H31" s="51">
        <v>-114194.59</v>
      </c>
      <c r="I31" s="51">
        <f>H31*'Reporting Hebdo'!$E$3</f>
      </c>
      <c r="J31" s="94" t="s">
        <v>212</v>
      </c>
      <c r="K31" s="95"/>
      <c r="L31" s="96"/>
      <c r="M31" s="51">
        <f>IF(I31&lt;0,MIN(0,I31+N(K31)),MAX(0,I31-N(K31)))</f>
      </c>
    </row>
    <row r="32" spans="1:13" x14ac:dyDescent="0.25">
      <c r="A32" s="94" t="s">
        <v>3</v>
      </c>
      <c r="B32" s="49" t="s">
        <v>67</v>
      </c>
      <c r="C32" s="49" t="s">
        <v>36</v>
      </c>
      <c r="D32" s="49" t="s">
        <v>125</v>
      </c>
      <c r="E32" s="49" t="s">
        <v>399</v>
      </c>
      <c r="F32" s="49" t="s">
        <v>400</v>
      </c>
      <c r="G32" s="49" t="s">
        <v>15</v>
      </c>
      <c r="H32" s="51">
        <v>-420171.15</v>
      </c>
      <c r="I32" s="51">
        <f>H32*'Reporting Hebdo'!$E$3</f>
      </c>
      <c r="J32" s="94" t="s">
        <v>212</v>
      </c>
      <c r="K32" s="95"/>
      <c r="L32" s="96"/>
      <c r="M32" s="51">
        <f>IF(I32&lt;0,MIN(0,I32+N(K32)),MAX(0,I32-N(K32)))</f>
      </c>
    </row>
    <row r="33" spans="1:13" x14ac:dyDescent="0.25">
      <c r="A33" s="94" t="s">
        <v>3</v>
      </c>
      <c r="B33" s="49" t="s">
        <v>67</v>
      </c>
      <c r="C33" s="49" t="s">
        <v>36</v>
      </c>
      <c r="D33" s="49" t="s">
        <v>125</v>
      </c>
      <c r="E33" s="49" t="s">
        <v>343</v>
      </c>
      <c r="F33" s="49" t="s">
        <v>401</v>
      </c>
      <c r="G33" s="49" t="s">
        <v>15</v>
      </c>
      <c r="H33" s="51">
        <v>-215577.47</v>
      </c>
      <c r="I33" s="51">
        <f>H33*'Reporting Hebdo'!$E$3</f>
      </c>
      <c r="J33" s="94" t="s">
        <v>212</v>
      </c>
      <c r="K33" s="95"/>
      <c r="L33" s="96"/>
      <c r="M33" s="51">
        <f>IF(I33&lt;0,MIN(0,I33+N(K33)),MAX(0,I33-N(K33)))</f>
      </c>
    </row>
    <row r="34" spans="1:13" x14ac:dyDescent="0.25">
      <c r="A34" s="94" t="s">
        <v>3</v>
      </c>
      <c r="B34" s="49" t="s">
        <v>67</v>
      </c>
      <c r="C34" s="49" t="s">
        <v>36</v>
      </c>
      <c r="D34" s="49" t="s">
        <v>125</v>
      </c>
      <c r="E34" s="49" t="s">
        <v>402</v>
      </c>
      <c r="F34" s="49" t="s">
        <v>403</v>
      </c>
      <c r="G34" s="49" t="s">
        <v>15</v>
      </c>
      <c r="H34" s="51">
        <v>-74507.76</v>
      </c>
      <c r="I34" s="51">
        <f>H34*'Reporting Hebdo'!$E$3</f>
      </c>
      <c r="J34" s="94" t="s">
        <v>212</v>
      </c>
      <c r="K34" s="95"/>
      <c r="L34" s="96"/>
      <c r="M34" s="51">
        <f>IF(I34&lt;0,MIN(0,I34+N(K34)),MAX(0,I34-N(K34)))</f>
      </c>
    </row>
    <row r="35" spans="1:13" x14ac:dyDescent="0.25">
      <c r="A35" s="94" t="s">
        <v>3</v>
      </c>
      <c r="B35" s="49" t="s">
        <v>67</v>
      </c>
      <c r="C35" s="49" t="s">
        <v>36</v>
      </c>
      <c r="D35" s="49" t="s">
        <v>125</v>
      </c>
      <c r="E35" s="49" t="s">
        <v>404</v>
      </c>
      <c r="F35" s="49" t="s">
        <v>405</v>
      </c>
      <c r="G35" s="49" t="s">
        <v>15</v>
      </c>
      <c r="H35" s="51">
        <v>-92662.98</v>
      </c>
      <c r="I35" s="51">
        <f>H35*'Reporting Hebdo'!$E$3</f>
      </c>
      <c r="J35" s="94" t="s">
        <v>212</v>
      </c>
      <c r="K35" s="95"/>
      <c r="L35" s="96"/>
      <c r="M35" s="51">
        <f>IF(I35&lt;0,MIN(0,I35+N(K35)),MAX(0,I35-N(K35)))</f>
      </c>
    </row>
    <row r="36" spans="1:13" x14ac:dyDescent="0.25">
      <c r="A36" s="94" t="s">
        <v>3</v>
      </c>
      <c r="B36" s="49" t="s">
        <v>67</v>
      </c>
      <c r="C36" s="49" t="s">
        <v>36</v>
      </c>
      <c r="D36" s="49" t="s">
        <v>126</v>
      </c>
      <c r="E36" s="49" t="s">
        <v>352</v>
      </c>
      <c r="F36" s="49" t="s">
        <v>353</v>
      </c>
      <c r="G36" s="49" t="s">
        <v>406</v>
      </c>
      <c r="H36" s="51">
        <v>-59066.62</v>
      </c>
      <c r="I36" s="51">
        <f>H36*'Reporting Hebdo'!$E$3</f>
      </c>
      <c r="J36" s="94" t="s">
        <v>212</v>
      </c>
      <c r="K36" s="95"/>
      <c r="L36" s="96"/>
      <c r="M36" s="51">
        <f>IF(I36&lt;0,MIN(0,I36+N(K36)),MAX(0,I36-N(K36)))</f>
      </c>
    </row>
    <row r="37" spans="1:13" x14ac:dyDescent="0.25">
      <c r="A37" s="94" t="s">
        <v>3</v>
      </c>
      <c r="B37" s="49" t="s">
        <v>67</v>
      </c>
      <c r="C37" s="49" t="s">
        <v>36</v>
      </c>
      <c r="D37" s="49" t="s">
        <v>126</v>
      </c>
      <c r="E37" s="49" t="s">
        <v>352</v>
      </c>
      <c r="F37" s="49" t="s">
        <v>353</v>
      </c>
      <c r="G37" s="49" t="s">
        <v>406</v>
      </c>
      <c r="H37" s="51">
        <v>-18066.62</v>
      </c>
      <c r="I37" s="51">
        <f>H37*'Reporting Hebdo'!$E$3</f>
      </c>
      <c r="J37" s="94" t="s">
        <v>212</v>
      </c>
      <c r="K37" s="95"/>
      <c r="L37" s="96"/>
      <c r="M37" s="51">
        <f>IF(I37&lt;0,MIN(0,I37+N(K37)),MAX(0,I37-N(K37)))</f>
      </c>
    </row>
    <row r="38" spans="1:13" x14ac:dyDescent="0.25">
      <c r="A38" s="94" t="s">
        <v>3</v>
      </c>
      <c r="B38" s="49" t="s">
        <v>67</v>
      </c>
      <c r="C38" s="49" t="s">
        <v>36</v>
      </c>
      <c r="D38" s="49" t="s">
        <v>126</v>
      </c>
      <c r="E38" s="49" t="s">
        <v>355</v>
      </c>
      <c r="F38" s="49" t="s">
        <v>356</v>
      </c>
      <c r="G38" s="49" t="s">
        <v>357</v>
      </c>
      <c r="H38" s="51">
        <v>-41399.65</v>
      </c>
      <c r="I38" s="51">
        <f>H38*'Reporting Hebdo'!$E$3</f>
      </c>
      <c r="J38" s="94" t="s">
        <v>212</v>
      </c>
      <c r="K38" s="95"/>
      <c r="L38" s="96"/>
      <c r="M38" s="51">
        <f>IF(I38&lt;0,MIN(0,I38+N(K38)),MAX(0,I38-N(K38)))</f>
      </c>
    </row>
    <row r="39" spans="1:13" x14ac:dyDescent="0.25">
      <c r="A39" s="94" t="s">
        <v>3</v>
      </c>
      <c r="B39" s="49" t="s">
        <v>67</v>
      </c>
      <c r="C39" s="49" t="s">
        <v>36</v>
      </c>
      <c r="D39" s="49" t="s">
        <v>126</v>
      </c>
      <c r="E39" s="49" t="s">
        <v>358</v>
      </c>
      <c r="F39" s="49" t="s">
        <v>359</v>
      </c>
      <c r="G39" s="49" t="s">
        <v>363</v>
      </c>
      <c r="H39" s="51">
        <v>-10236.62</v>
      </c>
      <c r="I39" s="51">
        <f>H39*'Reporting Hebdo'!$E$3</f>
      </c>
      <c r="J39" s="94" t="s">
        <v>212</v>
      </c>
      <c r="K39" s="95"/>
      <c r="L39" s="96"/>
      <c r="M39" s="51">
        <f>IF(I39&lt;0,MIN(0,I39+N(K39)),MAX(0,I39-N(K39)))</f>
      </c>
    </row>
    <row r="40" spans="1:13" x14ac:dyDescent="0.25">
      <c r="A40" s="94" t="s">
        <v>3</v>
      </c>
      <c r="B40" s="49" t="s">
        <v>67</v>
      </c>
      <c r="C40" s="49" t="s">
        <v>36</v>
      </c>
      <c r="D40" s="49" t="s">
        <v>126</v>
      </c>
      <c r="E40" s="49" t="s">
        <v>361</v>
      </c>
      <c r="F40" s="49" t="s">
        <v>362</v>
      </c>
      <c r="G40" s="49" t="s">
        <v>363</v>
      </c>
      <c r="H40" s="51">
        <v>-4428</v>
      </c>
      <c r="I40" s="51">
        <f>H40*'Reporting Hebdo'!$E$3</f>
      </c>
      <c r="J40" s="94" t="s">
        <v>212</v>
      </c>
      <c r="K40" s="95"/>
      <c r="L40" s="96"/>
      <c r="M40" s="51">
        <f>IF(I40&lt;0,MIN(0,I40+N(K40)),MAX(0,I40-N(K40)))</f>
      </c>
    </row>
    <row r="41" spans="1:13" x14ac:dyDescent="0.25">
      <c r="A41" s="94" t="s">
        <v>3</v>
      </c>
      <c r="B41" s="49" t="s">
        <v>67</v>
      </c>
      <c r="C41" s="49" t="s">
        <v>36</v>
      </c>
      <c r="D41" s="49" t="s">
        <v>126</v>
      </c>
      <c r="E41" s="49" t="s">
        <v>364</v>
      </c>
      <c r="F41" s="49" t="s">
        <v>365</v>
      </c>
      <c r="G41" s="49" t="s">
        <v>407</v>
      </c>
      <c r="H41" s="51">
        <v>-13438.33</v>
      </c>
      <c r="I41" s="51">
        <f>H41*'Reporting Hebdo'!$E$3</f>
      </c>
      <c r="J41" s="94" t="s">
        <v>212</v>
      </c>
      <c r="K41" s="95"/>
      <c r="L41" s="96"/>
      <c r="M41" s="51">
        <f>IF(I41&lt;0,MIN(0,I41+N(K41)),MAX(0,I41-N(K41)))</f>
      </c>
    </row>
    <row r="42" spans="1:13" x14ac:dyDescent="0.25">
      <c r="A42" s="94" t="s">
        <v>3</v>
      </c>
      <c r="B42" s="49" t="s">
        <v>67</v>
      </c>
      <c r="C42" s="49" t="s">
        <v>36</v>
      </c>
      <c r="D42" s="49" t="s">
        <v>126</v>
      </c>
      <c r="E42" s="49" t="s">
        <v>408</v>
      </c>
      <c r="F42" s="49" t="s">
        <v>409</v>
      </c>
      <c r="G42" s="49" t="s">
        <v>15</v>
      </c>
      <c r="H42" s="51">
        <v>-9818</v>
      </c>
      <c r="I42" s="51">
        <f>H42*'Reporting Hebdo'!$E$3</f>
      </c>
      <c r="J42" s="94" t="s">
        <v>212</v>
      </c>
      <c r="K42" s="95"/>
      <c r="L42" s="96"/>
      <c r="M42" s="51">
        <f>IF(I42&lt;0,MIN(0,I42+N(K42)),MAX(0,I42-N(K42)))</f>
      </c>
    </row>
    <row r="43" spans="1:13" x14ac:dyDescent="0.25">
      <c r="A43" s="94" t="s">
        <v>3</v>
      </c>
      <c r="B43" s="49" t="s">
        <v>67</v>
      </c>
      <c r="C43" s="49" t="s">
        <v>36</v>
      </c>
      <c r="D43" s="49" t="s">
        <v>126</v>
      </c>
      <c r="E43" s="49" t="s">
        <v>367</v>
      </c>
      <c r="F43" s="49" t="s">
        <v>368</v>
      </c>
      <c r="G43" s="49" t="s">
        <v>410</v>
      </c>
      <c r="H43" s="51">
        <v>-8000</v>
      </c>
      <c r="I43" s="51">
        <f>H43*'Reporting Hebdo'!$E$3</f>
      </c>
      <c r="J43" s="94" t="s">
        <v>212</v>
      </c>
      <c r="K43" s="95"/>
      <c r="L43" s="96"/>
      <c r="M43" s="51">
        <f>IF(I43&lt;0,MIN(0,I43+N(K43)),MAX(0,I43-N(K43)))</f>
      </c>
    </row>
    <row r="44" spans="1:13" x14ac:dyDescent="0.25">
      <c r="A44" s="94" t="s">
        <v>3</v>
      </c>
      <c r="B44" s="49" t="s">
        <v>67</v>
      </c>
      <c r="C44" s="49" t="s">
        <v>36</v>
      </c>
      <c r="D44" s="49" t="s">
        <v>126</v>
      </c>
      <c r="E44" s="49" t="s">
        <v>370</v>
      </c>
      <c r="F44" s="49" t="s">
        <v>371</v>
      </c>
      <c r="G44" s="49" t="s">
        <v>15</v>
      </c>
      <c r="H44" s="51">
        <v>-53450.46</v>
      </c>
      <c r="I44" s="51">
        <f>H44*'Reporting Hebdo'!$E$3</f>
      </c>
      <c r="J44" s="94" t="s">
        <v>212</v>
      </c>
      <c r="K44" s="95"/>
      <c r="L44" s="96"/>
      <c r="M44" s="51">
        <f>IF(I44&lt;0,MIN(0,I44+N(K44)),MAX(0,I44-N(K44)))</f>
      </c>
    </row>
    <row r="45" spans="1:13" x14ac:dyDescent="0.25">
      <c r="A45" s="94" t="s">
        <v>3</v>
      </c>
      <c r="B45" s="49" t="s">
        <v>67</v>
      </c>
      <c r="C45" s="49" t="s">
        <v>36</v>
      </c>
      <c r="D45" s="49" t="s">
        <v>127</v>
      </c>
      <c r="E45" s="49" t="s">
        <v>411</v>
      </c>
      <c r="F45" s="49" t="s">
        <v>412</v>
      </c>
      <c r="G45" s="49" t="s">
        <v>413</v>
      </c>
      <c r="H45" s="51">
        <v>-7000</v>
      </c>
      <c r="I45" s="51">
        <f>H45*'Reporting Hebdo'!$E$3</f>
      </c>
      <c r="J45" s="94" t="s">
        <v>212</v>
      </c>
      <c r="K45" s="95"/>
      <c r="L45" s="96"/>
      <c r="M45" s="51">
        <f>IF(I45&lt;0,MIN(0,I45+N(K45)),MAX(0,I45-N(K45)))</f>
      </c>
    </row>
    <row r="46" spans="1:13" x14ac:dyDescent="0.25">
      <c r="A46" s="94" t="s">
        <v>3</v>
      </c>
      <c r="B46" s="49" t="s">
        <v>67</v>
      </c>
      <c r="C46" s="49" t="s">
        <v>36</v>
      </c>
      <c r="D46" s="49" t="s">
        <v>128</v>
      </c>
      <c r="E46" s="49" t="s">
        <v>378</v>
      </c>
      <c r="F46" s="49" t="s">
        <v>379</v>
      </c>
      <c r="G46" s="49" t="s">
        <v>15</v>
      </c>
      <c r="H46" s="51">
        <v>-214443.77</v>
      </c>
      <c r="I46" s="51">
        <f>H46*'Reporting Hebdo'!$E$3</f>
      </c>
      <c r="J46" s="94" t="s">
        <v>212</v>
      </c>
      <c r="K46" s="95"/>
      <c r="L46" s="96"/>
      <c r="M46" s="51">
        <f>IF(I46&lt;0,MIN(0,I46+N(K46)),MAX(0,I46-N(K46)))</f>
      </c>
    </row>
    <row r="47" spans="1:13" x14ac:dyDescent="0.25">
      <c r="A47" s="94" t="s">
        <v>3</v>
      </c>
      <c r="B47" s="49" t="s">
        <v>67</v>
      </c>
      <c r="C47" s="49" t="s">
        <v>36</v>
      </c>
      <c r="D47" s="49" t="s">
        <v>128</v>
      </c>
      <c r="E47" s="49" t="s">
        <v>414</v>
      </c>
      <c r="F47" s="49" t="s">
        <v>415</v>
      </c>
      <c r="G47" s="49" t="s">
        <v>15</v>
      </c>
      <c r="H47" s="51">
        <v>75303.63</v>
      </c>
      <c r="I47" s="51">
        <f>H47*'Reporting Hebdo'!$E$3</f>
      </c>
      <c r="J47" s="94" t="s">
        <v>212</v>
      </c>
      <c r="K47" s="95"/>
      <c r="L47" s="96"/>
      <c r="M47" s="51">
        <f>IF(I47&lt;0,MIN(0,I47+N(K47)),MAX(0,I47-N(K47)))</f>
      </c>
    </row>
    <row r="48" spans="1:13" x14ac:dyDescent="0.25">
      <c r="A48" s="94" t="s">
        <v>3</v>
      </c>
      <c r="B48" s="49" t="s">
        <v>67</v>
      </c>
      <c r="C48" s="49" t="s">
        <v>36</v>
      </c>
      <c r="D48" s="49" t="s">
        <v>128</v>
      </c>
      <c r="E48" s="49" t="s">
        <v>380</v>
      </c>
      <c r="F48" s="49" t="s">
        <v>381</v>
      </c>
      <c r="G48" s="49" t="s">
        <v>15</v>
      </c>
      <c r="H48" s="51">
        <v>-146427.09</v>
      </c>
      <c r="I48" s="51">
        <f>H48*'Reporting Hebdo'!$E$3</f>
      </c>
      <c r="J48" s="94" t="s">
        <v>212</v>
      </c>
      <c r="K48" s="95"/>
      <c r="L48" s="96"/>
      <c r="M48" s="51">
        <f>IF(I48&lt;0,MIN(0,I48+N(K48)),MAX(0,I48-N(K48)))</f>
      </c>
    </row>
    <row r="49" spans="1:13" x14ac:dyDescent="0.25">
      <c r="A49" s="94" t="s">
        <v>4</v>
      </c>
      <c r="B49" s="49" t="s">
        <v>70</v>
      </c>
      <c r="C49" s="49" t="s">
        <v>33</v>
      </c>
      <c r="D49" s="49" t="s">
        <v>125</v>
      </c>
      <c r="E49" s="49" t="s">
        <v>341</v>
      </c>
      <c r="F49" s="49" t="s">
        <v>342</v>
      </c>
      <c r="G49" s="49" t="s">
        <v>15</v>
      </c>
      <c r="H49" s="51">
        <v>-12500</v>
      </c>
      <c r="I49" s="51">
        <f>H49*'Reporting Hebdo'!$E$3</f>
      </c>
      <c r="J49" s="94" t="s">
        <v>212</v>
      </c>
      <c r="K49" s="95"/>
      <c r="L49" s="96"/>
      <c r="M49" s="51">
        <f>IF(I49&lt;0,MIN(0,I49+N(K49)),MAX(0,I49-N(K49)))</f>
      </c>
    </row>
    <row r="50" spans="1:13" x14ac:dyDescent="0.25">
      <c r="A50" s="94" t="s">
        <v>4</v>
      </c>
      <c r="B50" s="49" t="s">
        <v>70</v>
      </c>
      <c r="C50" s="49" t="s">
        <v>33</v>
      </c>
      <c r="D50" s="49" t="s">
        <v>125</v>
      </c>
      <c r="E50" s="49" t="s">
        <v>343</v>
      </c>
      <c r="F50" s="49" t="s">
        <v>344</v>
      </c>
      <c r="G50" s="49" t="s">
        <v>15</v>
      </c>
      <c r="H50" s="51">
        <v>-579003.74</v>
      </c>
      <c r="I50" s="51">
        <f>H50*'Reporting Hebdo'!$E$3</f>
      </c>
      <c r="J50" s="94" t="s">
        <v>212</v>
      </c>
      <c r="K50" s="95">
        <v>309280271</v>
      </c>
      <c r="L50" s="96" t="s">
        <v>345</v>
      </c>
      <c r="M50" s="51">
        <f>IF(I50&lt;0,MIN(0,I50+N(K50)),MAX(0,I50-N(K50)))</f>
      </c>
    </row>
    <row r="51" spans="1:13" x14ac:dyDescent="0.25">
      <c r="A51" s="94" t="s">
        <v>4</v>
      </c>
      <c r="B51" s="49" t="s">
        <v>70</v>
      </c>
      <c r="C51" s="49" t="s">
        <v>33</v>
      </c>
      <c r="D51" s="49" t="s">
        <v>125</v>
      </c>
      <c r="E51" s="49" t="s">
        <v>402</v>
      </c>
      <c r="F51" s="49" t="s">
        <v>416</v>
      </c>
      <c r="G51" s="49" t="s">
        <v>15</v>
      </c>
      <c r="H51" s="51">
        <v>-42223.48</v>
      </c>
      <c r="I51" s="51">
        <f>H51*'Reporting Hebdo'!$E$3</f>
      </c>
      <c r="J51" s="94" t="s">
        <v>212</v>
      </c>
      <c r="K51" s="95"/>
      <c r="L51" s="96"/>
      <c r="M51" s="51">
        <f>IF(I51&lt;0,MIN(0,I51+N(K51)),MAX(0,I51-N(K51)))</f>
      </c>
    </row>
    <row r="52" spans="1:13" x14ac:dyDescent="0.25">
      <c r="A52" s="94" t="s">
        <v>4</v>
      </c>
      <c r="B52" s="49" t="s">
        <v>70</v>
      </c>
      <c r="C52" s="49" t="s">
        <v>33</v>
      </c>
      <c r="D52" s="49" t="s">
        <v>125</v>
      </c>
      <c r="E52" s="49" t="s">
        <v>417</v>
      </c>
      <c r="F52" s="49" t="s">
        <v>418</v>
      </c>
      <c r="G52" s="49" t="s">
        <v>15</v>
      </c>
      <c r="H52" s="51">
        <v>-58400</v>
      </c>
      <c r="I52" s="51">
        <f>H52*'Reporting Hebdo'!$E$3</f>
      </c>
      <c r="J52" s="94" t="s">
        <v>212</v>
      </c>
      <c r="K52" s="95"/>
      <c r="L52" s="96"/>
      <c r="M52" s="51">
        <f>IF(I52&lt;0,MIN(0,I52+N(K52)),MAX(0,I52-N(K52)))</f>
      </c>
    </row>
    <row r="53" spans="1:13" x14ac:dyDescent="0.25">
      <c r="A53" s="94" t="s">
        <v>4</v>
      </c>
      <c r="B53" s="49" t="s">
        <v>70</v>
      </c>
      <c r="C53" s="49" t="s">
        <v>33</v>
      </c>
      <c r="D53" s="49" t="s">
        <v>126</v>
      </c>
      <c r="E53" s="49" t="s">
        <v>364</v>
      </c>
      <c r="F53" s="49" t="s">
        <v>365</v>
      </c>
      <c r="G53" s="49" t="s">
        <v>366</v>
      </c>
      <c r="H53" s="51">
        <v>-4827.48</v>
      </c>
      <c r="I53" s="51">
        <f>H53*'Reporting Hebdo'!$E$3</f>
      </c>
      <c r="J53" s="94" t="s">
        <v>212</v>
      </c>
      <c r="K53" s="95"/>
      <c r="L53" s="96"/>
      <c r="M53" s="51">
        <f>IF(I53&lt;0,MIN(0,I53+N(K53)),MAX(0,I53-N(K53)))</f>
      </c>
    </row>
    <row r="54" spans="1:13" x14ac:dyDescent="0.25">
      <c r="A54" s="94" t="s">
        <v>4</v>
      </c>
      <c r="B54" s="49" t="s">
        <v>70</v>
      </c>
      <c r="C54" s="49" t="s">
        <v>33</v>
      </c>
      <c r="D54" s="49" t="s">
        <v>126</v>
      </c>
      <c r="E54" s="49" t="s">
        <v>367</v>
      </c>
      <c r="F54" s="49" t="s">
        <v>368</v>
      </c>
      <c r="G54" s="49" t="s">
        <v>369</v>
      </c>
      <c r="H54" s="51">
        <v>-8253</v>
      </c>
      <c r="I54" s="51">
        <f>H54*'Reporting Hebdo'!$E$3</f>
      </c>
      <c r="J54" s="94" t="s">
        <v>212</v>
      </c>
      <c r="K54" s="95"/>
      <c r="L54" s="96"/>
      <c r="M54" s="51">
        <f>IF(I54&lt;0,MIN(0,I54+N(K54)),MAX(0,I54-N(K54)))</f>
      </c>
    </row>
    <row r="55" spans="1:13" x14ac:dyDescent="0.25">
      <c r="A55" s="94" t="s">
        <v>4</v>
      </c>
      <c r="B55" s="49" t="s">
        <v>70</v>
      </c>
      <c r="C55" s="49" t="s">
        <v>33</v>
      </c>
      <c r="D55" s="49" t="s">
        <v>126</v>
      </c>
      <c r="E55" s="49" t="s">
        <v>370</v>
      </c>
      <c r="F55" s="49" t="s">
        <v>371</v>
      </c>
      <c r="G55" s="49" t="s">
        <v>15</v>
      </c>
      <c r="H55" s="51">
        <v>-4731</v>
      </c>
      <c r="I55" s="51">
        <f>H55*'Reporting Hebdo'!$E$3</f>
      </c>
      <c r="J55" s="94" t="s">
        <v>212</v>
      </c>
      <c r="K55" s="95"/>
      <c r="L55" s="96"/>
      <c r="M55" s="51">
        <f>IF(I55&lt;0,MIN(0,I55+N(K55)),MAX(0,I55-N(K55)))</f>
      </c>
    </row>
    <row r="56" spans="1:13" x14ac:dyDescent="0.25">
      <c r="A56" s="94" t="s">
        <v>4</v>
      </c>
      <c r="B56" s="49" t="s">
        <v>70</v>
      </c>
      <c r="C56" s="49" t="s">
        <v>33</v>
      </c>
      <c r="D56" s="49" t="s">
        <v>127</v>
      </c>
      <c r="E56" s="49" t="s">
        <v>411</v>
      </c>
      <c r="F56" s="49" t="s">
        <v>412</v>
      </c>
      <c r="G56" s="49" t="s">
        <v>228</v>
      </c>
      <c r="H56" s="51">
        <v>-10000</v>
      </c>
      <c r="I56" s="51">
        <f>H56*'Reporting Hebdo'!$E$3</f>
      </c>
      <c r="J56" s="94" t="s">
        <v>212</v>
      </c>
      <c r="K56" s="95"/>
      <c r="L56" s="96"/>
      <c r="M56" s="51">
        <f>IF(I56&lt;0,MIN(0,I56+N(K56)),MAX(0,I56-N(K56)))</f>
      </c>
    </row>
    <row r="57" spans="1:13" x14ac:dyDescent="0.25">
      <c r="A57" s="94" t="s">
        <v>4</v>
      </c>
      <c r="B57" s="49" t="s">
        <v>67</v>
      </c>
      <c r="C57" s="49" t="s">
        <v>36</v>
      </c>
      <c r="D57" s="49" t="s">
        <v>124</v>
      </c>
      <c r="E57" s="49" t="s">
        <v>419</v>
      </c>
      <c r="F57" s="49" t="s">
        <v>420</v>
      </c>
      <c r="G57" s="49" t="s">
        <v>421</v>
      </c>
      <c r="H57" s="51">
        <v>-22400</v>
      </c>
      <c r="I57" s="51">
        <f>H57*'Reporting Hebdo'!$E$3</f>
      </c>
      <c r="J57" s="94" t="s">
        <v>212</v>
      </c>
      <c r="K57" s="95"/>
      <c r="L57" s="96"/>
      <c r="M57" s="51">
        <f>IF(I57&lt;0,MIN(0,I57+N(K57)),MAX(0,I57-N(K57)))</f>
      </c>
    </row>
    <row r="58" spans="1:13" x14ac:dyDescent="0.25">
      <c r="A58" s="94" t="s">
        <v>4</v>
      </c>
      <c r="B58" s="49" t="s">
        <v>67</v>
      </c>
      <c r="C58" s="49" t="s">
        <v>36</v>
      </c>
      <c r="D58" s="49" t="s">
        <v>125</v>
      </c>
      <c r="E58" s="49" t="s">
        <v>392</v>
      </c>
      <c r="F58" s="49" t="s">
        <v>393</v>
      </c>
      <c r="G58" s="49" t="s">
        <v>394</v>
      </c>
      <c r="H58" s="51">
        <v>-64093.98</v>
      </c>
      <c r="I58" s="51">
        <f>H58*'Reporting Hebdo'!$E$3</f>
      </c>
      <c r="J58" s="94" t="s">
        <v>212</v>
      </c>
      <c r="K58" s="95"/>
      <c r="L58" s="96"/>
      <c r="M58" s="51">
        <f>IF(I58&lt;0,MIN(0,I58+N(K58)),MAX(0,I58-N(K58)))</f>
      </c>
    </row>
    <row r="59" spans="1:13" x14ac:dyDescent="0.25">
      <c r="A59" s="94" t="s">
        <v>4</v>
      </c>
      <c r="B59" s="49" t="s">
        <v>67</v>
      </c>
      <c r="C59" s="49" t="s">
        <v>36</v>
      </c>
      <c r="D59" s="49" t="s">
        <v>125</v>
      </c>
      <c r="E59" s="49" t="s">
        <v>395</v>
      </c>
      <c r="F59" s="49" t="s">
        <v>396</v>
      </c>
      <c r="G59" s="49" t="s">
        <v>15</v>
      </c>
      <c r="H59" s="51">
        <v>-495269.11</v>
      </c>
      <c r="I59" s="51">
        <f>H59*'Reporting Hebdo'!$E$3</f>
      </c>
      <c r="J59" s="94" t="s">
        <v>212</v>
      </c>
      <c r="K59" s="95"/>
      <c r="L59" s="96"/>
      <c r="M59" s="51">
        <f>IF(I59&lt;0,MIN(0,I59+N(K59)),MAX(0,I59-N(K59)))</f>
      </c>
    </row>
    <row r="60" spans="1:13" x14ac:dyDescent="0.25">
      <c r="A60" s="94" t="s">
        <v>4</v>
      </c>
      <c r="B60" s="49" t="s">
        <v>67</v>
      </c>
      <c r="C60" s="49" t="s">
        <v>36</v>
      </c>
      <c r="D60" s="49" t="s">
        <v>125</v>
      </c>
      <c r="E60" s="49" t="s">
        <v>395</v>
      </c>
      <c r="F60" s="49" t="s">
        <v>422</v>
      </c>
      <c r="G60" s="49" t="s">
        <v>15</v>
      </c>
      <c r="H60" s="51">
        <v>-333541.25</v>
      </c>
      <c r="I60" s="51">
        <f>H60*'Reporting Hebdo'!$E$3</f>
      </c>
      <c r="J60" s="94" t="s">
        <v>212</v>
      </c>
      <c r="K60" s="95"/>
      <c r="L60" s="96"/>
      <c r="M60" s="51">
        <f>IF(I60&lt;0,MIN(0,I60+N(K60)),MAX(0,I60-N(K60)))</f>
      </c>
    </row>
    <row r="61" spans="1:13" x14ac:dyDescent="0.25">
      <c r="A61" s="94" t="s">
        <v>4</v>
      </c>
      <c r="B61" s="49" t="s">
        <v>67</v>
      </c>
      <c r="C61" s="49" t="s">
        <v>36</v>
      </c>
      <c r="D61" s="49" t="s">
        <v>125</v>
      </c>
      <c r="E61" s="49" t="s">
        <v>397</v>
      </c>
      <c r="F61" s="49" t="s">
        <v>423</v>
      </c>
      <c r="G61" s="49" t="s">
        <v>15</v>
      </c>
      <c r="H61" s="51">
        <v>-54877.41</v>
      </c>
      <c r="I61" s="51">
        <f>H61*'Reporting Hebdo'!$E$3</f>
      </c>
      <c r="J61" s="94" t="s">
        <v>212</v>
      </c>
      <c r="K61" s="95"/>
      <c r="L61" s="96"/>
      <c r="M61" s="51">
        <f>IF(I61&lt;0,MIN(0,I61+N(K61)),MAX(0,I61-N(K61)))</f>
      </c>
    </row>
    <row r="62" spans="1:13" x14ac:dyDescent="0.25">
      <c r="A62" s="94" t="s">
        <v>4</v>
      </c>
      <c r="B62" s="49" t="s">
        <v>67</v>
      </c>
      <c r="C62" s="49" t="s">
        <v>36</v>
      </c>
      <c r="D62" s="49" t="s">
        <v>125</v>
      </c>
      <c r="E62" s="49" t="s">
        <v>399</v>
      </c>
      <c r="F62" s="49" t="s">
        <v>424</v>
      </c>
      <c r="G62" s="49" t="s">
        <v>15</v>
      </c>
      <c r="H62" s="51">
        <v>-141680.23</v>
      </c>
      <c r="I62" s="51">
        <f>H62*'Reporting Hebdo'!$E$3</f>
      </c>
      <c r="J62" s="94" t="s">
        <v>212</v>
      </c>
      <c r="K62" s="95"/>
      <c r="L62" s="96"/>
      <c r="M62" s="51">
        <f>IF(I62&lt;0,MIN(0,I62+N(K62)),MAX(0,I62-N(K62)))</f>
      </c>
    </row>
    <row r="63" spans="1:13" x14ac:dyDescent="0.25">
      <c r="A63" s="94" t="s">
        <v>4</v>
      </c>
      <c r="B63" s="49" t="s">
        <v>67</v>
      </c>
      <c r="C63" s="49" t="s">
        <v>36</v>
      </c>
      <c r="D63" s="49" t="s">
        <v>125</v>
      </c>
      <c r="E63" s="49" t="s">
        <v>343</v>
      </c>
      <c r="F63" s="49" t="s">
        <v>425</v>
      </c>
      <c r="G63" s="49" t="s">
        <v>15</v>
      </c>
      <c r="H63" s="51">
        <v>-207907.04</v>
      </c>
      <c r="I63" s="51">
        <f>H63*'Reporting Hebdo'!$E$3</f>
      </c>
      <c r="J63" s="94" t="s">
        <v>212</v>
      </c>
      <c r="K63" s="95"/>
      <c r="L63" s="96"/>
      <c r="M63" s="51">
        <f>IF(I63&lt;0,MIN(0,I63+N(K63)),MAX(0,I63-N(K63)))</f>
      </c>
    </row>
    <row r="64" spans="1:13" x14ac:dyDescent="0.25">
      <c r="A64" s="94" t="s">
        <v>4</v>
      </c>
      <c r="B64" s="49" t="s">
        <v>67</v>
      </c>
      <c r="C64" s="49" t="s">
        <v>36</v>
      </c>
      <c r="D64" s="49" t="s">
        <v>126</v>
      </c>
      <c r="E64" s="49" t="s">
        <v>364</v>
      </c>
      <c r="F64" s="49" t="s">
        <v>365</v>
      </c>
      <c r="G64" s="49" t="s">
        <v>407</v>
      </c>
      <c r="H64" s="51">
        <v>-6719.33</v>
      </c>
      <c r="I64" s="51">
        <f>H64*'Reporting Hebdo'!$E$3</f>
      </c>
      <c r="J64" s="94" t="s">
        <v>212</v>
      </c>
      <c r="K64" s="95"/>
      <c r="L64" s="96"/>
      <c r="M64" s="51">
        <f>IF(I64&lt;0,MIN(0,I64+N(K64)),MAX(0,I64-N(K64)))</f>
      </c>
    </row>
    <row r="65" spans="1:13" x14ac:dyDescent="0.25">
      <c r="A65" s="94" t="s">
        <v>4</v>
      </c>
      <c r="B65" s="49" t="s">
        <v>67</v>
      </c>
      <c r="C65" s="49" t="s">
        <v>36</v>
      </c>
      <c r="D65" s="49" t="s">
        <v>126</v>
      </c>
      <c r="E65" s="49" t="s">
        <v>370</v>
      </c>
      <c r="F65" s="49" t="s">
        <v>371</v>
      </c>
      <c r="G65" s="49" t="s">
        <v>15</v>
      </c>
      <c r="H65" s="51">
        <v>-4100.35</v>
      </c>
      <c r="I65" s="51">
        <f>H65*'Reporting Hebdo'!$E$3</f>
      </c>
      <c r="J65" s="94" t="s">
        <v>212</v>
      </c>
      <c r="K65" s="95"/>
      <c r="L65" s="96"/>
      <c r="M65" s="51">
        <f>IF(I65&lt;0,MIN(0,I65+N(K65)),MAX(0,I65-N(K65)))</f>
      </c>
    </row>
    <row r="66" spans="1:13" x14ac:dyDescent="0.25">
      <c r="A66" s="94" t="s">
        <v>4</v>
      </c>
      <c r="B66" s="49" t="s">
        <v>67</v>
      </c>
      <c r="C66" s="49" t="s">
        <v>36</v>
      </c>
      <c r="D66" s="49" t="s">
        <v>127</v>
      </c>
      <c r="E66" s="49" t="s">
        <v>372</v>
      </c>
      <c r="F66" s="49" t="s">
        <v>373</v>
      </c>
      <c r="G66" s="49" t="s">
        <v>426</v>
      </c>
      <c r="H66" s="51">
        <v>-11683</v>
      </c>
      <c r="I66" s="51">
        <f>H66*'Reporting Hebdo'!$E$3</f>
      </c>
      <c r="J66" s="94" t="s">
        <v>212</v>
      </c>
      <c r="K66" s="95"/>
      <c r="L66" s="96"/>
      <c r="M66" s="51">
        <f>IF(I66&lt;0,MIN(0,I66+N(K66)),MAX(0,I66-N(K66)))</f>
      </c>
    </row>
    <row r="67" spans="1:13" x14ac:dyDescent="0.25">
      <c r="A67" s="94" t="s">
        <v>4</v>
      </c>
      <c r="B67" s="49" t="s">
        <v>67</v>
      </c>
      <c r="C67" s="49" t="s">
        <v>36</v>
      </c>
      <c r="D67" s="49" t="s">
        <v>127</v>
      </c>
      <c r="E67" s="49" t="s">
        <v>411</v>
      </c>
      <c r="F67" s="49" t="s">
        <v>412</v>
      </c>
      <c r="G67" s="49" t="s">
        <v>413</v>
      </c>
      <c r="H67" s="51">
        <v>-3000</v>
      </c>
      <c r="I67" s="51">
        <f>H67*'Reporting Hebdo'!$E$3</f>
      </c>
      <c r="J67" s="94" t="s">
        <v>212</v>
      </c>
      <c r="K67" s="95"/>
      <c r="L67" s="96"/>
      <c r="M67" s="51">
        <f>IF(I67&lt;0,MIN(0,I67+N(K67)),MAX(0,I67-N(K67)))</f>
      </c>
    </row>
    <row r="68" spans="1:13" x14ac:dyDescent="0.25">
      <c r="A68" s="94" t="s">
        <v>4</v>
      </c>
      <c r="B68" s="49" t="s">
        <v>67</v>
      </c>
      <c r="C68" s="49" t="s">
        <v>36</v>
      </c>
      <c r="D68" s="49" t="s">
        <v>127</v>
      </c>
      <c r="E68" s="49" t="s">
        <v>427</v>
      </c>
      <c r="F68" s="49" t="s">
        <v>428</v>
      </c>
      <c r="G68" s="49" t="s">
        <v>429</v>
      </c>
      <c r="H68" s="51">
        <v>-35480</v>
      </c>
      <c r="I68" s="51">
        <f>H68*'Reporting Hebdo'!$E$3</f>
      </c>
      <c r="J68" s="94" t="s">
        <v>212</v>
      </c>
      <c r="K68" s="95"/>
      <c r="L68" s="96"/>
      <c r="M68" s="51">
        <f>IF(I68&lt;0,MIN(0,I68+N(K68)),MAX(0,I68-N(K68)))</f>
      </c>
    </row>
    <row r="69" spans="1:13" x14ac:dyDescent="0.25">
      <c r="A69" s="94" t="s">
        <v>4</v>
      </c>
      <c r="B69" s="49" t="s">
        <v>67</v>
      </c>
      <c r="C69" s="49" t="s">
        <v>36</v>
      </c>
      <c r="D69" s="49" t="s">
        <v>128</v>
      </c>
      <c r="E69" s="49" t="s">
        <v>430</v>
      </c>
      <c r="F69" s="49" t="s">
        <v>431</v>
      </c>
      <c r="G69" s="49" t="s">
        <v>15</v>
      </c>
      <c r="H69" s="51">
        <v>-504987.37</v>
      </c>
      <c r="I69" s="51">
        <f>H69*'Reporting Hebdo'!$E$3</f>
      </c>
      <c r="J69" s="94" t="s">
        <v>212</v>
      </c>
      <c r="K69" s="95"/>
      <c r="L69" s="96"/>
      <c r="M69" s="51">
        <f>IF(I69&lt;0,MIN(0,I69+N(K69)),MAX(0,I69-N(K69)))</f>
      </c>
    </row>
    <row r="70" spans="1:13" x14ac:dyDescent="0.25">
      <c r="A70" s="94" t="s">
        <v>4</v>
      </c>
      <c r="B70" s="49" t="s">
        <v>67</v>
      </c>
      <c r="C70" s="49" t="s">
        <v>36</v>
      </c>
      <c r="D70" s="49" t="s">
        <v>128</v>
      </c>
      <c r="E70" s="49" t="s">
        <v>432</v>
      </c>
      <c r="F70" s="49" t="s">
        <v>433</v>
      </c>
      <c r="G70" s="49" t="s">
        <v>15</v>
      </c>
      <c r="H70" s="51">
        <v>-8404.26</v>
      </c>
      <c r="I70" s="51">
        <f>H70*'Reporting Hebdo'!$E$3</f>
      </c>
      <c r="J70" s="94" t="s">
        <v>212</v>
      </c>
      <c r="K70" s="95"/>
      <c r="L70" s="96"/>
      <c r="M70" s="51">
        <f>IF(I70&lt;0,MIN(0,I70+N(K70)),MAX(0,I70-N(K70)))</f>
      </c>
    </row>
    <row r="71" spans="1:13" x14ac:dyDescent="0.25">
      <c r="A71" s="94" t="s">
        <v>6</v>
      </c>
      <c r="B71" s="49" t="s">
        <v>70</v>
      </c>
      <c r="C71" s="49" t="s">
        <v>33</v>
      </c>
      <c r="D71" s="49" t="s">
        <v>126</v>
      </c>
      <c r="E71" s="49" t="s">
        <v>355</v>
      </c>
      <c r="F71" s="49" t="s">
        <v>356</v>
      </c>
      <c r="G71" s="49" t="s">
        <v>357</v>
      </c>
      <c r="H71" s="51">
        <v>-20580.8</v>
      </c>
      <c r="I71" s="51">
        <f>H71*'Reporting Hebdo'!$E$3</f>
      </c>
      <c r="J71" s="94" t="s">
        <v>212</v>
      </c>
      <c r="K71" s="95"/>
      <c r="L71" s="96"/>
      <c r="M71" s="51">
        <f>IF(I71&lt;0,MIN(0,I71+N(K71)),MAX(0,I71-N(K71)))</f>
      </c>
    </row>
    <row r="72" spans="1:13" x14ac:dyDescent="0.25">
      <c r="A72" s="94" t="s">
        <v>6</v>
      </c>
      <c r="B72" s="49" t="s">
        <v>67</v>
      </c>
      <c r="C72" s="49" t="s">
        <v>36</v>
      </c>
      <c r="D72" s="49" t="s">
        <v>126</v>
      </c>
      <c r="E72" s="49" t="s">
        <v>355</v>
      </c>
      <c r="F72" s="49" t="s">
        <v>356</v>
      </c>
      <c r="G72" s="49" t="s">
        <v>357</v>
      </c>
      <c r="H72" s="51">
        <v>-20699.65</v>
      </c>
      <c r="I72" s="51">
        <f>H72*'Reporting Hebdo'!$E$3</f>
      </c>
      <c r="J72" s="94" t="s">
        <v>212</v>
      </c>
      <c r="K72" s="95"/>
      <c r="L72" s="96"/>
      <c r="M72" s="51">
        <f>IF(I72&lt;0,MIN(0,I72+N(K72)),MAX(0,I72-N(K72)))</f>
      </c>
    </row>
    <row r="73" spans="1:13" x14ac:dyDescent="0.25">
      <c r="A73" s="97" t="s">
        <v>434</v>
      </c>
      <c r="B73" s="98" t="s">
        <v>70</v>
      </c>
      <c r="C73" s="98" t="s">
        <v>33</v>
      </c>
      <c r="D73" s="98" t="s">
        <v>125</v>
      </c>
      <c r="E73" s="98" t="s">
        <v>435</v>
      </c>
      <c r="F73" s="98" t="s">
        <v>436</v>
      </c>
      <c r="G73" s="98" t="s">
        <v>15</v>
      </c>
      <c r="H73" s="99">
        <v>-11750</v>
      </c>
      <c r="I73" s="99">
        <f>H73*'Reporting Hebdo'!$E$3</f>
      </c>
      <c r="J73" s="97" t="s">
        <v>212</v>
      </c>
      <c r="K73" s="100"/>
      <c r="L73" s="101"/>
      <c r="M73" s="51">
        <f>IF(I73&lt;0,MIN(0,I73+N(K73)),MAX(0,I73-N(K73)))</f>
      </c>
    </row>
    <row r="74" spans="1:13" x14ac:dyDescent="0.25">
      <c r="A74" s="97" t="s">
        <v>434</v>
      </c>
      <c r="B74" s="98" t="s">
        <v>70</v>
      </c>
      <c r="C74" s="98" t="s">
        <v>33</v>
      </c>
      <c r="D74" s="98" t="s">
        <v>125</v>
      </c>
      <c r="E74" s="98" t="s">
        <v>341</v>
      </c>
      <c r="F74" s="98" t="s">
        <v>342</v>
      </c>
      <c r="G74" s="98" t="s">
        <v>15</v>
      </c>
      <c r="H74" s="99">
        <v>-12500</v>
      </c>
      <c r="I74" s="99">
        <f>H74*'Reporting Hebdo'!$E$3</f>
      </c>
      <c r="J74" s="97" t="s">
        <v>212</v>
      </c>
      <c r="K74" s="100"/>
      <c r="L74" s="101"/>
      <c r="M74" s="51">
        <f>IF(I74&lt;0,MIN(0,I74+N(K74)),MAX(0,I74-N(K74)))</f>
      </c>
    </row>
    <row r="75" spans="1:13" x14ac:dyDescent="0.25">
      <c r="A75" s="97" t="s">
        <v>434</v>
      </c>
      <c r="B75" s="98" t="s">
        <v>70</v>
      </c>
      <c r="C75" s="98" t="s">
        <v>33</v>
      </c>
      <c r="D75" s="98" t="s">
        <v>125</v>
      </c>
      <c r="E75" s="98" t="s">
        <v>343</v>
      </c>
      <c r="F75" s="98" t="s">
        <v>344</v>
      </c>
      <c r="G75" s="98" t="s">
        <v>15</v>
      </c>
      <c r="H75" s="99">
        <v>-598630.99</v>
      </c>
      <c r="I75" s="99">
        <f>H75*'Reporting Hebdo'!$E$3</f>
      </c>
      <c r="J75" s="97" t="s">
        <v>212</v>
      </c>
      <c r="K75" s="100"/>
      <c r="L75" s="101"/>
      <c r="M75" s="51">
        <f>IF(I75&lt;0,MIN(0,I75+N(K75)),MAX(0,I75-N(K75)))</f>
      </c>
    </row>
    <row r="76" spans="1:13" x14ac:dyDescent="0.25">
      <c r="A76" s="97" t="s">
        <v>434</v>
      </c>
      <c r="B76" s="98" t="s">
        <v>70</v>
      </c>
      <c r="C76" s="98" t="s">
        <v>33</v>
      </c>
      <c r="D76" s="98" t="s">
        <v>125</v>
      </c>
      <c r="E76" s="98" t="s">
        <v>402</v>
      </c>
      <c r="F76" s="98" t="s">
        <v>416</v>
      </c>
      <c r="G76" s="98" t="s">
        <v>15</v>
      </c>
      <c r="H76" s="99">
        <v>-52358.11</v>
      </c>
      <c r="I76" s="99">
        <f>H76*'Reporting Hebdo'!$E$3</f>
      </c>
      <c r="J76" s="97" t="s">
        <v>212</v>
      </c>
      <c r="K76" s="100"/>
      <c r="L76" s="101"/>
      <c r="M76" s="51">
        <f>IF(I76&lt;0,MIN(0,I76+N(K76)),MAX(0,I76-N(K76)))</f>
      </c>
    </row>
    <row r="77" spans="1:13" x14ac:dyDescent="0.25">
      <c r="A77" s="97" t="s">
        <v>434</v>
      </c>
      <c r="B77" s="98" t="s">
        <v>70</v>
      </c>
      <c r="C77" s="98" t="s">
        <v>33</v>
      </c>
      <c r="D77" s="98" t="s">
        <v>125</v>
      </c>
      <c r="E77" s="98" t="s">
        <v>437</v>
      </c>
      <c r="F77" s="98" t="s">
        <v>438</v>
      </c>
      <c r="G77" s="98" t="s">
        <v>15</v>
      </c>
      <c r="H77" s="99">
        <v>-20266.96</v>
      </c>
      <c r="I77" s="99">
        <f>H77*'Reporting Hebdo'!$E$3</f>
      </c>
      <c r="J77" s="97" t="s">
        <v>212</v>
      </c>
      <c r="K77" s="100"/>
      <c r="L77" s="101"/>
      <c r="M77" s="51">
        <f>IF(I77&lt;0,MIN(0,I77+N(K77)),MAX(0,I77-N(K77)))</f>
      </c>
    </row>
    <row r="78" spans="1:13" x14ac:dyDescent="0.25">
      <c r="A78" s="97" t="s">
        <v>434</v>
      </c>
      <c r="B78" s="98" t="s">
        <v>70</v>
      </c>
      <c r="C78" s="98" t="s">
        <v>33</v>
      </c>
      <c r="D78" s="98" t="s">
        <v>125</v>
      </c>
      <c r="E78" s="98" t="s">
        <v>439</v>
      </c>
      <c r="F78" s="98" t="s">
        <v>440</v>
      </c>
      <c r="G78" s="98" t="s">
        <v>15</v>
      </c>
      <c r="H78" s="99">
        <v>-5391.59</v>
      </c>
      <c r="I78" s="99">
        <f>H78*'Reporting Hebdo'!$E$3</f>
      </c>
      <c r="J78" s="97" t="s">
        <v>212</v>
      </c>
      <c r="K78" s="100"/>
      <c r="L78" s="101"/>
      <c r="M78" s="51">
        <f>IF(I78&lt;0,MIN(0,I78+N(K78)),MAX(0,I78-N(K78)))</f>
      </c>
    </row>
    <row r="79" spans="1:13" x14ac:dyDescent="0.25">
      <c r="A79" s="97" t="s">
        <v>434</v>
      </c>
      <c r="B79" s="98" t="s">
        <v>70</v>
      </c>
      <c r="C79" s="98" t="s">
        <v>33</v>
      </c>
      <c r="D79" s="98" t="s">
        <v>125</v>
      </c>
      <c r="E79" s="98" t="s">
        <v>441</v>
      </c>
      <c r="F79" s="98" t="s">
        <v>442</v>
      </c>
      <c r="G79" s="98" t="s">
        <v>15</v>
      </c>
      <c r="H79" s="99">
        <v>-2149.39</v>
      </c>
      <c r="I79" s="99">
        <f>H79*'Reporting Hebdo'!$E$3</f>
      </c>
      <c r="J79" s="97" t="s">
        <v>212</v>
      </c>
      <c r="K79" s="100"/>
      <c r="L79" s="101"/>
      <c r="M79" s="51">
        <f>IF(I79&lt;0,MIN(0,I79+N(K79)),MAX(0,I79-N(K79)))</f>
      </c>
    </row>
    <row r="80" spans="1:13" x14ac:dyDescent="0.25">
      <c r="A80" s="97" t="s">
        <v>434</v>
      </c>
      <c r="B80" s="98" t="s">
        <v>70</v>
      </c>
      <c r="C80" s="98" t="s">
        <v>33</v>
      </c>
      <c r="D80" s="98" t="s">
        <v>125</v>
      </c>
      <c r="E80" s="98" t="s">
        <v>443</v>
      </c>
      <c r="F80" s="98" t="s">
        <v>444</v>
      </c>
      <c r="G80" s="98" t="s">
        <v>15</v>
      </c>
      <c r="H80" s="99">
        <v>-21726.3</v>
      </c>
      <c r="I80" s="99">
        <f>H80*'Reporting Hebdo'!$E$3</f>
      </c>
      <c r="J80" s="97" t="s">
        <v>212</v>
      </c>
      <c r="K80" s="100"/>
      <c r="L80" s="101"/>
      <c r="M80" s="51">
        <f>IF(I80&lt;0,MIN(0,I80+N(K80)),MAX(0,I80-N(K80)))</f>
      </c>
    </row>
    <row r="81" spans="1:13" x14ac:dyDescent="0.25">
      <c r="A81" s="97" t="s">
        <v>434</v>
      </c>
      <c r="B81" s="98" t="s">
        <v>70</v>
      </c>
      <c r="C81" s="98" t="s">
        <v>33</v>
      </c>
      <c r="D81" s="98" t="s">
        <v>125</v>
      </c>
      <c r="E81" s="98" t="s">
        <v>445</v>
      </c>
      <c r="F81" s="98" t="s">
        <v>446</v>
      </c>
      <c r="G81" s="98" t="s">
        <v>15</v>
      </c>
      <c r="H81" s="99">
        <v>-13508.13</v>
      </c>
      <c r="I81" s="99">
        <f>H81*'Reporting Hebdo'!$E$3</f>
      </c>
      <c r="J81" s="97" t="s">
        <v>212</v>
      </c>
      <c r="K81" s="100"/>
      <c r="L81" s="101"/>
      <c r="M81" s="51">
        <f>IF(I81&lt;0,MIN(0,I81+N(K81)),MAX(0,I81-N(K81)))</f>
      </c>
    </row>
    <row r="82" spans="1:13" x14ac:dyDescent="0.25">
      <c r="A82" s="97" t="s">
        <v>434</v>
      </c>
      <c r="B82" s="98" t="s">
        <v>70</v>
      </c>
      <c r="C82" s="98" t="s">
        <v>33</v>
      </c>
      <c r="D82" s="98" t="s">
        <v>125</v>
      </c>
      <c r="E82" s="98" t="s">
        <v>417</v>
      </c>
      <c r="F82" s="98" t="s">
        <v>418</v>
      </c>
      <c r="G82" s="98" t="s">
        <v>15</v>
      </c>
      <c r="H82" s="99">
        <v>-58400</v>
      </c>
      <c r="I82" s="99">
        <f>H82*'Reporting Hebdo'!$E$3</f>
      </c>
      <c r="J82" s="97" t="s">
        <v>212</v>
      </c>
      <c r="K82" s="100"/>
      <c r="L82" s="101"/>
      <c r="M82" s="51">
        <f>IF(I82&lt;0,MIN(0,I82+N(K82)),MAX(0,I82-N(K82)))</f>
      </c>
    </row>
    <row r="83" spans="1:13" x14ac:dyDescent="0.25">
      <c r="A83" s="97" t="s">
        <v>434</v>
      </c>
      <c r="B83" s="98" t="s">
        <v>70</v>
      </c>
      <c r="C83" s="98" t="s">
        <v>33</v>
      </c>
      <c r="D83" s="98" t="s">
        <v>126</v>
      </c>
      <c r="E83" s="98" t="s">
        <v>352</v>
      </c>
      <c r="F83" s="98" t="s">
        <v>353</v>
      </c>
      <c r="G83" s="98" t="s">
        <v>354</v>
      </c>
      <c r="H83" s="99">
        <v>-6577</v>
      </c>
      <c r="I83" s="99">
        <f>H83*'Reporting Hebdo'!$E$3</f>
      </c>
      <c r="J83" s="97" t="s">
        <v>212</v>
      </c>
      <c r="K83" s="100"/>
      <c r="L83" s="101"/>
      <c r="M83" s="51">
        <f>IF(I83&lt;0,MIN(0,I83+N(K83)),MAX(0,I83-N(K83)))</f>
      </c>
    </row>
    <row r="84" spans="1:13" x14ac:dyDescent="0.25">
      <c r="A84" s="97" t="s">
        <v>434</v>
      </c>
      <c r="B84" s="98" t="s">
        <v>70</v>
      </c>
      <c r="C84" s="98" t="s">
        <v>33</v>
      </c>
      <c r="D84" s="98" t="s">
        <v>126</v>
      </c>
      <c r="E84" s="98" t="s">
        <v>355</v>
      </c>
      <c r="F84" s="98" t="s">
        <v>356</v>
      </c>
      <c r="G84" s="98" t="s">
        <v>357</v>
      </c>
      <c r="H84" s="99">
        <v>-20580.8</v>
      </c>
      <c r="I84" s="99">
        <f>H84*'Reporting Hebdo'!$E$3</f>
      </c>
      <c r="J84" s="97" t="s">
        <v>212</v>
      </c>
      <c r="K84" s="100"/>
      <c r="L84" s="101"/>
      <c r="M84" s="51">
        <f>IF(I84&lt;0,MIN(0,I84+N(K84)),MAX(0,I84-N(K84)))</f>
      </c>
    </row>
    <row r="85" spans="1:13" x14ac:dyDescent="0.25">
      <c r="A85" s="97" t="s">
        <v>434</v>
      </c>
      <c r="B85" s="98" t="s">
        <v>70</v>
      </c>
      <c r="C85" s="98" t="s">
        <v>33</v>
      </c>
      <c r="D85" s="98" t="s">
        <v>126</v>
      </c>
      <c r="E85" s="98" t="s">
        <v>361</v>
      </c>
      <c r="F85" s="98" t="s">
        <v>362</v>
      </c>
      <c r="G85" s="98" t="s">
        <v>363</v>
      </c>
      <c r="H85" s="99">
        <v>-4878.37</v>
      </c>
      <c r="I85" s="99">
        <f>H85*'Reporting Hebdo'!$E$3</f>
      </c>
      <c r="J85" s="97" t="s">
        <v>212</v>
      </c>
      <c r="K85" s="100"/>
      <c r="L85" s="101"/>
      <c r="M85" s="51">
        <f>IF(I85&lt;0,MIN(0,I85+N(K85)),MAX(0,I85-N(K85)))</f>
      </c>
    </row>
    <row r="86" spans="1:13" x14ac:dyDescent="0.25">
      <c r="A86" s="97" t="s">
        <v>434</v>
      </c>
      <c r="B86" s="98" t="s">
        <v>70</v>
      </c>
      <c r="C86" s="98" t="s">
        <v>33</v>
      </c>
      <c r="D86" s="98" t="s">
        <v>126</v>
      </c>
      <c r="E86" s="98" t="s">
        <v>364</v>
      </c>
      <c r="F86" s="98" t="s">
        <v>365</v>
      </c>
      <c r="G86" s="98" t="s">
        <v>366</v>
      </c>
      <c r="H86" s="99">
        <v>-4827.48</v>
      </c>
      <c r="I86" s="99">
        <f>H86*'Reporting Hebdo'!$E$3</f>
      </c>
      <c r="J86" s="97" t="s">
        <v>212</v>
      </c>
      <c r="K86" s="100"/>
      <c r="L86" s="101"/>
      <c r="M86" s="51">
        <f>IF(I86&lt;0,MIN(0,I86+N(K86)),MAX(0,I86-N(K86)))</f>
      </c>
    </row>
    <row r="87" spans="1:13" x14ac:dyDescent="0.25">
      <c r="A87" s="97" t="s">
        <v>434</v>
      </c>
      <c r="B87" s="98" t="s">
        <v>70</v>
      </c>
      <c r="C87" s="98" t="s">
        <v>33</v>
      </c>
      <c r="D87" s="98" t="s">
        <v>126</v>
      </c>
      <c r="E87" s="98" t="s">
        <v>370</v>
      </c>
      <c r="F87" s="98" t="s">
        <v>371</v>
      </c>
      <c r="G87" s="98" t="s">
        <v>15</v>
      </c>
      <c r="H87" s="99">
        <v>-566.74</v>
      </c>
      <c r="I87" s="99">
        <f>H87*'Reporting Hebdo'!$E$3</f>
      </c>
      <c r="J87" s="97" t="s">
        <v>212</v>
      </c>
      <c r="K87" s="100"/>
      <c r="L87" s="101"/>
      <c r="M87" s="51">
        <f>IF(I87&lt;0,MIN(0,I87+N(K87)),MAX(0,I87-N(K87)))</f>
      </c>
    </row>
    <row r="88" spans="1:13" x14ac:dyDescent="0.25">
      <c r="A88" s="97" t="s">
        <v>434</v>
      </c>
      <c r="B88" s="98" t="s">
        <v>70</v>
      </c>
      <c r="C88" s="98" t="s">
        <v>33</v>
      </c>
      <c r="D88" s="98" t="s">
        <v>127</v>
      </c>
      <c r="E88" s="98" t="s">
        <v>411</v>
      </c>
      <c r="F88" s="98" t="s">
        <v>412</v>
      </c>
      <c r="G88" s="98" t="s">
        <v>228</v>
      </c>
      <c r="H88" s="99">
        <v>-5000</v>
      </c>
      <c r="I88" s="99">
        <f>H88*'Reporting Hebdo'!$E$3</f>
      </c>
      <c r="J88" s="97" t="s">
        <v>212</v>
      </c>
      <c r="K88" s="100"/>
      <c r="L88" s="101"/>
      <c r="M88" s="51">
        <f>IF(I88&lt;0,MIN(0,I88+N(K88)),MAX(0,I88-N(K88)))</f>
      </c>
    </row>
    <row r="89" spans="1:13" x14ac:dyDescent="0.25">
      <c r="A89" s="97" t="s">
        <v>434</v>
      </c>
      <c r="B89" s="98" t="s">
        <v>70</v>
      </c>
      <c r="C89" s="98" t="s">
        <v>33</v>
      </c>
      <c r="D89" s="98" t="s">
        <v>127</v>
      </c>
      <c r="E89" s="98" t="s">
        <v>427</v>
      </c>
      <c r="F89" s="98" t="s">
        <v>428</v>
      </c>
      <c r="G89" s="98" t="s">
        <v>447</v>
      </c>
      <c r="H89" s="99">
        <v>-42996.69</v>
      </c>
      <c r="I89" s="99">
        <f>H89*'Reporting Hebdo'!$E$3</f>
      </c>
      <c r="J89" s="97" t="s">
        <v>212</v>
      </c>
      <c r="K89" s="100"/>
      <c r="L89" s="101"/>
      <c r="M89" s="51">
        <f>IF(I89&lt;0,MIN(0,I89+N(K89)),MAX(0,I89-N(K89)))</f>
      </c>
    </row>
    <row r="90" spans="1:13" x14ac:dyDescent="0.25">
      <c r="A90" s="97" t="s">
        <v>434</v>
      </c>
      <c r="B90" s="98" t="s">
        <v>70</v>
      </c>
      <c r="C90" s="98" t="s">
        <v>33</v>
      </c>
      <c r="D90" s="98" t="s">
        <v>448</v>
      </c>
      <c r="E90" s="98" t="s">
        <v>449</v>
      </c>
      <c r="F90" s="98" t="s">
        <v>450</v>
      </c>
      <c r="G90" s="98" t="s">
        <v>15</v>
      </c>
      <c r="H90" s="99">
        <v>-313500</v>
      </c>
      <c r="I90" s="99">
        <f>H90*'Reporting Hebdo'!$E$3</f>
      </c>
      <c r="J90" s="97" t="s">
        <v>212</v>
      </c>
      <c r="K90" s="100"/>
      <c r="L90" s="101"/>
      <c r="M90" s="51">
        <f>IF(I90&lt;0,MIN(0,I90+N(K90)),MAX(0,I90-N(K90)))</f>
      </c>
    </row>
    <row r="91" spans="1:13" x14ac:dyDescent="0.25">
      <c r="A91" s="97" t="s">
        <v>434</v>
      </c>
      <c r="B91" s="98" t="s">
        <v>70</v>
      </c>
      <c r="C91" s="98" t="s">
        <v>33</v>
      </c>
      <c r="D91" s="98" t="s">
        <v>448</v>
      </c>
      <c r="E91" s="98" t="s">
        <v>451</v>
      </c>
      <c r="F91" s="98" t="s">
        <v>452</v>
      </c>
      <c r="G91" s="98" t="s">
        <v>15</v>
      </c>
      <c r="H91" s="99">
        <v>-358671</v>
      </c>
      <c r="I91" s="99">
        <f>H91*'Reporting Hebdo'!$E$3</f>
      </c>
      <c r="J91" s="97" t="s">
        <v>212</v>
      </c>
      <c r="K91" s="100"/>
      <c r="L91" s="101"/>
      <c r="M91" s="51">
        <f>IF(I91&lt;0,MIN(0,I91+N(K91)),MAX(0,I91-N(K91)))</f>
      </c>
    </row>
    <row r="92" spans="1:13" x14ac:dyDescent="0.25">
      <c r="A92" s="97" t="s">
        <v>434</v>
      </c>
      <c r="B92" s="98" t="s">
        <v>70</v>
      </c>
      <c r="C92" s="98" t="s">
        <v>33</v>
      </c>
      <c r="D92" s="98" t="s">
        <v>128</v>
      </c>
      <c r="E92" s="98" t="s">
        <v>430</v>
      </c>
      <c r="F92" s="98" t="s">
        <v>431</v>
      </c>
      <c r="G92" s="98" t="s">
        <v>453</v>
      </c>
      <c r="H92" s="99">
        <v>-289547.42</v>
      </c>
      <c r="I92" s="99">
        <f>H92*'Reporting Hebdo'!$E$3</f>
      </c>
      <c r="J92" s="97" t="s">
        <v>212</v>
      </c>
      <c r="K92" s="100"/>
      <c r="L92" s="101"/>
      <c r="M92" s="51">
        <f>IF(I92&lt;0,MIN(0,I92+N(K92)),MAX(0,I92-N(K92)))</f>
      </c>
    </row>
    <row r="93" spans="1:13" x14ac:dyDescent="0.25">
      <c r="A93" s="97" t="s">
        <v>434</v>
      </c>
      <c r="B93" s="98" t="s">
        <v>70</v>
      </c>
      <c r="C93" s="98" t="s">
        <v>33</v>
      </c>
      <c r="D93" s="98" t="s">
        <v>128</v>
      </c>
      <c r="E93" s="98" t="s">
        <v>432</v>
      </c>
      <c r="F93" s="98" t="s">
        <v>433</v>
      </c>
      <c r="G93" s="98" t="s">
        <v>453</v>
      </c>
      <c r="H93" s="99">
        <v>-44236.41</v>
      </c>
      <c r="I93" s="99">
        <f>H93*'Reporting Hebdo'!$E$3</f>
      </c>
      <c r="J93" s="97" t="s">
        <v>212</v>
      </c>
      <c r="K93" s="100"/>
      <c r="L93" s="101"/>
      <c r="M93" s="51">
        <f>IF(I93&lt;0,MIN(0,I93+N(K93)),MAX(0,I93-N(K93)))</f>
      </c>
    </row>
    <row r="94" spans="1:13" x14ac:dyDescent="0.25">
      <c r="A94" s="97" t="s">
        <v>434</v>
      </c>
      <c r="B94" s="98" t="s">
        <v>67</v>
      </c>
      <c r="C94" s="98" t="s">
        <v>36</v>
      </c>
      <c r="D94" s="98" t="s">
        <v>125</v>
      </c>
      <c r="E94" s="98" t="s">
        <v>454</v>
      </c>
      <c r="F94" s="98" t="s">
        <v>455</v>
      </c>
      <c r="G94" s="98" t="s">
        <v>15</v>
      </c>
      <c r="H94" s="99">
        <v>200000</v>
      </c>
      <c r="I94" s="99">
        <f>H94*'Reporting Hebdo'!$E$3</f>
      </c>
      <c r="J94" s="97" t="s">
        <v>212</v>
      </c>
      <c r="K94" s="100"/>
      <c r="L94" s="101"/>
      <c r="M94" s="51">
        <f>IF(I94&lt;0,MIN(0,I94+N(K94)),MAX(0,I94-N(K94)))</f>
      </c>
    </row>
    <row r="95" spans="1:13" x14ac:dyDescent="0.25">
      <c r="A95" s="97" t="s">
        <v>434</v>
      </c>
      <c r="B95" s="98" t="s">
        <v>67</v>
      </c>
      <c r="C95" s="98" t="s">
        <v>36</v>
      </c>
      <c r="D95" s="98" t="s">
        <v>125</v>
      </c>
      <c r="E95" s="98" t="s">
        <v>392</v>
      </c>
      <c r="F95" s="98" t="s">
        <v>393</v>
      </c>
      <c r="G95" s="98" t="s">
        <v>394</v>
      </c>
      <c r="H95" s="99">
        <v>-87897.35</v>
      </c>
      <c r="I95" s="99">
        <f>H95*'Reporting Hebdo'!$E$3</f>
      </c>
      <c r="J95" s="97" t="s">
        <v>212</v>
      </c>
      <c r="K95" s="100"/>
      <c r="L95" s="101"/>
      <c r="M95" s="51">
        <f>IF(I95&lt;0,MIN(0,I95+N(K95)),MAX(0,I95-N(K95)))</f>
      </c>
    </row>
    <row r="96" spans="1:13" x14ac:dyDescent="0.25">
      <c r="A96" s="97" t="s">
        <v>434</v>
      </c>
      <c r="B96" s="98" t="s">
        <v>67</v>
      </c>
      <c r="C96" s="98" t="s">
        <v>36</v>
      </c>
      <c r="D96" s="98" t="s">
        <v>125</v>
      </c>
      <c r="E96" s="98" t="s">
        <v>395</v>
      </c>
      <c r="F96" s="98" t="s">
        <v>396</v>
      </c>
      <c r="G96" s="98" t="s">
        <v>15</v>
      </c>
      <c r="H96" s="99">
        <v>-645447.27</v>
      </c>
      <c r="I96" s="99">
        <f>H96*'Reporting Hebdo'!$E$3</f>
      </c>
      <c r="J96" s="97" t="s">
        <v>212</v>
      </c>
      <c r="K96" s="100"/>
      <c r="L96" s="101"/>
      <c r="M96" s="51">
        <f>IF(I96&lt;0,MIN(0,I96+N(K96)),MAX(0,I96-N(K96)))</f>
      </c>
    </row>
    <row r="97" spans="1:13" x14ac:dyDescent="0.25">
      <c r="A97" s="97" t="s">
        <v>434</v>
      </c>
      <c r="B97" s="98" t="s">
        <v>67</v>
      </c>
      <c r="C97" s="98" t="s">
        <v>36</v>
      </c>
      <c r="D97" s="98" t="s">
        <v>125</v>
      </c>
      <c r="E97" s="98" t="s">
        <v>399</v>
      </c>
      <c r="F97" s="98" t="s">
        <v>400</v>
      </c>
      <c r="G97" s="98" t="s">
        <v>15</v>
      </c>
      <c r="H97" s="99">
        <v>-76680.35</v>
      </c>
      <c r="I97" s="99">
        <f>H97*'Reporting Hebdo'!$E$3</f>
      </c>
      <c r="J97" s="97" t="s">
        <v>212</v>
      </c>
      <c r="K97" s="100"/>
      <c r="L97" s="101"/>
      <c r="M97" s="51">
        <f>IF(I97&lt;0,MIN(0,I97+N(K97)),MAX(0,I97-N(K97)))</f>
      </c>
    </row>
    <row r="98" spans="1:13" x14ac:dyDescent="0.25">
      <c r="A98" s="97" t="s">
        <v>434</v>
      </c>
      <c r="B98" s="98" t="s">
        <v>67</v>
      </c>
      <c r="C98" s="98" t="s">
        <v>36</v>
      </c>
      <c r="D98" s="98" t="s">
        <v>126</v>
      </c>
      <c r="E98" s="98" t="s">
        <v>352</v>
      </c>
      <c r="F98" s="98" t="s">
        <v>353</v>
      </c>
      <c r="G98" s="98" t="s">
        <v>406</v>
      </c>
      <c r="H98" s="99">
        <v>-18066.62</v>
      </c>
      <c r="I98" s="99">
        <f>H98*'Reporting Hebdo'!$E$3</f>
      </c>
      <c r="J98" s="97" t="s">
        <v>212</v>
      </c>
      <c r="K98" s="100"/>
      <c r="L98" s="101"/>
      <c r="M98" s="51">
        <f>IF(I98&lt;0,MIN(0,I98+N(K98)),MAX(0,I98-N(K98)))</f>
      </c>
    </row>
    <row r="99" spans="1:13" x14ac:dyDescent="0.25">
      <c r="A99" s="97" t="s">
        <v>434</v>
      </c>
      <c r="B99" s="98" t="s">
        <v>67</v>
      </c>
      <c r="C99" s="98" t="s">
        <v>36</v>
      </c>
      <c r="D99" s="98" t="s">
        <v>126</v>
      </c>
      <c r="E99" s="98" t="s">
        <v>355</v>
      </c>
      <c r="F99" s="98" t="s">
        <v>356</v>
      </c>
      <c r="G99" s="98" t="s">
        <v>357</v>
      </c>
      <c r="H99" s="99">
        <v>-20699.65</v>
      </c>
      <c r="I99" s="99">
        <f>H99*'Reporting Hebdo'!$E$3</f>
      </c>
      <c r="J99" s="97" t="s">
        <v>212</v>
      </c>
      <c r="K99" s="100"/>
      <c r="L99" s="101"/>
      <c r="M99" s="51">
        <f>IF(I99&lt;0,MIN(0,I99+N(K99)),MAX(0,I99-N(K99)))</f>
      </c>
    </row>
    <row r="100" spans="1:13" x14ac:dyDescent="0.25">
      <c r="A100" s="97" t="s">
        <v>434</v>
      </c>
      <c r="B100" s="98" t="s">
        <v>67</v>
      </c>
      <c r="C100" s="98" t="s">
        <v>36</v>
      </c>
      <c r="D100" s="98" t="s">
        <v>126</v>
      </c>
      <c r="E100" s="98" t="s">
        <v>364</v>
      </c>
      <c r="F100" s="98" t="s">
        <v>365</v>
      </c>
      <c r="G100" s="98" t="s">
        <v>407</v>
      </c>
      <c r="H100" s="99">
        <v>-6719.33</v>
      </c>
      <c r="I100" s="99">
        <f>H100*'Reporting Hebdo'!$E$3</f>
      </c>
      <c r="J100" s="97" t="s">
        <v>212</v>
      </c>
      <c r="K100" s="100"/>
      <c r="L100" s="101"/>
      <c r="M100" s="51">
        <f>IF(I100&lt;0,MIN(0,I100+N(K100)),MAX(0,I100-N(K100)))</f>
      </c>
    </row>
    <row r="101" spans="1:13" x14ac:dyDescent="0.25">
      <c r="A101" s="97" t="s">
        <v>434</v>
      </c>
      <c r="B101" s="98" t="s">
        <v>67</v>
      </c>
      <c r="C101" s="98" t="s">
        <v>36</v>
      </c>
      <c r="D101" s="98" t="s">
        <v>126</v>
      </c>
      <c r="E101" s="98" t="s">
        <v>367</v>
      </c>
      <c r="F101" s="98" t="s">
        <v>368</v>
      </c>
      <c r="G101" s="98" t="s">
        <v>410</v>
      </c>
      <c r="H101" s="99">
        <v>-10000</v>
      </c>
      <c r="I101" s="99">
        <f>H101*'Reporting Hebdo'!$E$3</f>
      </c>
      <c r="J101" s="97" t="s">
        <v>212</v>
      </c>
      <c r="K101" s="100"/>
      <c r="L101" s="101"/>
      <c r="M101" s="51">
        <f>IF(I101&lt;0,MIN(0,I101+N(K101)),MAX(0,I101-N(K101)))</f>
      </c>
    </row>
    <row r="102" spans="1:13" x14ac:dyDescent="0.25">
      <c r="A102" s="97" t="s">
        <v>434</v>
      </c>
      <c r="B102" s="98" t="s">
        <v>67</v>
      </c>
      <c r="C102" s="98" t="s">
        <v>36</v>
      </c>
      <c r="D102" s="98" t="s">
        <v>126</v>
      </c>
      <c r="E102" s="98" t="s">
        <v>370</v>
      </c>
      <c r="F102" s="98" t="s">
        <v>371</v>
      </c>
      <c r="G102" s="98" t="s">
        <v>15</v>
      </c>
      <c r="H102" s="99">
        <v>-1254.17</v>
      </c>
      <c r="I102" s="99">
        <f>H102*'Reporting Hebdo'!$E$3</f>
      </c>
      <c r="J102" s="97" t="s">
        <v>212</v>
      </c>
      <c r="K102" s="100"/>
      <c r="L102" s="101"/>
      <c r="M102" s="51">
        <f>IF(I102&lt;0,MIN(0,I102+N(K102)),MAX(0,I102-N(K102)))</f>
      </c>
    </row>
    <row r="103" spans="1:13" x14ac:dyDescent="0.25">
      <c r="A103" s="97" t="s">
        <v>434</v>
      </c>
      <c r="B103" s="98" t="s">
        <v>67</v>
      </c>
      <c r="C103" s="98" t="s">
        <v>36</v>
      </c>
      <c r="D103" s="98" t="s">
        <v>127</v>
      </c>
      <c r="E103" s="98" t="s">
        <v>456</v>
      </c>
      <c r="F103" s="98" t="s">
        <v>457</v>
      </c>
      <c r="G103" s="98" t="s">
        <v>458</v>
      </c>
      <c r="H103" s="99">
        <v>-8600</v>
      </c>
      <c r="I103" s="99">
        <f>H103*'Reporting Hebdo'!$E$3</f>
      </c>
      <c r="J103" s="97" t="s">
        <v>212</v>
      </c>
      <c r="K103" s="100"/>
      <c r="L103" s="101"/>
      <c r="M103" s="51">
        <f>IF(I103&lt;0,MIN(0,I103+N(K103)),MAX(0,I103-N(K103)))</f>
      </c>
    </row>
    <row r="104" spans="1:13" x14ac:dyDescent="0.25">
      <c r="A104" s="97" t="s">
        <v>434</v>
      </c>
      <c r="B104" s="98" t="s">
        <v>67</v>
      </c>
      <c r="C104" s="98" t="s">
        <v>36</v>
      </c>
      <c r="D104" s="98" t="s">
        <v>127</v>
      </c>
      <c r="E104" s="98" t="s">
        <v>372</v>
      </c>
      <c r="F104" s="98" t="s">
        <v>373</v>
      </c>
      <c r="G104" s="98" t="s">
        <v>426</v>
      </c>
      <c r="H104" s="99">
        <v>-10394.35</v>
      </c>
      <c r="I104" s="99">
        <f>H104*'Reporting Hebdo'!$E$3</f>
      </c>
      <c r="J104" s="97" t="s">
        <v>212</v>
      </c>
      <c r="K104" s="100"/>
      <c r="L104" s="101"/>
      <c r="M104" s="51">
        <f>IF(I104&lt;0,MIN(0,I104+N(K104)),MAX(0,I104-N(K104)))</f>
      </c>
    </row>
    <row r="105" spans="1:13" x14ac:dyDescent="0.25">
      <c r="A105" s="97" t="s">
        <v>434</v>
      </c>
      <c r="B105" s="98" t="s">
        <v>67</v>
      </c>
      <c r="C105" s="98" t="s">
        <v>36</v>
      </c>
      <c r="D105" s="98" t="s">
        <v>127</v>
      </c>
      <c r="E105" s="98" t="s">
        <v>411</v>
      </c>
      <c r="F105" s="98" t="s">
        <v>412</v>
      </c>
      <c r="G105" s="98" t="s">
        <v>413</v>
      </c>
      <c r="H105" s="99">
        <v>-8000</v>
      </c>
      <c r="I105" s="99">
        <f>H105*'Reporting Hebdo'!$E$3</f>
      </c>
      <c r="J105" s="97" t="s">
        <v>212</v>
      </c>
      <c r="K105" s="100"/>
      <c r="L105" s="101"/>
      <c r="M105" s="51">
        <f>IF(I105&lt;0,MIN(0,I105+N(K105)),MAX(0,I105-N(K105)))</f>
      </c>
    </row>
    <row r="106" spans="1:13" x14ac:dyDescent="0.25">
      <c r="A106" s="97" t="s">
        <v>3</v>
      </c>
      <c r="B106" s="98" t="s">
        <v>70</v>
      </c>
      <c r="C106" s="98" t="s">
        <v>33</v>
      </c>
      <c r="D106" s="98" t="s">
        <v>459</v>
      </c>
      <c r="E106" s="98" t="s">
        <v>15</v>
      </c>
      <c r="F106" s="98" t="s">
        <v>460</v>
      </c>
      <c r="G106" s="98" t="s">
        <v>15</v>
      </c>
      <c r="H106" s="99">
        <f>I106/'Reporting Hebdo'!$E$3</f>
      </c>
      <c r="I106" s="99">
        <v>-32902934</v>
      </c>
      <c r="J106" s="97" t="s">
        <v>314</v>
      </c>
      <c r="K106" s="100"/>
      <c r="L106" s="101"/>
      <c r="M106" s="51">
        <f>IF(I106&lt;0,MIN(0,I106+N(K106)),MAX(0,I106-N(K106)))</f>
      </c>
    </row>
    <row r="107" spans="1:13" x14ac:dyDescent="0.25">
      <c r="A107" s="97" t="s">
        <v>5</v>
      </c>
      <c r="B107" s="98" t="s">
        <v>67</v>
      </c>
      <c r="C107" s="98" t="s">
        <v>36</v>
      </c>
      <c r="D107" s="98" t="s">
        <v>459</v>
      </c>
      <c r="E107" s="98" t="s">
        <v>15</v>
      </c>
      <c r="F107" s="98" t="s">
        <v>461</v>
      </c>
      <c r="G107" s="98" t="s">
        <v>15</v>
      </c>
      <c r="H107" s="99">
        <f>I107/'Reporting Hebdo'!$E$3</f>
      </c>
      <c r="I107" s="99">
        <v>-187500000</v>
      </c>
      <c r="J107" s="97" t="s">
        <v>314</v>
      </c>
      <c r="K107" s="100"/>
      <c r="L107" s="101"/>
      <c r="M107" s="51">
        <f>IF(I107&lt;0,MIN(0,I107+N(K107)),MAX(0,I107-N(K107)))</f>
      </c>
    </row>
    <row r="108" spans="11:13" x14ac:dyDescent="0.25">
      <c r="K108" s="102"/>
      <c r="L108" s="102"/>
      <c r="M108" s="103">
        <f>IF(I108&lt;0,MIN(0,I108+N(K108)),MAX(0,I108-N(K108)))</f>
      </c>
    </row>
    <row r="109" spans="11:13" x14ac:dyDescent="0.25">
      <c r="K109" s="102"/>
      <c r="L109" s="102"/>
      <c r="M109" s="103">
        <f>IF(I109&lt;0,MIN(0,I109+N(K109)),MAX(0,I109-N(K109)))</f>
      </c>
    </row>
    <row r="110" spans="11:13" x14ac:dyDescent="0.25">
      <c r="K110" s="102"/>
      <c r="L110" s="102"/>
      <c r="M110" s="103">
        <f>IF(I110&lt;0,MIN(0,I110+N(K110)),MAX(0,I110-N(K110)))</f>
      </c>
    </row>
    <row r="111" spans="11:13" x14ac:dyDescent="0.25">
      <c r="K111" s="102"/>
      <c r="L111" s="102"/>
      <c r="M111" s="103">
        <f>IF(I111&lt;0,MIN(0,I111+N(K111)),MAX(0,I111-N(K111)))</f>
      </c>
    </row>
    <row r="112" spans="11:13" x14ac:dyDescent="0.25">
      <c r="K112" s="102"/>
      <c r="L112" s="102"/>
      <c r="M112" s="103">
        <f>IF(I112&lt;0,MIN(0,I112+N(K112)),MAX(0,I112-N(K112)))</f>
      </c>
    </row>
    <row r="113" spans="11:13" x14ac:dyDescent="0.25">
      <c r="K113" s="102"/>
      <c r="L113" s="102"/>
      <c r="M113" s="103">
        <f>IF(I113&lt;0,MIN(0,I113+N(K113)),MAX(0,I113-N(K113)))</f>
      </c>
    </row>
    <row r="114" spans="11:13" x14ac:dyDescent="0.25">
      <c r="K114" s="102"/>
      <c r="L114" s="102"/>
      <c r="M114" s="103">
        <f>IF(I114&lt;0,MIN(0,I114+N(K114)),MAX(0,I114-N(K114)))</f>
      </c>
    </row>
    <row r="115" spans="11:13" x14ac:dyDescent="0.25">
      <c r="K115" s="102"/>
      <c r="L115" s="102"/>
      <c r="M115" s="103">
        <f>IF(I115&lt;0,MIN(0,I115+N(K115)),MAX(0,I115-N(K115)))</f>
      </c>
    </row>
    <row r="116" spans="11:13" x14ac:dyDescent="0.25">
      <c r="K116" s="102"/>
      <c r="L116" s="102"/>
      <c r="M116" s="103">
        <f>IF(I116&lt;0,MIN(0,I116+N(K116)),MAX(0,I116-N(K116)))</f>
      </c>
    </row>
    <row r="117" spans="11:13" x14ac:dyDescent="0.25">
      <c r="K117" s="102"/>
      <c r="L117" s="102"/>
      <c r="M117" s="103">
        <f>IF(I117&lt;0,MIN(0,I117+N(K117)),MAX(0,I117-N(K117)))</f>
      </c>
    </row>
    <row r="118" spans="11:13" x14ac:dyDescent="0.25">
      <c r="K118" s="102"/>
      <c r="L118" s="102"/>
      <c r="M118" s="103">
        <f>IF(I118&lt;0,MIN(0,I118+N(K118)),MAX(0,I118-N(K118)))</f>
      </c>
    </row>
    <row r="119" spans="11:13" x14ac:dyDescent="0.25">
      <c r="K119" s="102"/>
      <c r="L119" s="102"/>
      <c r="M119" s="103">
        <f>IF(I119&lt;0,MIN(0,I119+N(K119)),MAX(0,I119-N(K119)))</f>
      </c>
    </row>
    <row r="120" spans="11:13" x14ac:dyDescent="0.25">
      <c r="K120" s="102"/>
      <c r="L120" s="102"/>
      <c r="M120" s="103">
        <f>IF(I120&lt;0,MIN(0,I120+N(K120)),MAX(0,I120-N(K120)))</f>
      </c>
    </row>
    <row r="121" spans="11:13" x14ac:dyDescent="0.25">
      <c r="K121" s="102"/>
      <c r="L121" s="102"/>
      <c r="M121" s="103">
        <f>IF(I121&lt;0,MIN(0,I121+N(K121)),MAX(0,I121-N(K121)))</f>
      </c>
    </row>
    <row r="122" spans="11:13" x14ac:dyDescent="0.25">
      <c r="K122" s="102"/>
      <c r="L122" s="102"/>
      <c r="M122" s="103">
        <f>IF(I122&lt;0,MIN(0,I122+N(K122)),MAX(0,I122-N(K122)))</f>
      </c>
    </row>
    <row r="123" spans="11:13" x14ac:dyDescent="0.25">
      <c r="K123" s="102"/>
      <c r="L123" s="102"/>
      <c r="M123" s="103">
        <f>IF(I123&lt;0,MIN(0,I123+N(K123)),MAX(0,I123-N(K123)))</f>
      </c>
    </row>
    <row r="124" spans="11:13" x14ac:dyDescent="0.25">
      <c r="K124" s="102"/>
      <c r="L124" s="102"/>
      <c r="M124" s="103">
        <f>IF(I124&lt;0,MIN(0,I124+N(K124)),MAX(0,I124-N(K124)))</f>
      </c>
    </row>
    <row r="125" spans="11:13" x14ac:dyDescent="0.25">
      <c r="K125" s="102"/>
      <c r="L125" s="102"/>
      <c r="M125" s="103">
        <f>IF(I125&lt;0,MIN(0,I125+N(K125)),MAX(0,I125-N(K125)))</f>
      </c>
    </row>
    <row r="126" spans="11:13" x14ac:dyDescent="0.25">
      <c r="K126" s="102"/>
      <c r="L126" s="102"/>
      <c r="M126" s="103">
        <f>IF(I126&lt;0,MIN(0,I126+N(K126)),MAX(0,I126-N(K126)))</f>
      </c>
    </row>
    <row r="127" spans="11:13" x14ac:dyDescent="0.25">
      <c r="K127" s="102"/>
      <c r="L127" s="102"/>
      <c r="M127" s="103">
        <f>IF(I127&lt;0,MIN(0,I127+N(K127)),MAX(0,I127-N(K127)))</f>
      </c>
    </row>
    <row r="128" spans="11:13" x14ac:dyDescent="0.25">
      <c r="K128" s="102"/>
      <c r="L128" s="102"/>
      <c r="M128" s="103">
        <f>IF(I128&lt;0,MIN(0,I128+N(K128)),MAX(0,I128-N(K128)))</f>
      </c>
    </row>
    <row r="129" spans="11:13" x14ac:dyDescent="0.25">
      <c r="K129" s="102"/>
      <c r="L129" s="102"/>
      <c r="M129" s="103">
        <f>IF(I129&lt;0,MIN(0,I129+N(K129)),MAX(0,I129-N(K129)))</f>
      </c>
    </row>
    <row r="130" spans="11:13" x14ac:dyDescent="0.25">
      <c r="K130" s="102"/>
      <c r="L130" s="102"/>
      <c r="M130" s="103">
        <f>IF(I130&lt;0,MIN(0,I130+N(K130)),MAX(0,I130-N(K130)))</f>
      </c>
    </row>
    <row r="131" spans="11:13" x14ac:dyDescent="0.25">
      <c r="K131" s="102"/>
      <c r="L131" s="102"/>
      <c r="M131" s="103">
        <f>IF(I131&lt;0,MIN(0,I131+N(K131)),MAX(0,I131-N(K131)))</f>
      </c>
    </row>
    <row r="132" spans="11:13" x14ac:dyDescent="0.25">
      <c r="K132" s="102"/>
      <c r="L132" s="102"/>
      <c r="M132" s="103">
        <f>IF(I132&lt;0,MIN(0,I132+N(K132)),MAX(0,I132-N(K132)))</f>
      </c>
    </row>
    <row r="133" spans="11:13" x14ac:dyDescent="0.25">
      <c r="K133" s="102"/>
      <c r="L133" s="102"/>
      <c r="M133" s="103">
        <f>IF(I133&lt;0,MIN(0,I133+N(K133)),MAX(0,I133-N(K133)))</f>
      </c>
    </row>
    <row r="134" spans="11:13" x14ac:dyDescent="0.25">
      <c r="K134" s="102"/>
      <c r="L134" s="102"/>
      <c r="M134" s="103">
        <f>IF(I134&lt;0,MIN(0,I134+N(K134)),MAX(0,I134-N(K134)))</f>
      </c>
    </row>
    <row r="135" spans="11:13" x14ac:dyDescent="0.25">
      <c r="K135" s="102"/>
      <c r="L135" s="102"/>
      <c r="M135" s="103">
        <f>IF(I135&lt;0,MIN(0,I135+N(K135)),MAX(0,I135-N(K135)))</f>
      </c>
    </row>
    <row r="136" spans="11:13" x14ac:dyDescent="0.25">
      <c r="K136" s="102"/>
      <c r="L136" s="102"/>
      <c r="M136" s="103">
        <f>IF(I136&lt;0,MIN(0,I136+N(K136)),MAX(0,I136-N(K136)))</f>
      </c>
    </row>
    <row r="137" spans="11:13" x14ac:dyDescent="0.25">
      <c r="K137" s="102"/>
      <c r="L137" s="102"/>
      <c r="M137" s="103">
        <f>IF(I137&lt;0,MIN(0,I137+N(K137)),MAX(0,I137-N(K137)))</f>
      </c>
    </row>
    <row r="138" spans="11:13" x14ac:dyDescent="0.25">
      <c r="K138" s="102"/>
      <c r="L138" s="102"/>
      <c r="M138" s="103">
        <f>IF(I138&lt;0,MIN(0,I138+N(K138)),MAX(0,I138-N(K138)))</f>
      </c>
    </row>
    <row r="139" spans="11:13" x14ac:dyDescent="0.25">
      <c r="K139" s="102"/>
      <c r="L139" s="102"/>
      <c r="M139" s="103">
        <f>IF(I139&lt;0,MIN(0,I139+N(K139)),MAX(0,I139-N(K139)))</f>
      </c>
    </row>
    <row r="140" spans="11:13" x14ac:dyDescent="0.25">
      <c r="K140" s="102"/>
      <c r="L140" s="102"/>
      <c r="M140" s="103">
        <f>IF(I140&lt;0,MIN(0,I140+N(K140)),MAX(0,I140-N(K140)))</f>
      </c>
    </row>
    <row r="141" spans="11:13" x14ac:dyDescent="0.25">
      <c r="K141" s="102"/>
      <c r="L141" s="102"/>
      <c r="M141" s="103">
        <f>IF(I141&lt;0,MIN(0,I141+N(K141)),MAX(0,I141-N(K141)))</f>
      </c>
    </row>
    <row r="142" spans="11:13" x14ac:dyDescent="0.25">
      <c r="K142" s="102"/>
      <c r="L142" s="102"/>
      <c r="M142" s="103">
        <f>IF(I142&lt;0,MIN(0,I142+N(K142)),MAX(0,I142-N(K142)))</f>
      </c>
    </row>
    <row r="143" spans="11:13" x14ac:dyDescent="0.25">
      <c r="K143" s="102"/>
      <c r="L143" s="102"/>
      <c r="M143" s="103">
        <f>IF(I143&lt;0,MIN(0,I143+N(K143)),MAX(0,I143-N(K143)))</f>
      </c>
    </row>
    <row r="144" spans="11:13" x14ac:dyDescent="0.25">
      <c r="K144" s="102"/>
      <c r="L144" s="102"/>
      <c r="M144" s="103">
        <f>IF(I144&lt;0,MIN(0,I144+N(K144)),MAX(0,I144-N(K144)))</f>
      </c>
    </row>
    <row r="145" spans="11:13" x14ac:dyDescent="0.25">
      <c r="K145" s="102"/>
      <c r="L145" s="102"/>
      <c r="M145" s="103">
        <f>IF(I145&lt;0,MIN(0,I145+N(K145)),MAX(0,I145-N(K145)))</f>
      </c>
    </row>
    <row r="146" spans="11:13" x14ac:dyDescent="0.25">
      <c r="K146" s="102"/>
      <c r="L146" s="102"/>
      <c r="M146" s="103">
        <f>IF(I146&lt;0,MIN(0,I146+N(K146)),MAX(0,I146-N(K146)))</f>
      </c>
    </row>
    <row r="147" spans="11:13" x14ac:dyDescent="0.25">
      <c r="K147" s="102"/>
      <c r="L147" s="102"/>
      <c r="M147" s="103">
        <f>IF(I147&lt;0,MIN(0,I147+N(K147)),MAX(0,I147-N(K147)))</f>
      </c>
    </row>
    <row r="148" spans="11:13" x14ac:dyDescent="0.25">
      <c r="K148" s="102"/>
      <c r="L148" s="102"/>
      <c r="M148" s="103">
        <f>IF(I148&lt;0,MIN(0,I148+N(K148)),MAX(0,I148-N(K148)))</f>
      </c>
    </row>
    <row r="149" spans="11:13" x14ac:dyDescent="0.25">
      <c r="K149" s="102"/>
      <c r="L149" s="102"/>
      <c r="M149" s="103">
        <f>IF(I149&lt;0,MIN(0,I149+N(K149)),MAX(0,I149-N(K149)))</f>
      </c>
    </row>
    <row r="150" spans="11:13" x14ac:dyDescent="0.25">
      <c r="K150" s="102"/>
      <c r="L150" s="102"/>
      <c r="M150" s="103">
        <f>IF(I150&lt;0,MIN(0,I150+N(K150)),MAX(0,I150-N(K150)))</f>
      </c>
    </row>
    <row r="151" spans="11:13" x14ac:dyDescent="0.25">
      <c r="K151" s="102"/>
      <c r="L151" s="102"/>
      <c r="M151" s="103">
        <f>IF(I151&lt;0,MIN(0,I151+N(K151)),MAX(0,I151-N(K151)))</f>
      </c>
    </row>
    <row r="152" spans="11:13" x14ac:dyDescent="0.25">
      <c r="K152" s="102"/>
      <c r="L152" s="102"/>
      <c r="M152" s="103">
        <f>IF(I152&lt;0,MIN(0,I152+N(K152)),MAX(0,I152-N(K152)))</f>
      </c>
    </row>
    <row r="153" spans="11:13" x14ac:dyDescent="0.25">
      <c r="K153" s="102"/>
      <c r="L153" s="102"/>
      <c r="M153" s="103">
        <f>IF(I153&lt;0,MIN(0,I153+N(K153)),MAX(0,I153-N(K153)))</f>
      </c>
    </row>
    <row r="154" spans="11:13" x14ac:dyDescent="0.25">
      <c r="K154" s="102"/>
      <c r="L154" s="102"/>
      <c r="M154" s="103">
        <f>IF(I154&lt;0,MIN(0,I154+N(K154)),MAX(0,I154-N(K154)))</f>
      </c>
    </row>
    <row r="155" spans="11:13" x14ac:dyDescent="0.25">
      <c r="K155" s="102"/>
      <c r="L155" s="102"/>
      <c r="M155" s="103">
        <f>IF(I155&lt;0,MIN(0,I155+N(K155)),MAX(0,I155-N(K155)))</f>
      </c>
    </row>
    <row r="156" spans="11:13" x14ac:dyDescent="0.25">
      <c r="K156" s="102"/>
      <c r="L156" s="102"/>
      <c r="M156" s="103">
        <f>IF(I156&lt;0,MIN(0,I156+N(K156)),MAX(0,I156-N(K156)))</f>
      </c>
    </row>
    <row r="157" spans="11:13" x14ac:dyDescent="0.25">
      <c r="K157" s="102"/>
      <c r="L157" s="102"/>
      <c r="M157" s="103">
        <f>IF(I157&lt;0,MIN(0,I157+N(K157)),MAX(0,I157-N(K157)))</f>
      </c>
    </row>
    <row r="158" spans="11:13" x14ac:dyDescent="0.25">
      <c r="K158" s="102"/>
      <c r="L158" s="102"/>
      <c r="M158" s="103">
        <f>IF(I158&lt;0,MIN(0,I158+N(K158)),MAX(0,I158-N(K158)))</f>
      </c>
    </row>
    <row r="159" spans="11:13" x14ac:dyDescent="0.25">
      <c r="K159" s="102"/>
      <c r="L159" s="102"/>
      <c r="M159" s="103">
        <f>IF(I159&lt;0,MIN(0,I159+N(K159)),MAX(0,I159-N(K159)))</f>
      </c>
    </row>
    <row r="160" spans="11:13" x14ac:dyDescent="0.25">
      <c r="K160" s="102"/>
      <c r="L160" s="102"/>
      <c r="M160" s="103">
        <f>IF(I160&lt;0,MIN(0,I160+N(K160)),MAX(0,I160-N(K160)))</f>
      </c>
    </row>
    <row r="161" spans="11:13" x14ac:dyDescent="0.25">
      <c r="K161" s="102"/>
      <c r="L161" s="102"/>
      <c r="M161" s="103">
        <f>IF(I161&lt;0,MIN(0,I161+N(K161)),MAX(0,I161-N(K161)))</f>
      </c>
    </row>
    <row r="162" spans="11:13" x14ac:dyDescent="0.25">
      <c r="K162" s="102"/>
      <c r="L162" s="102"/>
      <c r="M162" s="103">
        <f>IF(I162&lt;0,MIN(0,I162+N(K162)),MAX(0,I162-N(K162)))</f>
      </c>
    </row>
    <row r="163" spans="11:13" x14ac:dyDescent="0.25">
      <c r="K163" s="102"/>
      <c r="L163" s="102"/>
      <c r="M163" s="103">
        <f>IF(I163&lt;0,MIN(0,I163+N(K163)),MAX(0,I163-N(K163)))</f>
      </c>
    </row>
    <row r="164" spans="11:13" x14ac:dyDescent="0.25">
      <c r="K164" s="102"/>
      <c r="L164" s="102"/>
      <c r="M164" s="103">
        <f>IF(I164&lt;0,MIN(0,I164+N(K164)),MAX(0,I164-N(K164)))</f>
      </c>
    </row>
    <row r="165" spans="11:13" x14ac:dyDescent="0.25">
      <c r="K165" s="102"/>
      <c r="L165" s="102"/>
      <c r="M165" s="103">
        <f>IF(I165&lt;0,MIN(0,I165+N(K165)),MAX(0,I165-N(K165)))</f>
      </c>
    </row>
    <row r="166" spans="11:13" x14ac:dyDescent="0.25">
      <c r="K166" s="102"/>
      <c r="L166" s="102"/>
      <c r="M166" s="103">
        <f>IF(I166&lt;0,MIN(0,I166+N(K166)),MAX(0,I166-N(K166)))</f>
      </c>
    </row>
    <row r="167" spans="11:13" x14ac:dyDescent="0.25">
      <c r="K167" s="102"/>
      <c r="L167" s="102"/>
      <c r="M167" s="103">
        <f>IF(I167&lt;0,MIN(0,I167+N(K167)),MAX(0,I167-N(K167)))</f>
      </c>
    </row>
    <row r="168" spans="11:13" x14ac:dyDescent="0.25">
      <c r="K168" s="102"/>
      <c r="L168" s="102"/>
      <c r="M168" s="103">
        <f>IF(I168&lt;0,MIN(0,I168+N(K168)),MAX(0,I168-N(K168)))</f>
      </c>
    </row>
    <row r="169" spans="11:13" x14ac:dyDescent="0.25">
      <c r="K169" s="102"/>
      <c r="L169" s="102"/>
      <c r="M169" s="103">
        <f>IF(I169&lt;0,MIN(0,I169+N(K169)),MAX(0,I169-N(K169)))</f>
      </c>
    </row>
    <row r="170" spans="11:13" x14ac:dyDescent="0.25">
      <c r="K170" s="102"/>
      <c r="L170" s="102"/>
      <c r="M170" s="103">
        <f>IF(I170&lt;0,MIN(0,I170+N(K170)),MAX(0,I170-N(K170)))</f>
      </c>
    </row>
    <row r="171" spans="11:13" x14ac:dyDescent="0.25">
      <c r="K171" s="102"/>
      <c r="L171" s="102"/>
      <c r="M171" s="103">
        <f>IF(I171&lt;0,MIN(0,I171+N(K171)),MAX(0,I171-N(K171)))</f>
      </c>
    </row>
    <row r="172" spans="11:13" x14ac:dyDescent="0.25">
      <c r="K172" s="102"/>
      <c r="L172" s="102"/>
      <c r="M172" s="103">
        <f>IF(I172&lt;0,MIN(0,I172+N(K172)),MAX(0,I172-N(K172)))</f>
      </c>
    </row>
    <row r="173" spans="11:13" x14ac:dyDescent="0.25">
      <c r="K173" s="102"/>
      <c r="L173" s="102"/>
      <c r="M173" s="103">
        <f>IF(I173&lt;0,MIN(0,I173+N(K173)),MAX(0,I173-N(K173)))</f>
      </c>
    </row>
    <row r="174" spans="11:13" x14ac:dyDescent="0.25">
      <c r="K174" s="102"/>
      <c r="L174" s="102"/>
      <c r="M174" s="103">
        <f>IF(I174&lt;0,MIN(0,I174+N(K174)),MAX(0,I174-N(K174)))</f>
      </c>
    </row>
    <row r="175" spans="11:13" x14ac:dyDescent="0.25">
      <c r="K175" s="102"/>
      <c r="L175" s="102"/>
      <c r="M175" s="103">
        <f>IF(I175&lt;0,MIN(0,I175+N(K175)),MAX(0,I175-N(K175)))</f>
      </c>
    </row>
    <row r="176" spans="11:13" x14ac:dyDescent="0.25">
      <c r="K176" s="102"/>
      <c r="L176" s="102"/>
      <c r="M176" s="103">
        <f>IF(I176&lt;0,MIN(0,I176+N(K176)),MAX(0,I176-N(K176)))</f>
      </c>
    </row>
    <row r="177" spans="11:13" x14ac:dyDescent="0.25">
      <c r="K177" s="102"/>
      <c r="L177" s="102"/>
      <c r="M177" s="103">
        <f>IF(I177&lt;0,MIN(0,I177+N(K177)),MAX(0,I177-N(K177)))</f>
      </c>
    </row>
    <row r="178" spans="11:13" x14ac:dyDescent="0.25">
      <c r="K178" s="102"/>
      <c r="L178" s="102"/>
      <c r="M178" s="103">
        <f>IF(I178&lt;0,MIN(0,I178+N(K178)),MAX(0,I178-N(K178)))</f>
      </c>
    </row>
    <row r="179" spans="11:13" x14ac:dyDescent="0.25">
      <c r="K179" s="102"/>
      <c r="L179" s="102"/>
      <c r="M179" s="103">
        <f>IF(I179&lt;0,MIN(0,I179+N(K179)),MAX(0,I179-N(K179)))</f>
      </c>
    </row>
    <row r="180" spans="11:13" x14ac:dyDescent="0.25">
      <c r="K180" s="102"/>
      <c r="L180" s="102"/>
      <c r="M180" s="103">
        <f>IF(I180&lt;0,MIN(0,I180+N(K180)),MAX(0,I180-N(K180)))</f>
      </c>
    </row>
    <row r="181" spans="11:13" x14ac:dyDescent="0.25">
      <c r="K181" s="102"/>
      <c r="L181" s="102"/>
      <c r="M181" s="103">
        <f>IF(I181&lt;0,MIN(0,I181+N(K181)),MAX(0,I181-N(K181)))</f>
      </c>
    </row>
    <row r="182" spans="11:13" x14ac:dyDescent="0.25">
      <c r="K182" s="102"/>
      <c r="L182" s="102"/>
      <c r="M182" s="103">
        <f>IF(I182&lt;0,MIN(0,I182+N(K182)),MAX(0,I182-N(K182)))</f>
      </c>
    </row>
    <row r="183" spans="11:13" x14ac:dyDescent="0.25">
      <c r="K183" s="102"/>
      <c r="L183" s="102"/>
      <c r="M183" s="103">
        <f>IF(I183&lt;0,MIN(0,I183+N(K183)),MAX(0,I183-N(K183)))</f>
      </c>
    </row>
    <row r="184" spans="11:13" x14ac:dyDescent="0.25">
      <c r="K184" s="102"/>
      <c r="L184" s="102"/>
      <c r="M184" s="103">
        <f>IF(I184&lt;0,MIN(0,I184+N(K184)),MAX(0,I184-N(K184)))</f>
      </c>
    </row>
    <row r="185" spans="11:13" x14ac:dyDescent="0.25">
      <c r="K185" s="102"/>
      <c r="L185" s="102"/>
      <c r="M185" s="103">
        <f>IF(I185&lt;0,MIN(0,I185+N(K185)),MAX(0,I185-N(K185)))</f>
      </c>
    </row>
    <row r="186" spans="11:13" x14ac:dyDescent="0.25">
      <c r="K186" s="102"/>
      <c r="L186" s="102"/>
      <c r="M186" s="103">
        <f>IF(I186&lt;0,MIN(0,I186+N(K186)),MAX(0,I186-N(K186)))</f>
      </c>
    </row>
    <row r="187" spans="11:13" x14ac:dyDescent="0.25">
      <c r="K187" s="102"/>
      <c r="L187" s="102"/>
      <c r="M187" s="103">
        <f>IF(I187&lt;0,MIN(0,I187+N(K187)),MAX(0,I187-N(K187)))</f>
      </c>
    </row>
    <row r="188" spans="11:13" x14ac:dyDescent="0.25">
      <c r="K188" s="102"/>
      <c r="L188" s="102"/>
      <c r="M188" s="103">
        <f>IF(I188&lt;0,MIN(0,I188+N(K188)),MAX(0,I188-N(K188)))</f>
      </c>
    </row>
    <row r="189" spans="11:13" x14ac:dyDescent="0.25">
      <c r="K189" s="102"/>
      <c r="L189" s="102"/>
      <c r="M189" s="103">
        <f>IF(I189&lt;0,MIN(0,I189+N(K189)),MAX(0,I189-N(K189)))</f>
      </c>
    </row>
    <row r="190" spans="11:13" x14ac:dyDescent="0.25">
      <c r="K190" s="102"/>
      <c r="L190" s="102"/>
      <c r="M190" s="103">
        <f>IF(I190&lt;0,MIN(0,I190+N(K190)),MAX(0,I190-N(K190)))</f>
      </c>
    </row>
    <row r="191" spans="11:13" x14ac:dyDescent="0.25">
      <c r="K191" s="102"/>
      <c r="L191" s="102"/>
      <c r="M191" s="103">
        <f>IF(I191&lt;0,MIN(0,I191+N(K191)),MAX(0,I191-N(K191)))</f>
      </c>
    </row>
    <row r="192" spans="11:13" x14ac:dyDescent="0.25">
      <c r="K192" s="102"/>
      <c r="L192" s="102"/>
      <c r="M192" s="103">
        <f>IF(I192&lt;0,MIN(0,I192+N(K192)),MAX(0,I192-N(K192)))</f>
      </c>
    </row>
    <row r="193" spans="11:13" x14ac:dyDescent="0.25">
      <c r="K193" s="102"/>
      <c r="L193" s="102"/>
      <c r="M193" s="103">
        <f>IF(I193&lt;0,MIN(0,I193+N(K193)),MAX(0,I193-N(K193)))</f>
      </c>
    </row>
    <row r="194" spans="11:13" x14ac:dyDescent="0.25">
      <c r="K194" s="102"/>
      <c r="L194" s="102"/>
      <c r="M194" s="103">
        <f>IF(I194&lt;0,MIN(0,I194+N(K194)),MAX(0,I194-N(K194)))</f>
      </c>
    </row>
    <row r="195" spans="11:13" x14ac:dyDescent="0.25">
      <c r="K195" s="102"/>
      <c r="L195" s="102"/>
      <c r="M195" s="103">
        <f>IF(I195&lt;0,MIN(0,I195+N(K195)),MAX(0,I195-N(K195)))</f>
      </c>
    </row>
    <row r="196" spans="11:13" x14ac:dyDescent="0.25">
      <c r="K196" s="102"/>
      <c r="L196" s="102"/>
      <c r="M196" s="103">
        <f>IF(I196&lt;0,MIN(0,I196+N(K196)),MAX(0,I196-N(K196)))</f>
      </c>
    </row>
    <row r="197" spans="11:13" x14ac:dyDescent="0.25">
      <c r="K197" s="102"/>
      <c r="L197" s="102"/>
      <c r="M197" s="103">
        <f>IF(I197&lt;0,MIN(0,I197+N(K197)),MAX(0,I197-N(K197)))</f>
      </c>
    </row>
    <row r="198" spans="11:13" x14ac:dyDescent="0.25">
      <c r="K198" s="102"/>
      <c r="L198" s="102"/>
      <c r="M198" s="103">
        <f>IF(I198&lt;0,MIN(0,I198+N(K198)),MAX(0,I198-N(K198)))</f>
      </c>
    </row>
    <row r="199" spans="11:13" x14ac:dyDescent="0.25">
      <c r="K199" s="102"/>
      <c r="L199" s="102"/>
      <c r="M199" s="103">
        <f>IF(I199&lt;0,MIN(0,I199+N(K199)),MAX(0,I199-N(K199)))</f>
      </c>
    </row>
    <row r="200" spans="11:13" x14ac:dyDescent="0.25">
      <c r="K200" s="102"/>
      <c r="L200" s="102"/>
      <c r="M200" s="103">
        <f>IF(I200&lt;0,MIN(0,I200+N(K200)),MAX(0,I200-N(K200)))</f>
      </c>
    </row>
    <row r="201" spans="11:13" x14ac:dyDescent="0.25">
      <c r="K201" s="102"/>
      <c r="L201" s="102"/>
      <c r="M201" s="103">
        <f>IF(I201&lt;0,MIN(0,I201+N(K201)),MAX(0,I201-N(K201)))</f>
      </c>
    </row>
    <row r="202" spans="11:13" x14ac:dyDescent="0.25">
      <c r="K202" s="102"/>
      <c r="L202" s="102"/>
      <c r="M202" s="103">
        <f>IF(I202&lt;0,MIN(0,I202+N(K202)),MAX(0,I202-N(K202)))</f>
      </c>
    </row>
    <row r="203" spans="11:13" x14ac:dyDescent="0.25">
      <c r="K203" s="102"/>
      <c r="L203" s="102"/>
      <c r="M203" s="103">
        <f>IF(I203&lt;0,MIN(0,I203+N(K203)),MAX(0,I203-N(K203)))</f>
      </c>
    </row>
    <row r="204" spans="11:13" x14ac:dyDescent="0.25">
      <c r="K204" s="102"/>
      <c r="L204" s="102"/>
      <c r="M204" s="103">
        <f>IF(I204&lt;0,MIN(0,I204+N(K204)),MAX(0,I204-N(K204)))</f>
      </c>
    </row>
    <row r="205" spans="11:13" x14ac:dyDescent="0.25">
      <c r="K205" s="102"/>
      <c r="L205" s="102"/>
      <c r="M205" s="103">
        <f>IF(I205&lt;0,MIN(0,I205+N(K205)),MAX(0,I205-N(K205)))</f>
      </c>
    </row>
    <row r="206" spans="11:13" x14ac:dyDescent="0.25">
      <c r="K206" s="102"/>
      <c r="L206" s="102"/>
      <c r="M206" s="103">
        <f>IF(I206&lt;0,MIN(0,I206+N(K206)),MAX(0,I206-N(K206)))</f>
      </c>
    </row>
    <row r="207" spans="11:13" x14ac:dyDescent="0.25">
      <c r="K207" s="102"/>
      <c r="L207" s="102"/>
      <c r="M207" s="103">
        <f>IF(I207&lt;0,MIN(0,I207+N(K207)),MAX(0,I207-N(K207)))</f>
      </c>
    </row>
    <row r="208" spans="11:13" x14ac:dyDescent="0.25">
      <c r="K208" s="102"/>
      <c r="L208" s="102"/>
      <c r="M208" s="103">
        <f>IF(I208&lt;0,MIN(0,I208+N(K208)),MAX(0,I208-N(K208)))</f>
      </c>
    </row>
    <row r="209" spans="11:13" x14ac:dyDescent="0.25">
      <c r="K209" s="102"/>
      <c r="L209" s="102"/>
      <c r="M209" s="103">
        <f>IF(I209&lt;0,MIN(0,I209+N(K209)),MAX(0,I209-N(K209)))</f>
      </c>
    </row>
    <row r="210" spans="11:13" x14ac:dyDescent="0.25">
      <c r="K210" s="102"/>
      <c r="L210" s="102"/>
      <c r="M210" s="103">
        <f>IF(I210&lt;0,MIN(0,I210+N(K210)),MAX(0,I210-N(K210)))</f>
      </c>
    </row>
    <row r="211" spans="11:13" x14ac:dyDescent="0.25">
      <c r="K211" s="102"/>
      <c r="L211" s="102"/>
      <c r="M211" s="103">
        <f>IF(I211&lt;0,MIN(0,I211+N(K211)),MAX(0,I211-N(K211)))</f>
      </c>
    </row>
    <row r="212" spans="11:13" x14ac:dyDescent="0.25">
      <c r="K212" s="102"/>
      <c r="L212" s="102"/>
      <c r="M212" s="103">
        <f>IF(I212&lt;0,MIN(0,I212+N(K212)),MAX(0,I212-N(K212)))</f>
      </c>
    </row>
    <row r="213" spans="11:13" x14ac:dyDescent="0.25">
      <c r="K213" s="102"/>
      <c r="L213" s="102"/>
      <c r="M213" s="103">
        <f>IF(I213&lt;0,MIN(0,I213+N(K213)),MAX(0,I213-N(K213)))</f>
      </c>
    </row>
    <row r="214" spans="11:13" x14ac:dyDescent="0.25">
      <c r="K214" s="102"/>
      <c r="L214" s="102"/>
      <c r="M214" s="103">
        <f>IF(I214&lt;0,MIN(0,I214+N(K214)),MAX(0,I214-N(K214)))</f>
      </c>
    </row>
    <row r="215" spans="11:13" x14ac:dyDescent="0.25">
      <c r="K215" s="102"/>
      <c r="L215" s="102"/>
      <c r="M215" s="103">
        <f>IF(I215&lt;0,MIN(0,I215+N(K215)),MAX(0,I215-N(K215)))</f>
      </c>
    </row>
    <row r="216" spans="11:13" x14ac:dyDescent="0.25">
      <c r="K216" s="102"/>
      <c r="L216" s="102"/>
      <c r="M216" s="103">
        <f>IF(I216&lt;0,MIN(0,I216+N(K216)),MAX(0,I216-N(K216)))</f>
      </c>
    </row>
    <row r="217" spans="11:13" x14ac:dyDescent="0.25">
      <c r="K217" s="102"/>
      <c r="L217" s="102"/>
      <c r="M217" s="103">
        <f>IF(I217&lt;0,MIN(0,I217+N(K217)),MAX(0,I217-N(K217)))</f>
      </c>
    </row>
    <row r="218" spans="11:13" x14ac:dyDescent="0.25">
      <c r="K218" s="102"/>
      <c r="L218" s="102"/>
      <c r="M218" s="103">
        <f>IF(I218&lt;0,MIN(0,I218+N(K218)),MAX(0,I218-N(K218)))</f>
      </c>
    </row>
    <row r="219" spans="11:13" x14ac:dyDescent="0.25">
      <c r="K219" s="102"/>
      <c r="L219" s="102"/>
      <c r="M219" s="103">
        <f>IF(I219&lt;0,MIN(0,I219+N(K219)),MAX(0,I219-N(K219)))</f>
      </c>
    </row>
    <row r="220" spans="11:13" x14ac:dyDescent="0.25">
      <c r="K220" s="102"/>
      <c r="L220" s="102"/>
      <c r="M220" s="103">
        <f>IF(I220&lt;0,MIN(0,I220+N(K220)),MAX(0,I220-N(K220)))</f>
      </c>
    </row>
    <row r="221" spans="11:13" x14ac:dyDescent="0.25">
      <c r="K221" s="102"/>
      <c r="L221" s="102"/>
      <c r="M221" s="103">
        <f>IF(I221&lt;0,MIN(0,I221+N(K221)),MAX(0,I221-N(K221)))</f>
      </c>
    </row>
    <row r="222" spans="11:13" x14ac:dyDescent="0.25">
      <c r="K222" s="102"/>
      <c r="L222" s="102"/>
      <c r="M222" s="103">
        <f>IF(I222&lt;0,MIN(0,I222+N(K222)),MAX(0,I222-N(K222)))</f>
      </c>
    </row>
    <row r="223" spans="11:13" x14ac:dyDescent="0.25">
      <c r="K223" s="102"/>
      <c r="L223" s="102"/>
      <c r="M223" s="103">
        <f>IF(I223&lt;0,MIN(0,I223+N(K223)),MAX(0,I223-N(K223)))</f>
      </c>
    </row>
    <row r="224" spans="11:13" x14ac:dyDescent="0.25">
      <c r="K224" s="102"/>
      <c r="L224" s="102"/>
      <c r="M224" s="103">
        <f>IF(I224&lt;0,MIN(0,I224+N(K224)),MAX(0,I224-N(K224)))</f>
      </c>
    </row>
    <row r="225" spans="11:13" x14ac:dyDescent="0.25">
      <c r="K225" s="102"/>
      <c r="L225" s="102"/>
      <c r="M225" s="103">
        <f>IF(I225&lt;0,MIN(0,I225+N(K225)),MAX(0,I225-N(K225)))</f>
      </c>
    </row>
    <row r="226" spans="11:13" x14ac:dyDescent="0.25">
      <c r="K226" s="102"/>
      <c r="L226" s="102"/>
      <c r="M226" s="103">
        <f>IF(I226&lt;0,MIN(0,I226+N(K226)),MAX(0,I226-N(K226)))</f>
      </c>
    </row>
    <row r="227" spans="11:13" x14ac:dyDescent="0.25">
      <c r="K227" s="102"/>
      <c r="L227" s="102"/>
      <c r="M227" s="103">
        <f>IF(I227&lt;0,MIN(0,I227+N(K227)),MAX(0,I227-N(K227)))</f>
      </c>
    </row>
    <row r="228" spans="11:13" x14ac:dyDescent="0.25">
      <c r="K228" s="102"/>
      <c r="L228" s="102"/>
      <c r="M228" s="103">
        <f>IF(I228&lt;0,MIN(0,I228+N(K228)),MAX(0,I228-N(K228)))</f>
      </c>
    </row>
    <row r="229" spans="11:13" x14ac:dyDescent="0.25">
      <c r="K229" s="102"/>
      <c r="L229" s="102"/>
      <c r="M229" s="103">
        <f>IF(I229&lt;0,MIN(0,I229+N(K229)),MAX(0,I229-N(K229)))</f>
      </c>
    </row>
    <row r="230" spans="11:13" x14ac:dyDescent="0.25">
      <c r="K230" s="102"/>
      <c r="L230" s="102"/>
      <c r="M230" s="103">
        <f>IF(I230&lt;0,MIN(0,I230+N(K230)),MAX(0,I230-N(K230)))</f>
      </c>
    </row>
    <row r="231" spans="11:13" x14ac:dyDescent="0.25">
      <c r="K231" s="102"/>
      <c r="L231" s="102"/>
      <c r="M231" s="103">
        <f>IF(I231&lt;0,MIN(0,I231+N(K231)),MAX(0,I231-N(K231)))</f>
      </c>
    </row>
    <row r="232" spans="11:13" x14ac:dyDescent="0.25">
      <c r="K232" s="102"/>
      <c r="L232" s="102"/>
      <c r="M232" s="103">
        <f>IF(I232&lt;0,MIN(0,I232+N(K232)),MAX(0,I232-N(K232)))</f>
      </c>
    </row>
    <row r="233" spans="11:13" x14ac:dyDescent="0.25">
      <c r="K233" s="102"/>
      <c r="L233" s="102"/>
      <c r="M233" s="103">
        <f>IF(I233&lt;0,MIN(0,I233+N(K233)),MAX(0,I233-N(K233)))</f>
      </c>
    </row>
    <row r="234" spans="11:13" x14ac:dyDescent="0.25">
      <c r="K234" s="102"/>
      <c r="L234" s="102"/>
      <c r="M234" s="103">
        <f>IF(I234&lt;0,MIN(0,I234+N(K234)),MAX(0,I234-N(K234)))</f>
      </c>
    </row>
    <row r="235" spans="11:13" x14ac:dyDescent="0.25">
      <c r="K235" s="102"/>
      <c r="L235" s="102"/>
      <c r="M235" s="103">
        <f>IF(I235&lt;0,MIN(0,I235+N(K235)),MAX(0,I235-N(K235)))</f>
      </c>
    </row>
    <row r="236" spans="11:13" x14ac:dyDescent="0.25">
      <c r="K236" s="102"/>
      <c r="L236" s="102"/>
      <c r="M236" s="103">
        <f>IF(I236&lt;0,MIN(0,I236+N(K236)),MAX(0,I236-N(K236)))</f>
      </c>
    </row>
    <row r="237" spans="11:13" x14ac:dyDescent="0.25">
      <c r="K237" s="102"/>
      <c r="L237" s="102"/>
      <c r="M237" s="103">
        <f>IF(I237&lt;0,MIN(0,I237+N(K237)),MAX(0,I237-N(K237)))</f>
      </c>
    </row>
    <row r="238" spans="11:13" x14ac:dyDescent="0.25">
      <c r="K238" s="102"/>
      <c r="L238" s="102"/>
      <c r="M238" s="103">
        <f>IF(I238&lt;0,MIN(0,I238+N(K238)),MAX(0,I238-N(K238)))</f>
      </c>
    </row>
    <row r="239" spans="11:13" x14ac:dyDescent="0.25">
      <c r="K239" s="102"/>
      <c r="L239" s="102"/>
      <c r="M239" s="103">
        <f>IF(I239&lt;0,MIN(0,I239+N(K239)),MAX(0,I239-N(K239)))</f>
      </c>
    </row>
    <row r="240" spans="11:13" x14ac:dyDescent="0.25">
      <c r="K240" s="102"/>
      <c r="L240" s="102"/>
      <c r="M240" s="103">
        <f>IF(I240&lt;0,MIN(0,I240+N(K240)),MAX(0,I240-N(K240)))</f>
      </c>
    </row>
    <row r="241" spans="11:13" x14ac:dyDescent="0.25">
      <c r="K241" s="102"/>
      <c r="L241" s="102"/>
      <c r="M241" s="103">
        <f>IF(I241&lt;0,MIN(0,I241+N(K241)),MAX(0,I241-N(K241)))</f>
      </c>
    </row>
    <row r="242" spans="11:13" x14ac:dyDescent="0.25">
      <c r="K242" s="102"/>
      <c r="L242" s="102"/>
      <c r="M242" s="103">
        <f>IF(I242&lt;0,MIN(0,I242+N(K242)),MAX(0,I242-N(K242)))</f>
      </c>
    </row>
    <row r="243" spans="11:13" x14ac:dyDescent="0.25">
      <c r="K243" s="102"/>
      <c r="L243" s="102"/>
      <c r="M243" s="103">
        <f>IF(I243&lt;0,MIN(0,I243+N(K243)),MAX(0,I243-N(K243)))</f>
      </c>
    </row>
    <row r="244" spans="11:13" x14ac:dyDescent="0.25">
      <c r="K244" s="102"/>
      <c r="L244" s="102"/>
      <c r="M244" s="103">
        <f>IF(I244&lt;0,MIN(0,I244+N(K244)),MAX(0,I244-N(K244)))</f>
      </c>
    </row>
    <row r="245" spans="11:13" x14ac:dyDescent="0.25">
      <c r="K245" s="102"/>
      <c r="L245" s="102"/>
      <c r="M245" s="103">
        <f>IF(I245&lt;0,MIN(0,I245+N(K245)),MAX(0,I245-N(K245)))</f>
      </c>
    </row>
    <row r="246" spans="11:13" x14ac:dyDescent="0.25">
      <c r="K246" s="102"/>
      <c r="L246" s="102"/>
      <c r="M246" s="103">
        <f>IF(I246&lt;0,MIN(0,I246+N(K246)),MAX(0,I246-N(K246)))</f>
      </c>
    </row>
    <row r="247" spans="11:13" x14ac:dyDescent="0.25">
      <c r="K247" s="102"/>
      <c r="L247" s="102"/>
      <c r="M247" s="103">
        <f>IF(I247&lt;0,MIN(0,I247+N(K247)),MAX(0,I247-N(K247)))</f>
      </c>
    </row>
    <row r="248" spans="11:13" x14ac:dyDescent="0.25">
      <c r="K248" s="102"/>
      <c r="L248" s="102"/>
      <c r="M248" s="103">
        <f>IF(I248&lt;0,MIN(0,I248+N(K248)),MAX(0,I248-N(K248)))</f>
      </c>
    </row>
    <row r="249" spans="11:13" x14ac:dyDescent="0.25">
      <c r="K249" s="102"/>
      <c r="L249" s="102"/>
      <c r="M249" s="103">
        <f>IF(I249&lt;0,MIN(0,I249+N(K249)),MAX(0,I249-N(K249)))</f>
      </c>
    </row>
    <row r="250" spans="11:13" x14ac:dyDescent="0.25">
      <c r="K250" s="102"/>
      <c r="L250" s="102"/>
      <c r="M250" s="103">
        <f>IF(I250&lt;0,MIN(0,I250+N(K250)),MAX(0,I250-N(K250)))</f>
      </c>
    </row>
    <row r="251" spans="11:13" x14ac:dyDescent="0.25">
      <c r="K251" s="102"/>
      <c r="L251" s="102"/>
      <c r="M251" s="103">
        <f>IF(I251&lt;0,MIN(0,I251+N(K251)),MAX(0,I251-N(K251)))</f>
      </c>
    </row>
    <row r="252" spans="11:13" x14ac:dyDescent="0.25">
      <c r="K252" s="102"/>
      <c r="L252" s="102"/>
      <c r="M252" s="103">
        <f>IF(I252&lt;0,MIN(0,I252+N(K252)),MAX(0,I252-N(K252)))</f>
      </c>
    </row>
    <row r="253" spans="11:13" x14ac:dyDescent="0.25">
      <c r="K253" s="102"/>
      <c r="L253" s="102"/>
      <c r="M253" s="103">
        <f>IF(I253&lt;0,MIN(0,I253+N(K253)),MAX(0,I253-N(K253)))</f>
      </c>
    </row>
    <row r="254" spans="11:13" x14ac:dyDescent="0.25">
      <c r="K254" s="102"/>
      <c r="L254" s="102"/>
      <c r="M254" s="103">
        <f>IF(I254&lt;0,MIN(0,I254+N(K254)),MAX(0,I254-N(K254)))</f>
      </c>
    </row>
    <row r="255" spans="11:13" x14ac:dyDescent="0.25">
      <c r="K255" s="102"/>
      <c r="L255" s="102"/>
      <c r="M255" s="103">
        <f>IF(I255&lt;0,MIN(0,I255+N(K255)),MAX(0,I255-N(K255)))</f>
      </c>
    </row>
    <row r="256" spans="11:13" x14ac:dyDescent="0.25">
      <c r="K256" s="102"/>
      <c r="L256" s="102"/>
      <c r="M256" s="103">
        <f>IF(I256&lt;0,MIN(0,I256+N(K256)),MAX(0,I256-N(K256)))</f>
      </c>
    </row>
    <row r="257" spans="11:13" x14ac:dyDescent="0.25">
      <c r="K257" s="102"/>
      <c r="L257" s="102"/>
      <c r="M257" s="103">
        <f>IF(I257&lt;0,MIN(0,I257+N(K257)),MAX(0,I257-N(K257)))</f>
      </c>
    </row>
    <row r="258" spans="11:13" x14ac:dyDescent="0.25">
      <c r="K258" s="102"/>
      <c r="L258" s="102"/>
      <c r="M258" s="103">
        <f>IF(I258&lt;0,MIN(0,I258+N(K258)),MAX(0,I258-N(K258)))</f>
      </c>
    </row>
    <row r="259" spans="11:13" x14ac:dyDescent="0.25">
      <c r="K259" s="102"/>
      <c r="L259" s="102"/>
      <c r="M259" s="103">
        <f>IF(I259&lt;0,MIN(0,I259+N(K259)),MAX(0,I259-N(K259)))</f>
      </c>
    </row>
    <row r="260" spans="11:13" x14ac:dyDescent="0.25">
      <c r="K260" s="102"/>
      <c r="L260" s="102"/>
      <c r="M260" s="103">
        <f>IF(I260&lt;0,MIN(0,I260+N(K260)),MAX(0,I260-N(K260)))</f>
      </c>
    </row>
    <row r="261" spans="11:13" x14ac:dyDescent="0.25">
      <c r="K261" s="102"/>
      <c r="L261" s="102"/>
      <c r="M261" s="103">
        <f>IF(I261&lt;0,MIN(0,I261+N(K261)),MAX(0,I261-N(K261)))</f>
      </c>
    </row>
    <row r="262" spans="11:13" x14ac:dyDescent="0.25">
      <c r="K262" s="102"/>
      <c r="L262" s="102"/>
      <c r="M262" s="103">
        <f>IF(I262&lt;0,MIN(0,I262+N(K262)),MAX(0,I262-N(K262)))</f>
      </c>
    </row>
    <row r="263" spans="11:13" x14ac:dyDescent="0.25">
      <c r="K263" s="102"/>
      <c r="L263" s="102"/>
      <c r="M263" s="103">
        <f>IF(I263&lt;0,MIN(0,I263+N(K263)),MAX(0,I263-N(K263)))</f>
      </c>
    </row>
    <row r="264" spans="11:13" x14ac:dyDescent="0.25">
      <c r="K264" s="102"/>
      <c r="L264" s="102"/>
      <c r="M264" s="103">
        <f>IF(I264&lt;0,MIN(0,I264+N(K264)),MAX(0,I264-N(K264)))</f>
      </c>
    </row>
    <row r="265" spans="11:13" x14ac:dyDescent="0.25">
      <c r="K265" s="102"/>
      <c r="L265" s="102"/>
      <c r="M265" s="103">
        <f>IF(I265&lt;0,MIN(0,I265+N(K265)),MAX(0,I265-N(K265)))</f>
      </c>
    </row>
    <row r="266" spans="11:13" x14ac:dyDescent="0.25">
      <c r="K266" s="102"/>
      <c r="L266" s="102"/>
      <c r="M266" s="103">
        <f>IF(I266&lt;0,MIN(0,I266+N(K266)),MAX(0,I266-N(K266)))</f>
      </c>
    </row>
    <row r="267" spans="11:13" x14ac:dyDescent="0.25">
      <c r="K267" s="102"/>
      <c r="L267" s="102"/>
      <c r="M267" s="103">
        <f>IF(I267&lt;0,MIN(0,I267+N(K267)),MAX(0,I267-N(K267)))</f>
      </c>
    </row>
    <row r="268" spans="11:13" x14ac:dyDescent="0.25">
      <c r="K268" s="102"/>
      <c r="L268" s="102"/>
      <c r="M268" s="103">
        <f>IF(I268&lt;0,MIN(0,I268+N(K268)),MAX(0,I268-N(K268)))</f>
      </c>
    </row>
    <row r="269" spans="11:13" x14ac:dyDescent="0.25">
      <c r="K269" s="102"/>
      <c r="L269" s="102"/>
      <c r="M269" s="103">
        <f>IF(I269&lt;0,MIN(0,I269+N(K269)),MAX(0,I269-N(K269)))</f>
      </c>
    </row>
    <row r="270" spans="11:13" x14ac:dyDescent="0.25">
      <c r="K270" s="102"/>
      <c r="L270" s="102"/>
      <c r="M270" s="103">
        <f>IF(I270&lt;0,MIN(0,I270+N(K270)),MAX(0,I270-N(K270)))</f>
      </c>
    </row>
    <row r="271" spans="11:13" x14ac:dyDescent="0.25">
      <c r="K271" s="102"/>
      <c r="L271" s="102"/>
      <c r="M271" s="103">
        <f>IF(I271&lt;0,MIN(0,I271+N(K271)),MAX(0,I271-N(K271)))</f>
      </c>
    </row>
    <row r="272" spans="11:13" x14ac:dyDescent="0.25">
      <c r="K272" s="102"/>
      <c r="L272" s="102"/>
      <c r="M272" s="103">
        <f>IF(I272&lt;0,MIN(0,I272+N(K272)),MAX(0,I272-N(K272)))</f>
      </c>
    </row>
    <row r="273" spans="11:13" x14ac:dyDescent="0.25">
      <c r="K273" s="102"/>
      <c r="L273" s="102"/>
      <c r="M273" s="103">
        <f>IF(I273&lt;0,MIN(0,I273+N(K273)),MAX(0,I273-N(K273)))</f>
      </c>
    </row>
    <row r="274" spans="11:13" x14ac:dyDescent="0.25">
      <c r="K274" s="102"/>
      <c r="L274" s="102"/>
      <c r="M274" s="103">
        <f>IF(I274&lt;0,MIN(0,I274+N(K274)),MAX(0,I274-N(K274)))</f>
      </c>
    </row>
    <row r="275" spans="11:13" x14ac:dyDescent="0.25">
      <c r="K275" s="102"/>
      <c r="L275" s="102"/>
      <c r="M275" s="103">
        <f>IF(I275&lt;0,MIN(0,I275+N(K275)),MAX(0,I275-N(K275)))</f>
      </c>
    </row>
    <row r="276" spans="11:13" x14ac:dyDescent="0.25">
      <c r="K276" s="102"/>
      <c r="L276" s="102"/>
      <c r="M276" s="103">
        <f>IF(I276&lt;0,MIN(0,I276+N(K276)),MAX(0,I276-N(K276)))</f>
      </c>
    </row>
    <row r="277" spans="11:13" x14ac:dyDescent="0.25">
      <c r="K277" s="102"/>
      <c r="L277" s="102"/>
      <c r="M277" s="103">
        <f>IF(I277&lt;0,MIN(0,I277+N(K277)),MAX(0,I277-N(K277)))</f>
      </c>
    </row>
    <row r="278" spans="11:13" x14ac:dyDescent="0.25">
      <c r="K278" s="102"/>
      <c r="L278" s="102"/>
      <c r="M278" s="103">
        <f>IF(I278&lt;0,MIN(0,I278+N(K278)),MAX(0,I278-N(K278)))</f>
      </c>
    </row>
    <row r="279" spans="11:13" x14ac:dyDescent="0.25">
      <c r="K279" s="102"/>
      <c r="L279" s="102"/>
      <c r="M279" s="103">
        <f>IF(I279&lt;0,MIN(0,I279+N(K279)),MAX(0,I279-N(K279)))</f>
      </c>
    </row>
    <row r="280" spans="11:13" x14ac:dyDescent="0.25">
      <c r="K280" s="102"/>
      <c r="L280" s="102"/>
      <c r="M280" s="103">
        <f>IF(I280&lt;0,MIN(0,I280+N(K280)),MAX(0,I280-N(K280)))</f>
      </c>
    </row>
    <row r="281" spans="11:13" x14ac:dyDescent="0.25">
      <c r="K281" s="102"/>
      <c r="L281" s="102"/>
      <c r="M281" s="103">
        <f>IF(I281&lt;0,MIN(0,I281+N(K281)),MAX(0,I281-N(K281)))</f>
      </c>
    </row>
    <row r="282" spans="11:13" x14ac:dyDescent="0.25">
      <c r="K282" s="102"/>
      <c r="L282" s="102"/>
      <c r="M282" s="103">
        <f>IF(I282&lt;0,MIN(0,I282+N(K282)),MAX(0,I282-N(K282)))</f>
      </c>
    </row>
    <row r="283" spans="11:13" x14ac:dyDescent="0.25">
      <c r="K283" s="102"/>
      <c r="L283" s="102"/>
      <c r="M283" s="103">
        <f>IF(I283&lt;0,MIN(0,I283+N(K283)),MAX(0,I283-N(K283)))</f>
      </c>
    </row>
    <row r="284" spans="11:13" x14ac:dyDescent="0.25">
      <c r="K284" s="102"/>
      <c r="L284" s="102"/>
      <c r="M284" s="103">
        <f>IF(I284&lt;0,MIN(0,I284+N(K284)),MAX(0,I284-N(K284)))</f>
      </c>
    </row>
    <row r="285" spans="11:13" x14ac:dyDescent="0.25">
      <c r="K285" s="102"/>
      <c r="L285" s="102"/>
      <c r="M285" s="103">
        <f>IF(I285&lt;0,MIN(0,I285+N(K285)),MAX(0,I285-N(K285)))</f>
      </c>
    </row>
    <row r="286" spans="11:13" x14ac:dyDescent="0.25">
      <c r="K286" s="102"/>
      <c r="L286" s="102"/>
      <c r="M286" s="103">
        <f>IF(I286&lt;0,MIN(0,I286+N(K286)),MAX(0,I286-N(K286)))</f>
      </c>
    </row>
    <row r="287" spans="11:13" x14ac:dyDescent="0.25">
      <c r="K287" s="102"/>
      <c r="L287" s="102"/>
      <c r="M287" s="103">
        <f>IF(I287&lt;0,MIN(0,I287+N(K287)),MAX(0,I287-N(K287)))</f>
      </c>
    </row>
    <row r="288" spans="11:13" x14ac:dyDescent="0.25">
      <c r="K288" s="102"/>
      <c r="L288" s="102"/>
      <c r="M288" s="103">
        <f>IF(I288&lt;0,MIN(0,I288+N(K288)),MAX(0,I288-N(K288)))</f>
      </c>
    </row>
    <row r="289" spans="11:13" x14ac:dyDescent="0.25">
      <c r="K289" s="102"/>
      <c r="L289" s="102"/>
      <c r="M289" s="103">
        <f>IF(I289&lt;0,MIN(0,I289+N(K289)),MAX(0,I289-N(K289)))</f>
      </c>
    </row>
    <row r="290" spans="11:13" x14ac:dyDescent="0.25">
      <c r="K290" s="102"/>
      <c r="L290" s="102"/>
      <c r="M290" s="103">
        <f>IF(I290&lt;0,MIN(0,I290+N(K290)),MAX(0,I290-N(K290)))</f>
      </c>
    </row>
    <row r="291" spans="11:13" x14ac:dyDescent="0.25">
      <c r="K291" s="102"/>
      <c r="L291" s="102"/>
      <c r="M291" s="103">
        <f>IF(I291&lt;0,MIN(0,I291+N(K291)),MAX(0,I291-N(K291)))</f>
      </c>
    </row>
    <row r="292" spans="11:13" x14ac:dyDescent="0.25">
      <c r="K292" s="102"/>
      <c r="L292" s="102"/>
      <c r="M292" s="103">
        <f>IF(I292&lt;0,MIN(0,I292+N(K292)),MAX(0,I292-N(K292)))</f>
      </c>
    </row>
    <row r="293" spans="11:13" x14ac:dyDescent="0.25">
      <c r="K293" s="102"/>
      <c r="L293" s="102"/>
      <c r="M293" s="103">
        <f>IF(I293&lt;0,MIN(0,I293+N(K293)),MAX(0,I293-N(K293)))</f>
      </c>
    </row>
    <row r="294" spans="11:13" x14ac:dyDescent="0.25">
      <c r="K294" s="102"/>
      <c r="L294" s="102"/>
      <c r="M294" s="103">
        <f>IF(I294&lt;0,MIN(0,I294+N(K294)),MAX(0,I294-N(K294)))</f>
      </c>
    </row>
    <row r="295" spans="11:13" x14ac:dyDescent="0.25">
      <c r="K295" s="102"/>
      <c r="L295" s="102"/>
      <c r="M295" s="103">
        <f>IF(I295&lt;0,MIN(0,I295+N(K295)),MAX(0,I295-N(K295)))</f>
      </c>
    </row>
    <row r="296" spans="11:13" x14ac:dyDescent="0.25">
      <c r="K296" s="102"/>
      <c r="L296" s="102"/>
      <c r="M296" s="103">
        <f>IF(I296&lt;0,MIN(0,I296+N(K296)),MAX(0,I296-N(K296)))</f>
      </c>
    </row>
    <row r="297" spans="11:13" x14ac:dyDescent="0.25">
      <c r="K297" s="102"/>
      <c r="L297" s="102"/>
      <c r="M297" s="103">
        <f>IF(I297&lt;0,MIN(0,I297+N(K297)),MAX(0,I297-N(K297)))</f>
      </c>
    </row>
    <row r="298" spans="11:13" x14ac:dyDescent="0.25">
      <c r="K298" s="102"/>
      <c r="L298" s="102"/>
      <c r="M298" s="103">
        <f>IF(I298&lt;0,MIN(0,I298+N(K298)),MAX(0,I298-N(K298)))</f>
      </c>
    </row>
    <row r="299" spans="11:13" x14ac:dyDescent="0.25">
      <c r="K299" s="102"/>
      <c r="L299" s="102"/>
      <c r="M299" s="103">
        <f>IF(I299&lt;0,MIN(0,I299+N(K299)),MAX(0,I299-N(K299)))</f>
      </c>
    </row>
    <row r="300" spans="11:13" x14ac:dyDescent="0.25">
      <c r="K300" s="102"/>
      <c r="L300" s="102"/>
      <c r="M300" s="103">
        <f>IF(I300&lt;0,MIN(0,I300+N(K300)),MAX(0,I300-N(K300)))</f>
      </c>
    </row>
    <row r="301" spans="11:13" x14ac:dyDescent="0.25">
      <c r="K301" s="102"/>
      <c r="L301" s="102"/>
      <c r="M301" s="103">
        <f>IF(I301&lt;0,MIN(0,I301+N(K301)),MAX(0,I301-N(K301)))</f>
      </c>
    </row>
    <row r="302" spans="11:13" x14ac:dyDescent="0.25">
      <c r="K302" s="102"/>
      <c r="L302" s="102"/>
      <c r="M302" s="103">
        <f>IF(I302&lt;0,MIN(0,I302+N(K302)),MAX(0,I302-N(K302)))</f>
      </c>
    </row>
    <row r="303" spans="11:13" x14ac:dyDescent="0.25">
      <c r="K303" s="102"/>
      <c r="L303" s="102"/>
      <c r="M303" s="103">
        <f>IF(I303&lt;0,MIN(0,I303+N(K303)),MAX(0,I303-N(K303)))</f>
      </c>
    </row>
    <row r="304" spans="11:13" x14ac:dyDescent="0.25">
      <c r="K304" s="102"/>
      <c r="L304" s="102"/>
      <c r="M304" s="103">
        <f>IF(I304&lt;0,MIN(0,I304+N(K304)),MAX(0,I304-N(K304)))</f>
      </c>
    </row>
    <row r="305" spans="11:13" x14ac:dyDescent="0.25">
      <c r="K305" s="102"/>
      <c r="L305" s="102"/>
      <c r="M305" s="103">
        <f>IF(I305&lt;0,MIN(0,I305+N(K305)),MAX(0,I305-N(K305)))</f>
      </c>
    </row>
    <row r="306" spans="11:13" x14ac:dyDescent="0.25">
      <c r="K306" s="102"/>
      <c r="L306" s="102"/>
      <c r="M306" s="103">
        <f>IF(I306&lt;0,MIN(0,I306+N(K306)),MAX(0,I306-N(K306)))</f>
      </c>
    </row>
    <row r="307" spans="11:13" x14ac:dyDescent="0.25">
      <c r="K307" s="102"/>
      <c r="L307" s="102"/>
      <c r="M307" s="103">
        <f>IF(I307&lt;0,MIN(0,I307+N(K307)),MAX(0,I307-N(K307)))</f>
      </c>
    </row>
    <row r="308" spans="11:13" x14ac:dyDescent="0.25">
      <c r="K308" s="102"/>
      <c r="L308" s="102"/>
      <c r="M308" s="103">
        <f>IF(I308&lt;0,MIN(0,I308+N(K308)),MAX(0,I308-N(K308)))</f>
      </c>
    </row>
    <row r="309" spans="11:13" x14ac:dyDescent="0.25">
      <c r="K309" s="102"/>
      <c r="L309" s="102"/>
      <c r="M309" s="103">
        <f>IF(I309&lt;0,MIN(0,I309+N(K309)),MAX(0,I309-N(K309)))</f>
      </c>
    </row>
    <row r="310" spans="11:13" x14ac:dyDescent="0.25">
      <c r="K310" s="102"/>
      <c r="L310" s="102"/>
      <c r="M310" s="103">
        <f>IF(I310&lt;0,MIN(0,I310+N(K310)),MAX(0,I310-N(K310)))</f>
      </c>
    </row>
    <row r="311" spans="11:13" x14ac:dyDescent="0.25">
      <c r="K311" s="102"/>
      <c r="L311" s="102"/>
      <c r="M311" s="103">
        <f>IF(I311&lt;0,MIN(0,I311+N(K311)),MAX(0,I311-N(K311)))</f>
      </c>
    </row>
    <row r="312" spans="11:13" x14ac:dyDescent="0.25">
      <c r="K312" s="102"/>
      <c r="L312" s="102"/>
      <c r="M312" s="103">
        <f>IF(I312&lt;0,MIN(0,I312+N(K312)),MAX(0,I312-N(K312)))</f>
      </c>
    </row>
    <row r="313" spans="11:13" x14ac:dyDescent="0.25">
      <c r="K313" s="102"/>
      <c r="L313" s="102"/>
      <c r="M313" s="103">
        <f>IF(I313&lt;0,MIN(0,I313+N(K313)),MAX(0,I313-N(K313)))</f>
      </c>
    </row>
    <row r="314" spans="11:13" x14ac:dyDescent="0.25">
      <c r="K314" s="102"/>
      <c r="L314" s="102"/>
      <c r="M314" s="103">
        <f>IF(I314&lt;0,MIN(0,I314+N(K314)),MAX(0,I314-N(K314)))</f>
      </c>
    </row>
    <row r="315" spans="11:13" x14ac:dyDescent="0.25">
      <c r="K315" s="102"/>
      <c r="L315" s="102"/>
      <c r="M315" s="103">
        <f>IF(I315&lt;0,MIN(0,I315+N(K315)),MAX(0,I315-N(K315)))</f>
      </c>
    </row>
    <row r="316" spans="11:13" x14ac:dyDescent="0.25">
      <c r="K316" s="102"/>
      <c r="L316" s="102"/>
      <c r="M316" s="103">
        <f>IF(I316&lt;0,MIN(0,I316+N(K316)),MAX(0,I316-N(K316)))</f>
      </c>
    </row>
    <row r="317" spans="11:13" x14ac:dyDescent="0.25">
      <c r="K317" s="102"/>
      <c r="L317" s="102"/>
      <c r="M317" s="103">
        <f>IF(I317&lt;0,MIN(0,I317+N(K317)),MAX(0,I317-N(K317)))</f>
      </c>
    </row>
    <row r="318" spans="11:13" x14ac:dyDescent="0.25">
      <c r="K318" s="102"/>
      <c r="L318" s="102"/>
      <c r="M318" s="103">
        <f>IF(I318&lt;0,MIN(0,I318+N(K318)),MAX(0,I318-N(K318)))</f>
      </c>
    </row>
    <row r="319" spans="11:13" x14ac:dyDescent="0.25">
      <c r="K319" s="102"/>
      <c r="L319" s="102"/>
      <c r="M319" s="103">
        <f>IF(I319&lt;0,MIN(0,I319+N(K319)),MAX(0,I319-N(K319)))</f>
      </c>
    </row>
    <row r="320" spans="11:13" x14ac:dyDescent="0.25">
      <c r="K320" s="102"/>
      <c r="L320" s="102"/>
      <c r="M320" s="103">
        <f>IF(I320&lt;0,MIN(0,I320+N(K320)),MAX(0,I320-N(K320)))</f>
      </c>
    </row>
    <row r="321" spans="11:13" x14ac:dyDescent="0.25">
      <c r="K321" s="102"/>
      <c r="L321" s="102"/>
      <c r="M321" s="103">
        <f>IF(I321&lt;0,MIN(0,I321+N(K321)),MAX(0,I321-N(K321)))</f>
      </c>
    </row>
    <row r="322" spans="11:13" x14ac:dyDescent="0.25">
      <c r="K322" s="102"/>
      <c r="L322" s="102"/>
      <c r="M322" s="103">
        <f>IF(I322&lt;0,MIN(0,I322+N(K322)),MAX(0,I322-N(K322)))</f>
      </c>
    </row>
    <row r="323" spans="11:13" x14ac:dyDescent="0.25">
      <c r="K323" s="102"/>
      <c r="L323" s="102"/>
      <c r="M323" s="103">
        <f>IF(I323&lt;0,MIN(0,I323+N(K323)),MAX(0,I323-N(K323)))</f>
      </c>
    </row>
    <row r="324" spans="11:13" x14ac:dyDescent="0.25">
      <c r="K324" s="102"/>
      <c r="L324" s="102"/>
      <c r="M324" s="103">
        <f>IF(I324&lt;0,MIN(0,I324+N(K324)),MAX(0,I324-N(K324)))</f>
      </c>
    </row>
    <row r="325" spans="11:13" x14ac:dyDescent="0.25">
      <c r="K325" s="102"/>
      <c r="L325" s="102"/>
      <c r="M325" s="103">
        <f>IF(I325&lt;0,MIN(0,I325+N(K325)),MAX(0,I325-N(K325)))</f>
      </c>
    </row>
    <row r="326" spans="11:13" x14ac:dyDescent="0.25">
      <c r="K326" s="102"/>
      <c r="L326" s="102"/>
      <c r="M326" s="103">
        <f>IF(I326&lt;0,MIN(0,I326+N(K326)),MAX(0,I326-N(K326)))</f>
      </c>
    </row>
    <row r="327" spans="11:13" x14ac:dyDescent="0.25">
      <c r="K327" s="102"/>
      <c r="L327" s="102"/>
      <c r="M327" s="103">
        <f>IF(I327&lt;0,MIN(0,I327+N(K327)),MAX(0,I327-N(K327)))</f>
      </c>
    </row>
    <row r="328" spans="11:13" x14ac:dyDescent="0.25">
      <c r="K328" s="102"/>
      <c r="L328" s="102"/>
      <c r="M328" s="103">
        <f>IF(I328&lt;0,MIN(0,I328+N(K328)),MAX(0,I328-N(K328)))</f>
      </c>
    </row>
    <row r="329" spans="11:13" x14ac:dyDescent="0.25">
      <c r="K329" s="102"/>
      <c r="L329" s="102"/>
      <c r="M329" s="103">
        <f>IF(I329&lt;0,MIN(0,I329+N(K329)),MAX(0,I329-N(K329)))</f>
      </c>
    </row>
    <row r="330" spans="11:13" x14ac:dyDescent="0.25">
      <c r="K330" s="102"/>
      <c r="L330" s="102"/>
      <c r="M330" s="103">
        <f>IF(I330&lt;0,MIN(0,I330+N(K330)),MAX(0,I330-N(K330)))</f>
      </c>
    </row>
    <row r="331" spans="11:13" x14ac:dyDescent="0.25">
      <c r="K331" s="102"/>
      <c r="L331" s="102"/>
      <c r="M331" s="103">
        <f>IF(I331&lt;0,MIN(0,I331+N(K331)),MAX(0,I331-N(K331)))</f>
      </c>
    </row>
    <row r="332" spans="11:13" x14ac:dyDescent="0.25">
      <c r="K332" s="102"/>
      <c r="L332" s="102"/>
      <c r="M332" s="103">
        <f>IF(I332&lt;0,MIN(0,I332+N(K332)),MAX(0,I332-N(K332)))</f>
      </c>
    </row>
    <row r="333" spans="11:13" x14ac:dyDescent="0.25">
      <c r="K333" s="102"/>
      <c r="L333" s="102"/>
      <c r="M333" s="103">
        <f>IF(I333&lt;0,MIN(0,I333+N(K333)),MAX(0,I333-N(K333)))</f>
      </c>
    </row>
    <row r="334" spans="11:13" x14ac:dyDescent="0.25">
      <c r="K334" s="102"/>
      <c r="L334" s="102"/>
      <c r="M334" s="103">
        <f>IF(I334&lt;0,MIN(0,I334+N(K334)),MAX(0,I334-N(K334)))</f>
      </c>
    </row>
    <row r="335" spans="11:13" x14ac:dyDescent="0.25">
      <c r="K335" s="102"/>
      <c r="L335" s="102"/>
      <c r="M335" s="103">
        <f>IF(I335&lt;0,MIN(0,I335+N(K335)),MAX(0,I335-N(K335)))</f>
      </c>
    </row>
    <row r="336" spans="11:13" x14ac:dyDescent="0.25">
      <c r="K336" s="102"/>
      <c r="L336" s="102"/>
      <c r="M336" s="103">
        <f>IF(I336&lt;0,MIN(0,I336+N(K336)),MAX(0,I336-N(K336)))</f>
      </c>
    </row>
    <row r="337" spans="11:13" x14ac:dyDescent="0.25">
      <c r="K337" s="102"/>
      <c r="L337" s="102"/>
      <c r="M337" s="103">
        <f>IF(I337&lt;0,MIN(0,I337+N(K337)),MAX(0,I337-N(K337)))</f>
      </c>
    </row>
    <row r="338" spans="11:13" x14ac:dyDescent="0.25">
      <c r="K338" s="102"/>
      <c r="L338" s="102"/>
      <c r="M338" s="103">
        <f>IF(I338&lt;0,MIN(0,I338+N(K338)),MAX(0,I338-N(K338)))</f>
      </c>
    </row>
    <row r="339" spans="11:13" x14ac:dyDescent="0.25">
      <c r="K339" s="102"/>
      <c r="L339" s="102"/>
      <c r="M339" s="103">
        <f>IF(I339&lt;0,MIN(0,I339+N(K339)),MAX(0,I339-N(K339)))</f>
      </c>
    </row>
    <row r="340" spans="11:13" x14ac:dyDescent="0.25">
      <c r="K340" s="102"/>
      <c r="L340" s="102"/>
      <c r="M340" s="103">
        <f>IF(I340&lt;0,MIN(0,I340+N(K340)),MAX(0,I340-N(K340)))</f>
      </c>
    </row>
    <row r="341" spans="11:13" x14ac:dyDescent="0.25">
      <c r="K341" s="102"/>
      <c r="L341" s="102"/>
      <c r="M341" s="103">
        <f>IF(I341&lt;0,MIN(0,I341+N(K341)),MAX(0,I341-N(K341)))</f>
      </c>
    </row>
    <row r="342" spans="11:13" x14ac:dyDescent="0.25">
      <c r="K342" s="102"/>
      <c r="L342" s="102"/>
      <c r="M342" s="103">
        <f>IF(I342&lt;0,MIN(0,I342+N(K342)),MAX(0,I342-N(K342)))</f>
      </c>
    </row>
    <row r="343" spans="11:13" x14ac:dyDescent="0.25">
      <c r="K343" s="102"/>
      <c r="L343" s="102"/>
      <c r="M343" s="103">
        <f>IF(I343&lt;0,MIN(0,I343+N(K343)),MAX(0,I343-N(K343)))</f>
      </c>
    </row>
    <row r="344" spans="11:13" x14ac:dyDescent="0.25">
      <c r="K344" s="102"/>
      <c r="L344" s="102"/>
      <c r="M344" s="103">
        <f>IF(I344&lt;0,MIN(0,I344+N(K344)),MAX(0,I344-N(K344)))</f>
      </c>
    </row>
    <row r="345" spans="11:13" x14ac:dyDescent="0.25">
      <c r="K345" s="102"/>
      <c r="L345" s="102"/>
      <c r="M345" s="103">
        <f>IF(I345&lt;0,MIN(0,I345+N(K345)),MAX(0,I345-N(K345)))</f>
      </c>
    </row>
    <row r="346" spans="11:13" x14ac:dyDescent="0.25">
      <c r="K346" s="102"/>
      <c r="L346" s="102"/>
      <c r="M346" s="103">
        <f>IF(I346&lt;0,MIN(0,I346+N(K346)),MAX(0,I346-N(K346)))</f>
      </c>
    </row>
    <row r="347" spans="11:13" x14ac:dyDescent="0.25">
      <c r="K347" s="102"/>
      <c r="L347" s="102"/>
      <c r="M347" s="103">
        <f>IF(I347&lt;0,MIN(0,I347+N(K347)),MAX(0,I347-N(K347)))</f>
      </c>
    </row>
    <row r="348" spans="11:13" x14ac:dyDescent="0.25">
      <c r="K348" s="102"/>
      <c r="L348" s="102"/>
      <c r="M348" s="103">
        <f>IF(I348&lt;0,MIN(0,I348+N(K348)),MAX(0,I348-N(K348)))</f>
      </c>
    </row>
    <row r="349" spans="11:13" x14ac:dyDescent="0.25">
      <c r="K349" s="102"/>
      <c r="L349" s="102"/>
      <c r="M349" s="103">
        <f>IF(I349&lt;0,MIN(0,I349+N(K349)),MAX(0,I349-N(K349)))</f>
      </c>
    </row>
    <row r="350" spans="11:13" x14ac:dyDescent="0.25">
      <c r="K350" s="102"/>
      <c r="L350" s="102"/>
      <c r="M350" s="103">
        <f>IF(I350&lt;0,MIN(0,I350+N(K350)),MAX(0,I350-N(K350)))</f>
      </c>
    </row>
    <row r="351" spans="11:13" x14ac:dyDescent="0.25">
      <c r="K351" s="102"/>
      <c r="L351" s="102"/>
      <c r="M351" s="103">
        <f>IF(I351&lt;0,MIN(0,I351+N(K351)),MAX(0,I351-N(K351)))</f>
      </c>
    </row>
    <row r="352" spans="11:13" x14ac:dyDescent="0.25">
      <c r="K352" s="102"/>
      <c r="L352" s="102"/>
      <c r="M352" s="103">
        <f>IF(I352&lt;0,MIN(0,I352+N(K352)),MAX(0,I352-N(K352)))</f>
      </c>
    </row>
    <row r="353" spans="11:13" x14ac:dyDescent="0.25">
      <c r="K353" s="102"/>
      <c r="L353" s="102"/>
      <c r="M353" s="103">
        <f>IF(I353&lt;0,MIN(0,I353+N(K353)),MAX(0,I353-N(K353)))</f>
      </c>
    </row>
    <row r="354" spans="11:13" x14ac:dyDescent="0.25">
      <c r="K354" s="102"/>
      <c r="L354" s="102"/>
      <c r="M354" s="103">
        <f>IF(I354&lt;0,MIN(0,I354+N(K354)),MAX(0,I354-N(K354)))</f>
      </c>
    </row>
    <row r="355" spans="11:13" x14ac:dyDescent="0.25">
      <c r="K355" s="102"/>
      <c r="L355" s="102"/>
      <c r="M355" s="103">
        <f>IF(I355&lt;0,MIN(0,I355+N(K355)),MAX(0,I355-N(K355)))</f>
      </c>
    </row>
    <row r="356" spans="11:13" x14ac:dyDescent="0.25">
      <c r="K356" s="102"/>
      <c r="L356" s="102"/>
      <c r="M356" s="103">
        <f>IF(I356&lt;0,MIN(0,I356+N(K356)),MAX(0,I356-N(K356)))</f>
      </c>
    </row>
    <row r="357" spans="11:13" x14ac:dyDescent="0.25">
      <c r="K357" s="102"/>
      <c r="L357" s="102"/>
      <c r="M357" s="103">
        <f>IF(I357&lt;0,MIN(0,I357+N(K357)),MAX(0,I357-N(K357)))</f>
      </c>
    </row>
    <row r="358" spans="11:13" x14ac:dyDescent="0.25">
      <c r="K358" s="102"/>
      <c r="L358" s="102"/>
      <c r="M358" s="103">
        <f>IF(I358&lt;0,MIN(0,I358+N(K358)),MAX(0,I358-N(K358)))</f>
      </c>
    </row>
    <row r="359" spans="11:13" x14ac:dyDescent="0.25">
      <c r="K359" s="102"/>
      <c r="L359" s="102"/>
      <c r="M359" s="103">
        <f>IF(I359&lt;0,MIN(0,I359+N(K359)),MAX(0,I359-N(K359)))</f>
      </c>
    </row>
    <row r="360" spans="11:13" x14ac:dyDescent="0.25">
      <c r="K360" s="102"/>
      <c r="L360" s="102"/>
      <c r="M360" s="103">
        <f>IF(I360&lt;0,MIN(0,I360+N(K360)),MAX(0,I360-N(K360)))</f>
      </c>
    </row>
    <row r="361" spans="11:13" x14ac:dyDescent="0.25">
      <c r="K361" s="102"/>
      <c r="L361" s="102"/>
      <c r="M361" s="103">
        <f>IF(I361&lt;0,MIN(0,I361+N(K361)),MAX(0,I361-N(K361)))</f>
      </c>
    </row>
    <row r="362" spans="11:13" x14ac:dyDescent="0.25">
      <c r="K362" s="102"/>
      <c r="L362" s="102"/>
      <c r="M362" s="103">
        <f>IF(I362&lt;0,MIN(0,I362+N(K362)),MAX(0,I362-N(K362)))</f>
      </c>
    </row>
    <row r="363" spans="11:13" x14ac:dyDescent="0.25">
      <c r="K363" s="102"/>
      <c r="L363" s="102"/>
      <c r="M363" s="103">
        <f>IF(I363&lt;0,MIN(0,I363+N(K363)),MAX(0,I363-N(K363)))</f>
      </c>
    </row>
    <row r="364" spans="11:13" x14ac:dyDescent="0.25">
      <c r="K364" s="102"/>
      <c r="L364" s="102"/>
      <c r="M364" s="103">
        <f>IF(I364&lt;0,MIN(0,I364+N(K364)),MAX(0,I364-N(K364)))</f>
      </c>
    </row>
    <row r="365" spans="11:13" x14ac:dyDescent="0.25">
      <c r="K365" s="102"/>
      <c r="L365" s="102"/>
      <c r="M365" s="103">
        <f>IF(I365&lt;0,MIN(0,I365+N(K365)),MAX(0,I365-N(K365)))</f>
      </c>
    </row>
    <row r="366" spans="11:13" x14ac:dyDescent="0.25">
      <c r="K366" s="102"/>
      <c r="L366" s="102"/>
      <c r="M366" s="103">
        <f>IF(I366&lt;0,MIN(0,I366+N(K366)),MAX(0,I366-N(K366)))</f>
      </c>
    </row>
    <row r="367" spans="11:13" x14ac:dyDescent="0.25">
      <c r="K367" s="102"/>
      <c r="L367" s="102"/>
      <c r="M367" s="103">
        <f>IF(I367&lt;0,MIN(0,I367+N(K367)),MAX(0,I367-N(K367)))</f>
      </c>
    </row>
    <row r="368" spans="11:13" x14ac:dyDescent="0.25">
      <c r="K368" s="102"/>
      <c r="L368" s="102"/>
      <c r="M368" s="103">
        <f>IF(I368&lt;0,MIN(0,I368+N(K368)),MAX(0,I368-N(K368)))</f>
      </c>
    </row>
    <row r="369" spans="11:13" x14ac:dyDescent="0.25">
      <c r="K369" s="102"/>
      <c r="L369" s="102"/>
      <c r="M369" s="103">
        <f>IF(I369&lt;0,MIN(0,I369+N(K369)),MAX(0,I369-N(K369)))</f>
      </c>
    </row>
    <row r="370" spans="11:13" x14ac:dyDescent="0.25">
      <c r="K370" s="102"/>
      <c r="L370" s="102"/>
      <c r="M370" s="103">
        <f>IF(I370&lt;0,MIN(0,I370+N(K370)),MAX(0,I370-N(K370)))</f>
      </c>
    </row>
    <row r="371" spans="11:13" x14ac:dyDescent="0.25">
      <c r="K371" s="102"/>
      <c r="L371" s="102"/>
      <c r="M371" s="103">
        <f>IF(I371&lt;0,MIN(0,I371+N(K371)),MAX(0,I371-N(K371)))</f>
      </c>
    </row>
    <row r="372" spans="11:13" x14ac:dyDescent="0.25">
      <c r="K372" s="102"/>
      <c r="L372" s="102"/>
      <c r="M372" s="103">
        <f>IF(I372&lt;0,MIN(0,I372+N(K372)),MAX(0,I372-N(K372)))</f>
      </c>
    </row>
    <row r="373" spans="11:13" x14ac:dyDescent="0.25">
      <c r="K373" s="102"/>
      <c r="L373" s="102"/>
      <c r="M373" s="103">
        <f>IF(I373&lt;0,MIN(0,I373+N(K373)),MAX(0,I373-N(K373)))</f>
      </c>
    </row>
    <row r="374" spans="11:13" x14ac:dyDescent="0.25">
      <c r="K374" s="102"/>
      <c r="L374" s="102"/>
      <c r="M374" s="103">
        <f>IF(I374&lt;0,MIN(0,I374+N(K374)),MAX(0,I374-N(K374)))</f>
      </c>
    </row>
    <row r="375" spans="11:13" x14ac:dyDescent="0.25">
      <c r="K375" s="102"/>
      <c r="L375" s="102"/>
      <c r="M375" s="103">
        <f>IF(I375&lt;0,MIN(0,I375+N(K375)),MAX(0,I375-N(K375)))</f>
      </c>
    </row>
    <row r="376" spans="11:13" x14ac:dyDescent="0.25">
      <c r="K376" s="102"/>
      <c r="L376" s="102"/>
      <c r="M376" s="103">
        <f>IF(I376&lt;0,MIN(0,I376+N(K376)),MAX(0,I376-N(K376)))</f>
      </c>
    </row>
    <row r="377" spans="11:13" x14ac:dyDescent="0.25">
      <c r="K377" s="102"/>
      <c r="L377" s="102"/>
      <c r="M377" s="103">
        <f>IF(I377&lt;0,MIN(0,I377+N(K377)),MAX(0,I377-N(K377)))</f>
      </c>
    </row>
    <row r="378" spans="11:13" x14ac:dyDescent="0.25">
      <c r="K378" s="102"/>
      <c r="L378" s="102"/>
      <c r="M378" s="103">
        <f>IF(I378&lt;0,MIN(0,I378+N(K378)),MAX(0,I378-N(K378)))</f>
      </c>
    </row>
    <row r="379" spans="11:13" x14ac:dyDescent="0.25">
      <c r="K379" s="102"/>
      <c r="L379" s="102"/>
      <c r="M379" s="103">
        <f>IF(I379&lt;0,MIN(0,I379+N(K379)),MAX(0,I379-N(K379)))</f>
      </c>
    </row>
    <row r="380" spans="11:13" x14ac:dyDescent="0.25">
      <c r="K380" s="102"/>
      <c r="L380" s="102"/>
      <c r="M380" s="103">
        <f>IF(I380&lt;0,MIN(0,I380+N(K380)),MAX(0,I380-N(K380)))</f>
      </c>
    </row>
    <row r="381" spans="11:13" x14ac:dyDescent="0.25">
      <c r="K381" s="102"/>
      <c r="L381" s="102"/>
      <c r="M381" s="103">
        <f>IF(I381&lt;0,MIN(0,I381+N(K381)),MAX(0,I381-N(K381)))</f>
      </c>
    </row>
    <row r="382" spans="11:13" x14ac:dyDescent="0.25">
      <c r="K382" s="102"/>
      <c r="L382" s="102"/>
      <c r="M382" s="103">
        <f>IF(I382&lt;0,MIN(0,I382+N(K382)),MAX(0,I382-N(K382)))</f>
      </c>
    </row>
    <row r="383" spans="11:13" x14ac:dyDescent="0.25">
      <c r="K383" s="102"/>
      <c r="L383" s="102"/>
      <c r="M383" s="103">
        <f>IF(I383&lt;0,MIN(0,I383+N(K383)),MAX(0,I383-N(K383)))</f>
      </c>
    </row>
    <row r="384" spans="11:13" x14ac:dyDescent="0.25">
      <c r="K384" s="102"/>
      <c r="L384" s="102"/>
      <c r="M384" s="103">
        <f>IF(I384&lt;0,MIN(0,I384+N(K384)),MAX(0,I384-N(K384)))</f>
      </c>
    </row>
    <row r="385" spans="11:13" x14ac:dyDescent="0.25">
      <c r="K385" s="102"/>
      <c r="L385" s="102"/>
      <c r="M385" s="103">
        <f>IF(I385&lt;0,MIN(0,I385+N(K385)),MAX(0,I385-N(K385)))</f>
      </c>
    </row>
    <row r="386" spans="11:13" x14ac:dyDescent="0.25">
      <c r="K386" s="102"/>
      <c r="L386" s="102"/>
      <c r="M386" s="103">
        <f>IF(I386&lt;0,MIN(0,I386+N(K386)),MAX(0,I386-N(K386)))</f>
      </c>
    </row>
    <row r="387" spans="11:13" x14ac:dyDescent="0.25">
      <c r="K387" s="102"/>
      <c r="L387" s="102"/>
      <c r="M387" s="103">
        <f>IF(I387&lt;0,MIN(0,I387+N(K387)),MAX(0,I387-N(K387)))</f>
      </c>
    </row>
    <row r="388" spans="11:13" x14ac:dyDescent="0.25">
      <c r="K388" s="102"/>
      <c r="L388" s="102"/>
      <c r="M388" s="103">
        <f>IF(I388&lt;0,MIN(0,I388+N(K388)),MAX(0,I388-N(K388)))</f>
      </c>
    </row>
    <row r="389" spans="11:13" x14ac:dyDescent="0.25">
      <c r="K389" s="102"/>
      <c r="L389" s="102"/>
      <c r="M389" s="103">
        <f>IF(I389&lt;0,MIN(0,I389+N(K389)),MAX(0,I389-N(K389)))</f>
      </c>
    </row>
    <row r="390" spans="11:13" x14ac:dyDescent="0.25">
      <c r="K390" s="102"/>
      <c r="L390" s="102"/>
      <c r="M390" s="103">
        <f>IF(I390&lt;0,MIN(0,I390+N(K390)),MAX(0,I390-N(K390)))</f>
      </c>
    </row>
    <row r="391" spans="11:13" x14ac:dyDescent="0.25">
      <c r="K391" s="102"/>
      <c r="L391" s="102"/>
      <c r="M391" s="103">
        <f>IF(I391&lt;0,MIN(0,I391+N(K391)),MAX(0,I391-N(K391)))</f>
      </c>
    </row>
    <row r="392" spans="11:13" x14ac:dyDescent="0.25">
      <c r="K392" s="102"/>
      <c r="L392" s="102"/>
      <c r="M392" s="103">
        <f>IF(I392&lt;0,MIN(0,I392+N(K392)),MAX(0,I392-N(K392)))</f>
      </c>
    </row>
    <row r="393" spans="11:13" x14ac:dyDescent="0.25">
      <c r="K393" s="102"/>
      <c r="L393" s="102"/>
      <c r="M393" s="103">
        <f>IF(I393&lt;0,MIN(0,I393+N(K393)),MAX(0,I393-N(K393)))</f>
      </c>
    </row>
    <row r="394" spans="11:13" x14ac:dyDescent="0.25">
      <c r="K394" s="102"/>
      <c r="L394" s="102"/>
      <c r="M394" s="103">
        <f>IF(I394&lt;0,MIN(0,I394+N(K394)),MAX(0,I394-N(K394)))</f>
      </c>
    </row>
    <row r="395" spans="11:13" x14ac:dyDescent="0.25">
      <c r="K395" s="102"/>
      <c r="L395" s="102"/>
      <c r="M395" s="103">
        <f>IF(I395&lt;0,MIN(0,I395+N(K395)),MAX(0,I395-N(K395)))</f>
      </c>
    </row>
    <row r="396" spans="11:13" x14ac:dyDescent="0.25">
      <c r="K396" s="102"/>
      <c r="L396" s="102"/>
      <c r="M396" s="103">
        <f>IF(I396&lt;0,MIN(0,I396+N(K396)),MAX(0,I396-N(K396)))</f>
      </c>
    </row>
    <row r="397" spans="11:13" x14ac:dyDescent="0.25">
      <c r="K397" s="102"/>
      <c r="L397" s="102"/>
      <c r="M397" s="103">
        <f>IF(I397&lt;0,MIN(0,I397+N(K397)),MAX(0,I397-N(K397)))</f>
      </c>
    </row>
    <row r="398" spans="11:13" x14ac:dyDescent="0.25">
      <c r="K398" s="102"/>
      <c r="L398" s="102"/>
      <c r="M398" s="103">
        <f>IF(I398&lt;0,MIN(0,I398+N(K398)),MAX(0,I398-N(K398)))</f>
      </c>
    </row>
    <row r="399" spans="11:13" x14ac:dyDescent="0.25">
      <c r="K399" s="102"/>
      <c r="L399" s="102"/>
      <c r="M399" s="103">
        <f>IF(I399&lt;0,MIN(0,I399+N(K399)),MAX(0,I399-N(K399)))</f>
      </c>
    </row>
    <row r="400" spans="11:13" x14ac:dyDescent="0.25">
      <c r="K400" s="102"/>
      <c r="L400" s="102"/>
      <c r="M400" s="103">
        <f>IF(I400&lt;0,MIN(0,I400+N(K400)),MAX(0,I400-N(K400)))</f>
      </c>
    </row>
    <row r="401" spans="11:13" x14ac:dyDescent="0.25">
      <c r="K401" s="102"/>
      <c r="L401" s="102"/>
      <c r="M401" s="103">
        <f>IF(I401&lt;0,MIN(0,I401+N(K401)),MAX(0,I401-N(K401)))</f>
      </c>
    </row>
    <row r="402" spans="11:13" x14ac:dyDescent="0.25">
      <c r="K402" s="102"/>
      <c r="L402" s="102"/>
      <c r="M402" s="103">
        <f>IF(I402&lt;0,MIN(0,I402+N(K402)),MAX(0,I402-N(K402)))</f>
      </c>
    </row>
    <row r="403" spans="11:13" x14ac:dyDescent="0.25">
      <c r="K403" s="102"/>
      <c r="L403" s="102"/>
      <c r="M403" s="103">
        <f>IF(I403&lt;0,MIN(0,I403+N(K403)),MAX(0,I403-N(K403)))</f>
      </c>
    </row>
    <row r="404" spans="11:13" x14ac:dyDescent="0.25">
      <c r="K404" s="102"/>
      <c r="L404" s="102"/>
      <c r="M404" s="103">
        <f>IF(I404&lt;0,MIN(0,I404+N(K404)),MAX(0,I404-N(K404)))</f>
      </c>
    </row>
    <row r="405" spans="11:13" x14ac:dyDescent="0.25">
      <c r="K405" s="102"/>
      <c r="L405" s="102"/>
      <c r="M405" s="103">
        <f>IF(I405&lt;0,MIN(0,I405+N(K405)),MAX(0,I405-N(K405)))</f>
      </c>
    </row>
    <row r="406" spans="11:13" x14ac:dyDescent="0.25">
      <c r="K406" s="102"/>
      <c r="L406" s="102"/>
      <c r="M406" s="103">
        <f>IF(I406&lt;0,MIN(0,I406+N(K406)),MAX(0,I406-N(K406)))</f>
      </c>
    </row>
    <row r="407" spans="11:13" x14ac:dyDescent="0.25">
      <c r="K407" s="102"/>
      <c r="L407" s="102"/>
      <c r="M407" s="103">
        <f>IF(I407&lt;0,MIN(0,I407+N(K407)),MAX(0,I407-N(K407)))</f>
      </c>
    </row>
    <row r="408" spans="11:13" x14ac:dyDescent="0.25">
      <c r="K408" s="102"/>
      <c r="L408" s="102"/>
      <c r="M408" s="103">
        <f>IF(I408&lt;0,MIN(0,I408+N(K408)),MAX(0,I408-N(K408)))</f>
      </c>
    </row>
    <row r="409" spans="11:13" x14ac:dyDescent="0.25">
      <c r="K409" s="102"/>
      <c r="L409" s="102"/>
      <c r="M409" s="103">
        <f>IF(I409&lt;0,MIN(0,I409+N(K409)),MAX(0,I409-N(K409)))</f>
      </c>
    </row>
    <row r="410" spans="11:13" x14ac:dyDescent="0.25">
      <c r="K410" s="102"/>
      <c r="L410" s="102"/>
      <c r="M410" s="103">
        <f>IF(I410&lt;0,MIN(0,I410+N(K410)),MAX(0,I410-N(K410)))</f>
      </c>
    </row>
    <row r="411" spans="11:13" x14ac:dyDescent="0.25">
      <c r="K411" s="102"/>
      <c r="L411" s="102"/>
      <c r="M411" s="103">
        <f>IF(I411&lt;0,MIN(0,I411+N(K411)),MAX(0,I411-N(K411)))</f>
      </c>
    </row>
    <row r="412" spans="11:13" x14ac:dyDescent="0.25">
      <c r="K412" s="102"/>
      <c r="L412" s="102"/>
      <c r="M412" s="103">
        <f>IF(I412&lt;0,MIN(0,I412+N(K412)),MAX(0,I412-N(K412)))</f>
      </c>
    </row>
    <row r="413" spans="11:13" x14ac:dyDescent="0.25">
      <c r="K413" s="102"/>
      <c r="L413" s="102"/>
      <c r="M413" s="103">
        <f>IF(I413&lt;0,MIN(0,I413+N(K413)),MAX(0,I413-N(K413)))</f>
      </c>
    </row>
    <row r="414" spans="11:13" x14ac:dyDescent="0.25">
      <c r="K414" s="102"/>
      <c r="L414" s="102"/>
      <c r="M414" s="103">
        <f>IF(I414&lt;0,MIN(0,I414+N(K414)),MAX(0,I414-N(K414)))</f>
      </c>
    </row>
    <row r="415" spans="11:13" x14ac:dyDescent="0.25">
      <c r="K415" s="102"/>
      <c r="L415" s="102"/>
      <c r="M415" s="103">
        <f>IF(I415&lt;0,MIN(0,I415+N(K415)),MAX(0,I415-N(K415)))</f>
      </c>
    </row>
    <row r="416" spans="11:13" x14ac:dyDescent="0.25">
      <c r="K416" s="102"/>
      <c r="L416" s="102"/>
      <c r="M416" s="103">
        <f>IF(I416&lt;0,MIN(0,I416+N(K416)),MAX(0,I416-N(K416)))</f>
      </c>
    </row>
    <row r="417" spans="11:13" x14ac:dyDescent="0.25">
      <c r="K417" s="102"/>
      <c r="L417" s="102"/>
      <c r="M417" s="103">
        <f>IF(I417&lt;0,MIN(0,I417+N(K417)),MAX(0,I417-N(K417)))</f>
      </c>
    </row>
    <row r="418" spans="11:13" x14ac:dyDescent="0.25">
      <c r="K418" s="102"/>
      <c r="L418" s="102"/>
      <c r="M418" s="103">
        <f>IF(I418&lt;0,MIN(0,I418+N(K418)),MAX(0,I418-N(K418)))</f>
      </c>
    </row>
    <row r="419" spans="11:13" x14ac:dyDescent="0.25">
      <c r="K419" s="102"/>
      <c r="L419" s="102"/>
      <c r="M419" s="103">
        <f>IF(I419&lt;0,MIN(0,I419+N(K419)),MAX(0,I419-N(K419)))</f>
      </c>
    </row>
    <row r="420" spans="11:13" x14ac:dyDescent="0.25">
      <c r="K420" s="102"/>
      <c r="L420" s="102"/>
      <c r="M420" s="103">
        <f>IF(I420&lt;0,MIN(0,I420+N(K420)),MAX(0,I420-N(K420)))</f>
      </c>
    </row>
    <row r="421" spans="11:13" x14ac:dyDescent="0.25">
      <c r="K421" s="102"/>
      <c r="L421" s="102"/>
      <c r="M421" s="103">
        <f>IF(I421&lt;0,MIN(0,I421+N(K421)),MAX(0,I421-N(K421)))</f>
      </c>
    </row>
    <row r="422" spans="11:13" x14ac:dyDescent="0.25">
      <c r="K422" s="102"/>
      <c r="L422" s="102"/>
      <c r="M422" s="103">
        <f>IF(I422&lt;0,MIN(0,I422+N(K422)),MAX(0,I422-N(K422)))</f>
      </c>
    </row>
    <row r="423" spans="11:13" x14ac:dyDescent="0.25">
      <c r="K423" s="102"/>
      <c r="L423" s="102"/>
      <c r="M423" s="103">
        <f>IF(I423&lt;0,MIN(0,I423+N(K423)),MAX(0,I423-N(K423)))</f>
      </c>
    </row>
    <row r="424" spans="11:13" x14ac:dyDescent="0.25">
      <c r="K424" s="102"/>
      <c r="L424" s="102"/>
      <c r="M424" s="103">
        <f>IF(I424&lt;0,MIN(0,I424+N(K424)),MAX(0,I424-N(K424)))</f>
      </c>
    </row>
    <row r="425" spans="11:13" x14ac:dyDescent="0.25">
      <c r="K425" s="102"/>
      <c r="L425" s="102"/>
      <c r="M425" s="103">
        <f>IF(I425&lt;0,MIN(0,I425+N(K425)),MAX(0,I425-N(K425)))</f>
      </c>
    </row>
    <row r="426" spans="11:13" x14ac:dyDescent="0.25">
      <c r="K426" s="102"/>
      <c r="L426" s="102"/>
      <c r="M426" s="103">
        <f>IF(I426&lt;0,MIN(0,I426+N(K426)),MAX(0,I426-N(K426)))</f>
      </c>
    </row>
    <row r="427" spans="11:13" x14ac:dyDescent="0.25">
      <c r="K427" s="102"/>
      <c r="L427" s="102"/>
      <c r="M427" s="103">
        <f>IF(I427&lt;0,MIN(0,I427+N(K427)),MAX(0,I427-N(K427)))</f>
      </c>
    </row>
    <row r="428" spans="11:13" x14ac:dyDescent="0.25">
      <c r="K428" s="102"/>
      <c r="L428" s="102"/>
      <c r="M428" s="103">
        <f>IF(I428&lt;0,MIN(0,I428+N(K428)),MAX(0,I428-N(K428)))</f>
      </c>
    </row>
    <row r="429" spans="11:13" x14ac:dyDescent="0.25">
      <c r="K429" s="102"/>
      <c r="L429" s="102"/>
      <c r="M429" s="103">
        <f>IF(I429&lt;0,MIN(0,I429+N(K429)),MAX(0,I429-N(K429)))</f>
      </c>
    </row>
    <row r="430" spans="11:13" x14ac:dyDescent="0.25">
      <c r="K430" s="102"/>
      <c r="L430" s="102"/>
      <c r="M430" s="103">
        <f>IF(I430&lt;0,MIN(0,I430+N(K430)),MAX(0,I430-N(K430)))</f>
      </c>
    </row>
    <row r="431" spans="11:13" x14ac:dyDescent="0.25">
      <c r="K431" s="102"/>
      <c r="L431" s="102"/>
      <c r="M431" s="103">
        <f>IF(I431&lt;0,MIN(0,I431+N(K431)),MAX(0,I431-N(K431)))</f>
      </c>
    </row>
    <row r="432" spans="11:13" x14ac:dyDescent="0.25">
      <c r="K432" s="102"/>
      <c r="L432" s="102"/>
      <c r="M432" s="103">
        <f>IF(I432&lt;0,MIN(0,I432+N(K432)),MAX(0,I432-N(K432)))</f>
      </c>
    </row>
    <row r="433" spans="11:13" x14ac:dyDescent="0.25">
      <c r="K433" s="102"/>
      <c r="L433" s="102"/>
      <c r="M433" s="103">
        <f>IF(I433&lt;0,MIN(0,I433+N(K433)),MAX(0,I433-N(K433)))</f>
      </c>
    </row>
    <row r="434" spans="11:13" x14ac:dyDescent="0.25">
      <c r="K434" s="102"/>
      <c r="L434" s="102"/>
      <c r="M434" s="103">
        <f>IF(I434&lt;0,MIN(0,I434+N(K434)),MAX(0,I434-N(K434)))</f>
      </c>
    </row>
    <row r="435" spans="11:13" x14ac:dyDescent="0.25">
      <c r="K435" s="102"/>
      <c r="L435" s="102"/>
      <c r="M435" s="103">
        <f>IF(I435&lt;0,MIN(0,I435+N(K435)),MAX(0,I435-N(K435)))</f>
      </c>
    </row>
    <row r="436" spans="11:13" x14ac:dyDescent="0.25">
      <c r="K436" s="102"/>
      <c r="L436" s="102"/>
      <c r="M436" s="103">
        <f>IF(I436&lt;0,MIN(0,I436+N(K436)),MAX(0,I436-N(K436)))</f>
      </c>
    </row>
    <row r="437" spans="11:13" x14ac:dyDescent="0.25">
      <c r="K437" s="102"/>
      <c r="L437" s="102"/>
      <c r="M437" s="103">
        <f>IF(I437&lt;0,MIN(0,I437+N(K437)),MAX(0,I437-N(K437)))</f>
      </c>
    </row>
    <row r="438" spans="11:13" x14ac:dyDescent="0.25">
      <c r="K438" s="102"/>
      <c r="L438" s="102"/>
      <c r="M438" s="103">
        <f>IF(I438&lt;0,MIN(0,I438+N(K438)),MAX(0,I438-N(K438)))</f>
      </c>
    </row>
    <row r="439" spans="11:13" x14ac:dyDescent="0.25">
      <c r="K439" s="102"/>
      <c r="L439" s="102"/>
      <c r="M439" s="103">
        <f>IF(I439&lt;0,MIN(0,I439+N(K439)),MAX(0,I439-N(K439)))</f>
      </c>
    </row>
    <row r="440" spans="11:13" x14ac:dyDescent="0.25">
      <c r="K440" s="102"/>
      <c r="L440" s="102"/>
      <c r="M440" s="103">
        <f>IF(I440&lt;0,MIN(0,I440+N(K440)),MAX(0,I440-N(K440)))</f>
      </c>
    </row>
    <row r="441" spans="11:13" x14ac:dyDescent="0.25">
      <c r="K441" s="102"/>
      <c r="L441" s="102"/>
      <c r="M441" s="103">
        <f>IF(I441&lt;0,MIN(0,I441+N(K441)),MAX(0,I441-N(K441)))</f>
      </c>
    </row>
    <row r="442" spans="11:13" x14ac:dyDescent="0.25">
      <c r="K442" s="102"/>
      <c r="L442" s="102"/>
      <c r="M442" s="103">
        <f>IF(I442&lt;0,MIN(0,I442+N(K442)),MAX(0,I442-N(K442)))</f>
      </c>
    </row>
    <row r="443" spans="11:13" x14ac:dyDescent="0.25">
      <c r="K443" s="102"/>
      <c r="L443" s="102"/>
      <c r="M443" s="103">
        <f>IF(I443&lt;0,MIN(0,I443+N(K443)),MAX(0,I443-N(K443)))</f>
      </c>
    </row>
    <row r="444" spans="11:13" x14ac:dyDescent="0.25">
      <c r="K444" s="102"/>
      <c r="L444" s="102"/>
      <c r="M444" s="103">
        <f>IF(I444&lt;0,MIN(0,I444+N(K444)),MAX(0,I444-N(K444)))</f>
      </c>
    </row>
    <row r="445" spans="11:13" x14ac:dyDescent="0.25">
      <c r="K445" s="102"/>
      <c r="L445" s="102"/>
      <c r="M445" s="103">
        <f>IF(I445&lt;0,MIN(0,I445+N(K445)),MAX(0,I445-N(K445)))</f>
      </c>
    </row>
    <row r="446" spans="11:13" x14ac:dyDescent="0.25">
      <c r="K446" s="102"/>
      <c r="L446" s="102"/>
      <c r="M446" s="103">
        <f>IF(I446&lt;0,MIN(0,I446+N(K446)),MAX(0,I446-N(K446)))</f>
      </c>
    </row>
    <row r="447" spans="11:13" x14ac:dyDescent="0.25">
      <c r="K447" s="102"/>
      <c r="L447" s="102"/>
      <c r="M447" s="103">
        <f>IF(I447&lt;0,MIN(0,I447+N(K447)),MAX(0,I447-N(K447)))</f>
      </c>
    </row>
    <row r="448" spans="11:13" x14ac:dyDescent="0.25">
      <c r="K448" s="102"/>
      <c r="L448" s="102"/>
      <c r="M448" s="103">
        <f>IF(I448&lt;0,MIN(0,I448+N(K448)),MAX(0,I448-N(K448)))</f>
      </c>
    </row>
    <row r="449" spans="11:13" x14ac:dyDescent="0.25">
      <c r="K449" s="102"/>
      <c r="L449" s="102"/>
      <c r="M449" s="103">
        <f>IF(I449&lt;0,MIN(0,I449+N(K449)),MAX(0,I449-N(K449)))</f>
      </c>
    </row>
    <row r="450" spans="11:13" x14ac:dyDescent="0.25">
      <c r="K450" s="102"/>
      <c r="L450" s="102"/>
      <c r="M450" s="103">
        <f>IF(I450&lt;0,MIN(0,I450+N(K450)),MAX(0,I450-N(K450)))</f>
      </c>
    </row>
    <row r="451" spans="11:13" x14ac:dyDescent="0.25">
      <c r="K451" s="102"/>
      <c r="L451" s="102"/>
      <c r="M451" s="103">
        <f>IF(I451&lt;0,MIN(0,I451+N(K451)),MAX(0,I451-N(K451)))</f>
      </c>
    </row>
    <row r="452" spans="11:13" x14ac:dyDescent="0.25">
      <c r="K452" s="102"/>
      <c r="L452" s="102"/>
      <c r="M452" s="103">
        <f>IF(I452&lt;0,MIN(0,I452+N(K452)),MAX(0,I452-N(K452)))</f>
      </c>
    </row>
    <row r="453" spans="11:13" x14ac:dyDescent="0.25">
      <c r="K453" s="102"/>
      <c r="L453" s="102"/>
      <c r="M453" s="103">
        <f>IF(I453&lt;0,MIN(0,I453+N(K453)),MAX(0,I453-N(K453)))</f>
      </c>
    </row>
    <row r="454" spans="11:13" x14ac:dyDescent="0.25">
      <c r="K454" s="102"/>
      <c r="L454" s="102"/>
      <c r="M454" s="103">
        <f>IF(I454&lt;0,MIN(0,I454+N(K454)),MAX(0,I454-N(K454)))</f>
      </c>
    </row>
    <row r="455" spans="11:13" x14ac:dyDescent="0.25">
      <c r="K455" s="102"/>
      <c r="L455" s="102"/>
      <c r="M455" s="103">
        <f>IF(I455&lt;0,MIN(0,I455+N(K455)),MAX(0,I455-N(K455)))</f>
      </c>
    </row>
    <row r="456" spans="11:13" x14ac:dyDescent="0.25">
      <c r="K456" s="102"/>
      <c r="L456" s="102"/>
      <c r="M456" s="103">
        <f>IF(I456&lt;0,MIN(0,I456+N(K456)),MAX(0,I456-N(K456)))</f>
      </c>
    </row>
    <row r="457" spans="11:13" x14ac:dyDescent="0.25">
      <c r="K457" s="102"/>
      <c r="L457" s="102"/>
      <c r="M457" s="103">
        <f>IF(I457&lt;0,MIN(0,I457+N(K457)),MAX(0,I457-N(K457)))</f>
      </c>
    </row>
    <row r="458" spans="11:13" x14ac:dyDescent="0.25">
      <c r="K458" s="102"/>
      <c r="L458" s="102"/>
      <c r="M458" s="103">
        <f>IF(I458&lt;0,MIN(0,I458+N(K458)),MAX(0,I458-N(K458)))</f>
      </c>
    </row>
    <row r="459" spans="11:13" x14ac:dyDescent="0.25">
      <c r="K459" s="102"/>
      <c r="L459" s="102"/>
      <c r="M459" s="103">
        <f>IF(I459&lt;0,MIN(0,I459+N(K459)),MAX(0,I459-N(K459)))</f>
      </c>
    </row>
    <row r="460" spans="11:13" x14ac:dyDescent="0.25">
      <c r="K460" s="102"/>
      <c r="L460" s="102"/>
      <c r="M460" s="103">
        <f>IF(I460&lt;0,MIN(0,I460+N(K460)),MAX(0,I460-N(K460)))</f>
      </c>
    </row>
    <row r="461" spans="11:13" x14ac:dyDescent="0.25">
      <c r="K461" s="102"/>
      <c r="L461" s="102"/>
      <c r="M461" s="103">
        <f>IF(I461&lt;0,MIN(0,I461+N(K461)),MAX(0,I461-N(K461)))</f>
      </c>
    </row>
    <row r="462" spans="11:13" x14ac:dyDescent="0.25">
      <c r="K462" s="102"/>
      <c r="L462" s="102"/>
      <c r="M462" s="103">
        <f>IF(I462&lt;0,MIN(0,I462+N(K462)),MAX(0,I462-N(K462)))</f>
      </c>
    </row>
    <row r="463" spans="11:13" x14ac:dyDescent="0.25">
      <c r="K463" s="102"/>
      <c r="L463" s="102"/>
      <c r="M463" s="103">
        <f>IF(I463&lt;0,MIN(0,I463+N(K463)),MAX(0,I463-N(K463)))</f>
      </c>
    </row>
    <row r="464" spans="11:13" x14ac:dyDescent="0.25">
      <c r="K464" s="102"/>
      <c r="L464" s="102"/>
      <c r="M464" s="103">
        <f>IF(I464&lt;0,MIN(0,I464+N(K464)),MAX(0,I464-N(K464)))</f>
      </c>
    </row>
    <row r="465" spans="11:13" x14ac:dyDescent="0.25">
      <c r="K465" s="102"/>
      <c r="L465" s="102"/>
      <c r="M465" s="103">
        <f>IF(I465&lt;0,MIN(0,I465+N(K465)),MAX(0,I465-N(K465)))</f>
      </c>
    </row>
    <row r="466" spans="11:13" x14ac:dyDescent="0.25">
      <c r="K466" s="102"/>
      <c r="L466" s="102"/>
      <c r="M466" s="103">
        <f>IF(I466&lt;0,MIN(0,I466+N(K466)),MAX(0,I466-N(K466)))</f>
      </c>
    </row>
    <row r="467" spans="11:13" x14ac:dyDescent="0.25">
      <c r="K467" s="102"/>
      <c r="L467" s="102"/>
      <c r="M467" s="103">
        <f>IF(I467&lt;0,MIN(0,I467+N(K467)),MAX(0,I467-N(K467)))</f>
      </c>
    </row>
    <row r="468" spans="11:13" x14ac:dyDescent="0.25">
      <c r="K468" s="102"/>
      <c r="L468" s="102"/>
      <c r="M468" s="103">
        <f>IF(I468&lt;0,MIN(0,I468+N(K468)),MAX(0,I468-N(K468)))</f>
      </c>
    </row>
    <row r="469" spans="11:13" x14ac:dyDescent="0.25">
      <c r="K469" s="102"/>
      <c r="L469" s="102"/>
      <c r="M469" s="103">
        <f>IF(I469&lt;0,MIN(0,I469+N(K469)),MAX(0,I469-N(K469)))</f>
      </c>
    </row>
    <row r="470" spans="11:13" x14ac:dyDescent="0.25">
      <c r="K470" s="102"/>
      <c r="L470" s="102"/>
      <c r="M470" s="103">
        <f>IF(I470&lt;0,MIN(0,I470+N(K470)),MAX(0,I470-N(K470)))</f>
      </c>
    </row>
    <row r="471" spans="11:13" x14ac:dyDescent="0.25">
      <c r="K471" s="102"/>
      <c r="L471" s="102"/>
      <c r="M471" s="103">
        <f>IF(I471&lt;0,MIN(0,I471+N(K471)),MAX(0,I471-N(K471)))</f>
      </c>
    </row>
    <row r="472" spans="11:13" x14ac:dyDescent="0.25">
      <c r="K472" s="102"/>
      <c r="L472" s="102"/>
      <c r="M472" s="103">
        <f>IF(I472&lt;0,MIN(0,I472+N(K472)),MAX(0,I472-N(K472)))</f>
      </c>
    </row>
    <row r="473" spans="11:13" x14ac:dyDescent="0.25">
      <c r="K473" s="102"/>
      <c r="L473" s="102"/>
      <c r="M473" s="103">
        <f>IF(I473&lt;0,MIN(0,I473+N(K473)),MAX(0,I473-N(K473)))</f>
      </c>
    </row>
    <row r="474" spans="11:13" x14ac:dyDescent="0.25">
      <c r="K474" s="102"/>
      <c r="L474" s="102"/>
      <c r="M474" s="103">
        <f>IF(I474&lt;0,MIN(0,I474+N(K474)),MAX(0,I474-N(K474)))</f>
      </c>
    </row>
    <row r="475" spans="11:13" x14ac:dyDescent="0.25">
      <c r="K475" s="102"/>
      <c r="L475" s="102"/>
      <c r="M475" s="103">
        <f>IF(I475&lt;0,MIN(0,I475+N(K475)),MAX(0,I475-N(K475)))</f>
      </c>
    </row>
    <row r="476" spans="11:13" x14ac:dyDescent="0.25">
      <c r="K476" s="102"/>
      <c r="L476" s="102"/>
      <c r="M476" s="103">
        <f>IF(I476&lt;0,MIN(0,I476+N(K476)),MAX(0,I476-N(K476)))</f>
      </c>
    </row>
    <row r="477" spans="11:13" x14ac:dyDescent="0.25">
      <c r="K477" s="102"/>
      <c r="L477" s="102"/>
      <c r="M477" s="103">
        <f>IF(I477&lt;0,MIN(0,I477+N(K477)),MAX(0,I477-N(K477)))</f>
      </c>
    </row>
    <row r="478" spans="11:13" x14ac:dyDescent="0.25">
      <c r="K478" s="102"/>
      <c r="L478" s="102"/>
      <c r="M478" s="103">
        <f>IF(I478&lt;0,MIN(0,I478+N(K478)),MAX(0,I478-N(K478)))</f>
      </c>
    </row>
    <row r="479" spans="11:13" x14ac:dyDescent="0.25">
      <c r="K479" s="102"/>
      <c r="L479" s="102"/>
      <c r="M479" s="103">
        <f>IF(I479&lt;0,MIN(0,I479+N(K479)),MAX(0,I479-N(K479)))</f>
      </c>
    </row>
    <row r="480" spans="11:13" x14ac:dyDescent="0.25">
      <c r="K480" s="102"/>
      <c r="L480" s="102"/>
      <c r="M480" s="103">
        <f>IF(I480&lt;0,MIN(0,I480+N(K480)),MAX(0,I480-N(K480)))</f>
      </c>
    </row>
    <row r="481" spans="11:13" x14ac:dyDescent="0.25">
      <c r="K481" s="102"/>
      <c r="L481" s="102"/>
      <c r="M481" s="103">
        <f>IF(I481&lt;0,MIN(0,I481+N(K481)),MAX(0,I481-N(K481)))</f>
      </c>
    </row>
    <row r="482" spans="11:13" x14ac:dyDescent="0.25">
      <c r="K482" s="102"/>
      <c r="L482" s="102"/>
      <c r="M482" s="103">
        <f>IF(I482&lt;0,MIN(0,I482+N(K482)),MAX(0,I482-N(K482)))</f>
      </c>
    </row>
    <row r="483" spans="11:13" x14ac:dyDescent="0.25">
      <c r="K483" s="102"/>
      <c r="L483" s="102"/>
      <c r="M483" s="103">
        <f>IF(I483&lt;0,MIN(0,I483+N(K483)),MAX(0,I483-N(K483)))</f>
      </c>
    </row>
    <row r="484" spans="11:13" x14ac:dyDescent="0.25">
      <c r="K484" s="102"/>
      <c r="L484" s="102"/>
      <c r="M484" s="103">
        <f>IF(I484&lt;0,MIN(0,I484+N(K484)),MAX(0,I484-N(K484)))</f>
      </c>
    </row>
    <row r="485" spans="11:13" x14ac:dyDescent="0.25">
      <c r="K485" s="102"/>
      <c r="L485" s="102"/>
      <c r="M485" s="103">
        <f>IF(I485&lt;0,MIN(0,I485+N(K485)),MAX(0,I485-N(K485)))</f>
      </c>
    </row>
    <row r="486" spans="11:13" x14ac:dyDescent="0.25">
      <c r="K486" s="102"/>
      <c r="L486" s="102"/>
      <c r="M486" s="103">
        <f>IF(I486&lt;0,MIN(0,I486+N(K486)),MAX(0,I486-N(K486)))</f>
      </c>
    </row>
    <row r="487" spans="11:13" x14ac:dyDescent="0.25">
      <c r="K487" s="102"/>
      <c r="L487" s="102"/>
      <c r="M487" s="103">
        <f>IF(I487&lt;0,MIN(0,I487+N(K487)),MAX(0,I487-N(K487)))</f>
      </c>
    </row>
    <row r="488" spans="11:13" x14ac:dyDescent="0.25">
      <c r="K488" s="102"/>
      <c r="L488" s="102"/>
      <c r="M488" s="103">
        <f>IF(I488&lt;0,MIN(0,I488+N(K488)),MAX(0,I488-N(K488)))</f>
      </c>
    </row>
    <row r="489" spans="11:13" x14ac:dyDescent="0.25">
      <c r="K489" s="102"/>
      <c r="L489" s="102"/>
      <c r="M489" s="103">
        <f>IF(I489&lt;0,MIN(0,I489+N(K489)),MAX(0,I489-N(K489)))</f>
      </c>
    </row>
    <row r="490" spans="11:13" x14ac:dyDescent="0.25">
      <c r="K490" s="102"/>
      <c r="L490" s="102"/>
      <c r="M490" s="103">
        <f>IF(I490&lt;0,MIN(0,I490+N(K490)),MAX(0,I490-N(K490)))</f>
      </c>
    </row>
    <row r="491" spans="11:13" x14ac:dyDescent="0.25">
      <c r="K491" s="102"/>
      <c r="L491" s="102"/>
      <c r="M491" s="103">
        <f>IF(I491&lt;0,MIN(0,I491+N(K491)),MAX(0,I491-N(K491)))</f>
      </c>
    </row>
    <row r="492" spans="11:13" x14ac:dyDescent="0.25">
      <c r="K492" s="102"/>
      <c r="L492" s="102"/>
      <c r="M492" s="103">
        <f>IF(I492&lt;0,MIN(0,I492+N(K492)),MAX(0,I492-N(K492)))</f>
      </c>
    </row>
    <row r="493" spans="11:13" x14ac:dyDescent="0.25">
      <c r="K493" s="102"/>
      <c r="L493" s="102"/>
      <c r="M493" s="103">
        <f>IF(I493&lt;0,MIN(0,I493+N(K493)),MAX(0,I493-N(K493)))</f>
      </c>
    </row>
    <row r="494" spans="11:13" x14ac:dyDescent="0.25">
      <c r="K494" s="102"/>
      <c r="L494" s="102"/>
      <c r="M494" s="103">
        <f>IF(I494&lt;0,MIN(0,I494+N(K494)),MAX(0,I494-N(K494)))</f>
      </c>
    </row>
    <row r="495" spans="11:13" x14ac:dyDescent="0.25">
      <c r="K495" s="102"/>
      <c r="L495" s="102"/>
      <c r="M495" s="103">
        <f>IF(I495&lt;0,MIN(0,I495+N(K495)),MAX(0,I495-N(K495)))</f>
      </c>
    </row>
    <row r="496" spans="11:13" x14ac:dyDescent="0.25">
      <c r="K496" s="102"/>
      <c r="L496" s="102"/>
      <c r="M496" s="103">
        <f>IF(I496&lt;0,MIN(0,I496+N(K496)),MAX(0,I496-N(K496)))</f>
      </c>
    </row>
    <row r="497" spans="11:13" x14ac:dyDescent="0.25">
      <c r="K497" s="102"/>
      <c r="L497" s="102"/>
      <c r="M497" s="103">
        <f>IF(I497&lt;0,MIN(0,I497+N(K497)),MAX(0,I497-N(K497)))</f>
      </c>
    </row>
    <row r="498" spans="11:13" x14ac:dyDescent="0.25">
      <c r="K498" s="102"/>
      <c r="L498" s="102"/>
      <c r="M498" s="103">
        <f>IF(I498&lt;0,MIN(0,I498+N(K498)),MAX(0,I498-N(K498)))</f>
      </c>
    </row>
    <row r="499" spans="11:13" x14ac:dyDescent="0.25">
      <c r="K499" s="102"/>
      <c r="L499" s="102"/>
      <c r="M499" s="103">
        <f>IF(I499&lt;0,MIN(0,I499+N(K499)),MAX(0,I499-N(K499)))</f>
      </c>
    </row>
    <row r="500" spans="11:13" x14ac:dyDescent="0.25">
      <c r="K500" s="102"/>
      <c r="L500" s="102"/>
      <c r="M500" s="103">
        <f>IF(I500&lt;0,MIN(0,I500+N(K500)),MAX(0,I500-N(K500)))</f>
      </c>
    </row>
  </sheetData>
  <autoFilter ref="A4:M107"/>
  <dataValidations count="2">
    <dataValidation type="list" allowBlank="1" sqref="A5:A500">
      <formula1>"S1,S2,S3,S4,S5,Après S5"</formula1>
    </dataValidation>
    <dataValidation type="list" allowBlank="1" sqref="J5:J500">
      <formula1>"O,N"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2" customWidth="1"/>
    <col min="4" max="4" width="46" customWidth="1"/>
    <col min="5" max="6" width="18" customWidth="1"/>
    <col min="7" max="7" width="14" customWidth="1"/>
    <col min="8" max="9" width="22" customWidth="1"/>
    <col min="10" max="10" width="18" customWidth="1"/>
    <col min="11" max="11" width="16" customWidth="1"/>
  </cols>
  <sheetData>
    <row r="1" spans="1:1" x14ac:dyDescent="0.25">
      <c r="A1" s="1" t="s">
        <v>462</v>
      </c>
    </row>
    <row r="2" spans="1:1" x14ac:dyDescent="0.25">
      <c r="A2" s="74" t="s">
        <v>463</v>
      </c>
    </row>
    <row r="4" spans="1:11" x14ac:dyDescent="0.25">
      <c r="A4" s="93" t="s">
        <v>97</v>
      </c>
      <c r="B4" s="93" t="s">
        <v>464</v>
      </c>
      <c r="C4" s="93" t="s">
        <v>465</v>
      </c>
      <c r="D4" s="93" t="s">
        <v>18</v>
      </c>
      <c r="E4" s="93" t="s">
        <v>466</v>
      </c>
      <c r="F4" s="93" t="s">
        <v>467</v>
      </c>
      <c r="G4" s="93" t="s">
        <v>468</v>
      </c>
      <c r="H4" s="93" t="s">
        <v>469</v>
      </c>
      <c r="I4" s="93" t="s">
        <v>470</v>
      </c>
      <c r="J4" s="93" t="s">
        <v>471</v>
      </c>
      <c r="K4" s="93" t="s">
        <v>472</v>
      </c>
    </row>
    <row r="5" spans="1:11" x14ac:dyDescent="0.25">
      <c r="A5" s="49" t="s">
        <v>22</v>
      </c>
      <c r="B5" s="49" t="s">
        <v>473</v>
      </c>
      <c r="C5" s="49" t="s">
        <v>474</v>
      </c>
      <c r="D5" s="49" t="s">
        <v>25</v>
      </c>
      <c r="E5" s="49" t="s">
        <v>475</v>
      </c>
      <c r="F5" s="95">
        <v>3580753</v>
      </c>
      <c r="G5" s="51">
        <f>F5/'Reporting Hebdo'!$E$3</f>
      </c>
      <c r="H5" s="49" t="s">
        <v>22</v>
      </c>
      <c r="I5" s="49" t="s">
        <v>476</v>
      </c>
      <c r="J5" s="51">
        <v>3580753</v>
      </c>
      <c r="K5" s="51">
        <f>F5-J5</f>
      </c>
    </row>
    <row r="6" spans="1:11" x14ac:dyDescent="0.25">
      <c r="A6" s="49" t="s">
        <v>22</v>
      </c>
      <c r="B6" s="49" t="s">
        <v>477</v>
      </c>
      <c r="C6" s="49" t="s">
        <v>478</v>
      </c>
      <c r="D6" s="49" t="s">
        <v>27</v>
      </c>
      <c r="E6" s="49" t="s">
        <v>475</v>
      </c>
      <c r="F6" s="95">
        <v>24751125</v>
      </c>
      <c r="G6" s="51">
        <f>F6/'Reporting Hebdo'!$E$3</f>
      </c>
      <c r="H6" s="49" t="s">
        <v>22</v>
      </c>
      <c r="I6" s="49" t="s">
        <v>479</v>
      </c>
      <c r="J6" s="51">
        <v>24751125</v>
      </c>
      <c r="K6" s="51">
        <f>F6-J6</f>
      </c>
    </row>
    <row r="7" spans="1:11" x14ac:dyDescent="0.25">
      <c r="A7" s="49" t="s">
        <v>22</v>
      </c>
      <c r="B7" s="49" t="s">
        <v>480</v>
      </c>
      <c r="C7" s="49" t="s">
        <v>481</v>
      </c>
      <c r="D7" s="49" t="s">
        <v>27</v>
      </c>
      <c r="E7" s="49" t="s">
        <v>475</v>
      </c>
      <c r="F7" s="95">
        <v>-336430487</v>
      </c>
      <c r="G7" s="51">
        <f>F7/'Reporting Hebdo'!$E$3</f>
      </c>
      <c r="H7" s="49" t="s">
        <v>22</v>
      </c>
      <c r="I7" s="49" t="s">
        <v>482</v>
      </c>
      <c r="J7" s="51">
        <v>368235073</v>
      </c>
      <c r="K7" s="51">
        <f>F7-J7</f>
      </c>
    </row>
    <row r="8" spans="1:11" x14ac:dyDescent="0.25">
      <c r="A8" s="49" t="s">
        <v>29</v>
      </c>
      <c r="B8" s="49" t="s">
        <v>473</v>
      </c>
      <c r="C8" s="49" t="s">
        <v>483</v>
      </c>
      <c r="D8" s="49" t="s">
        <v>27</v>
      </c>
      <c r="E8" s="49" t="s">
        <v>475</v>
      </c>
      <c r="F8" s="95">
        <v>8429337</v>
      </c>
      <c r="G8" s="51">
        <f>F8/'Reporting Hebdo'!$E$3</f>
      </c>
      <c r="H8" s="49" t="s">
        <v>29</v>
      </c>
      <c r="I8" s="49" t="s">
        <v>484</v>
      </c>
      <c r="J8" s="51">
        <v>8429337</v>
      </c>
      <c r="K8" s="51">
        <f>F8-J8</f>
      </c>
    </row>
    <row r="9" spans="1:11" x14ac:dyDescent="0.25">
      <c r="A9" s="49" t="s">
        <v>29</v>
      </c>
      <c r="B9" s="49" t="s">
        <v>477</v>
      </c>
      <c r="C9" s="49" t="s">
        <v>485</v>
      </c>
      <c r="D9" s="49" t="s">
        <v>27</v>
      </c>
      <c r="E9" s="49" t="s">
        <v>475</v>
      </c>
      <c r="F9" s="95">
        <v>227694317</v>
      </c>
      <c r="G9" s="51">
        <f>F9/'Reporting Hebdo'!$E$3</f>
      </c>
      <c r="H9" s="49" t="s">
        <v>29</v>
      </c>
      <c r="I9" s="49" t="s">
        <v>486</v>
      </c>
      <c r="J9" s="51">
        <v>227694317</v>
      </c>
      <c r="K9" s="51">
        <f>F9-J9</f>
      </c>
    </row>
    <row r="10" spans="1:11" x14ac:dyDescent="0.25">
      <c r="A10" s="49" t="s">
        <v>33</v>
      </c>
      <c r="B10" s="49" t="s">
        <v>473</v>
      </c>
      <c r="C10" s="49" t="s">
        <v>487</v>
      </c>
      <c r="D10" s="49" t="s">
        <v>27</v>
      </c>
      <c r="E10" s="49" t="s">
        <v>475</v>
      </c>
      <c r="F10" s="95">
        <v>58193022</v>
      </c>
      <c r="G10" s="51">
        <f>F10/'Reporting Hebdo'!$E$3</f>
      </c>
      <c r="H10" s="49" t="s">
        <v>33</v>
      </c>
      <c r="I10" s="49" t="s">
        <v>488</v>
      </c>
      <c r="J10" s="51">
        <v>58193022</v>
      </c>
      <c r="K10" s="51">
        <f>F10-J10</f>
      </c>
    </row>
    <row r="11" spans="1:11" x14ac:dyDescent="0.25">
      <c r="A11" s="49" t="s">
        <v>33</v>
      </c>
      <c r="B11" s="49" t="s">
        <v>480</v>
      </c>
      <c r="C11" s="49" t="s">
        <v>489</v>
      </c>
      <c r="D11" s="49" t="s">
        <v>27</v>
      </c>
      <c r="E11" s="49" t="s">
        <v>475</v>
      </c>
      <c r="F11" s="95">
        <v>62000</v>
      </c>
      <c r="G11" s="51">
        <f>F11/'Reporting Hebdo'!$E$3</f>
      </c>
      <c r="H11" s="49" t="s">
        <v>33</v>
      </c>
      <c r="I11" s="49" t="s">
        <v>490</v>
      </c>
      <c r="J11" s="51">
        <v>62000</v>
      </c>
      <c r="K11" s="51">
        <f>F11-J11</f>
      </c>
    </row>
    <row r="12" spans="1:11" x14ac:dyDescent="0.25">
      <c r="A12" s="49" t="s">
        <v>36</v>
      </c>
      <c r="B12" s="49" t="s">
        <v>473</v>
      </c>
      <c r="C12" s="49" t="s">
        <v>491</v>
      </c>
      <c r="D12" s="49" t="s">
        <v>27</v>
      </c>
      <c r="E12" s="49" t="s">
        <v>475</v>
      </c>
      <c r="F12" s="95">
        <v>1473216</v>
      </c>
      <c r="G12" s="51">
        <f>F12/'Reporting Hebdo'!$E$3</f>
      </c>
      <c r="H12" s="49" t="s">
        <v>36</v>
      </c>
      <c r="I12" s="49" t="s">
        <v>492</v>
      </c>
      <c r="J12" s="51">
        <v>1473216</v>
      </c>
      <c r="K12" s="51">
        <f>F12-J12</f>
      </c>
    </row>
    <row r="13" spans="1:11" x14ac:dyDescent="0.25">
      <c r="A13" s="49" t="s">
        <v>36</v>
      </c>
      <c r="B13" s="49" t="s">
        <v>493</v>
      </c>
      <c r="C13" s="49" t="s">
        <v>65</v>
      </c>
      <c r="D13" s="49" t="s">
        <v>494</v>
      </c>
      <c r="E13" s="49" t="s">
        <v>495</v>
      </c>
      <c r="F13" s="95">
        <v>1771977229</v>
      </c>
      <c r="G13" s="51">
        <f>F13/'Reporting Hebdo'!$E$3</f>
      </c>
      <c r="H13" s="49" t="s">
        <v>64</v>
      </c>
      <c r="I13" s="49" t="s">
        <v>496</v>
      </c>
      <c r="J13" s="51">
        <v>1771977229</v>
      </c>
      <c r="K13" s="51">
        <f>F13-J13</f>
      </c>
    </row>
    <row r="14" spans="1:11" x14ac:dyDescent="0.25">
      <c r="A14" s="49" t="s">
        <v>39</v>
      </c>
      <c r="B14" s="49" t="s">
        <v>497</v>
      </c>
      <c r="C14" s="49" t="s">
        <v>498</v>
      </c>
      <c r="D14" s="49" t="s">
        <v>27</v>
      </c>
      <c r="E14" s="49" t="s">
        <v>475</v>
      </c>
      <c r="F14" s="95">
        <v>897338</v>
      </c>
      <c r="G14" s="51">
        <f>F14/'Reporting Hebdo'!$E$3</f>
      </c>
      <c r="H14" s="49" t="s">
        <v>39</v>
      </c>
      <c r="I14" s="49" t="s">
        <v>499</v>
      </c>
      <c r="J14" s="51">
        <v>897338</v>
      </c>
      <c r="K14" s="51">
        <f>F14-J14</f>
      </c>
    </row>
    <row r="15" spans="1:11" x14ac:dyDescent="0.25">
      <c r="A15" s="49" t="s">
        <v>39</v>
      </c>
      <c r="B15" s="49" t="s">
        <v>500</v>
      </c>
      <c r="C15" s="49" t="s">
        <v>501</v>
      </c>
      <c r="D15" s="49" t="s">
        <v>27</v>
      </c>
      <c r="E15" s="49" t="s">
        <v>475</v>
      </c>
      <c r="F15" s="95">
        <v>5375161</v>
      </c>
      <c r="G15" s="51">
        <f>F15/'Reporting Hebdo'!$E$3</f>
      </c>
      <c r="H15" s="49" t="s">
        <v>39</v>
      </c>
      <c r="I15" s="49" t="s">
        <v>502</v>
      </c>
      <c r="J15" s="51">
        <v>5375161</v>
      </c>
      <c r="K15" s="51">
        <f>F15-J15</f>
      </c>
    </row>
    <row r="16" spans="1:11" x14ac:dyDescent="0.25">
      <c r="A16" s="49" t="s">
        <v>39</v>
      </c>
      <c r="B16" s="49" t="s">
        <v>500</v>
      </c>
      <c r="C16" s="49" t="s">
        <v>503</v>
      </c>
      <c r="D16" s="49" t="s">
        <v>43</v>
      </c>
      <c r="E16" s="49" t="s">
        <v>475</v>
      </c>
      <c r="F16" s="95">
        <v>22569647</v>
      </c>
      <c r="G16" s="51">
        <f>F16/'Reporting Hebdo'!$E$3</f>
      </c>
      <c r="H16" s="49" t="s">
        <v>39</v>
      </c>
      <c r="I16" s="49" t="s">
        <v>504</v>
      </c>
      <c r="J16" s="51">
        <v>22569647</v>
      </c>
      <c r="K16" s="51">
        <f>F16-J16</f>
      </c>
    </row>
    <row r="17" spans="1:11" x14ac:dyDescent="0.25">
      <c r="A17" s="49" t="s">
        <v>39</v>
      </c>
      <c r="B17" s="49" t="s">
        <v>500</v>
      </c>
      <c r="C17" s="49" t="s">
        <v>505</v>
      </c>
      <c r="D17" s="49" t="s">
        <v>43</v>
      </c>
      <c r="E17" s="49" t="s">
        <v>475</v>
      </c>
      <c r="F17" s="95">
        <v>227288</v>
      </c>
      <c r="G17" s="51">
        <f>F17/'Reporting Hebdo'!$E$3</f>
      </c>
      <c r="H17" s="49" t="s">
        <v>39</v>
      </c>
      <c r="I17" s="49" t="s">
        <v>506</v>
      </c>
      <c r="J17" s="51">
        <v>227288</v>
      </c>
      <c r="K17" s="51">
        <f>F17-J17</f>
      </c>
    </row>
    <row r="18" spans="1:11" x14ac:dyDescent="0.25">
      <c r="A18" s="49" t="s">
        <v>39</v>
      </c>
      <c r="B18" s="49" t="s">
        <v>480</v>
      </c>
      <c r="C18" s="49" t="s">
        <v>507</v>
      </c>
      <c r="D18" s="49" t="s">
        <v>27</v>
      </c>
      <c r="E18" s="49" t="s">
        <v>475</v>
      </c>
      <c r="F18" s="95">
        <v>62000</v>
      </c>
      <c r="G18" s="51">
        <f>F18/'Reporting Hebdo'!$E$3</f>
      </c>
      <c r="H18" s="49" t="s">
        <v>39</v>
      </c>
      <c r="I18" s="49" t="s">
        <v>508</v>
      </c>
      <c r="J18" s="51">
        <v>62000</v>
      </c>
      <c r="K18" s="51">
        <f>F18-J18</f>
      </c>
    </row>
    <row r="19" spans="1:11" x14ac:dyDescent="0.25">
      <c r="A19" s="49" t="s">
        <v>46</v>
      </c>
      <c r="B19" s="49" t="s">
        <v>473</v>
      </c>
      <c r="C19" s="49" t="s">
        <v>509</v>
      </c>
      <c r="D19" s="49" t="s">
        <v>27</v>
      </c>
      <c r="E19" s="49" t="s">
        <v>475</v>
      </c>
      <c r="F19" s="95">
        <v>35011732</v>
      </c>
      <c r="G19" s="51">
        <f>F19/'Reporting Hebdo'!$E$3</f>
      </c>
      <c r="H19" s="49" t="s">
        <v>46</v>
      </c>
      <c r="I19" s="49" t="s">
        <v>510</v>
      </c>
      <c r="J19" s="51">
        <v>35011732</v>
      </c>
      <c r="K19" s="51">
        <f>F19-J19</f>
      </c>
    </row>
    <row r="20" spans="1:11" x14ac:dyDescent="0.25">
      <c r="A20" s="49" t="s">
        <v>46</v>
      </c>
      <c r="B20" s="49" t="s">
        <v>480</v>
      </c>
      <c r="C20" s="49" t="s">
        <v>511</v>
      </c>
      <c r="D20" s="49" t="s">
        <v>27</v>
      </c>
      <c r="E20" s="49" t="s">
        <v>475</v>
      </c>
      <c r="F20" s="95">
        <v>62000</v>
      </c>
      <c r="G20" s="51">
        <f>F20/'Reporting Hebdo'!$E$3</f>
      </c>
      <c r="H20" s="49" t="s">
        <v>46</v>
      </c>
      <c r="I20" s="49" t="s">
        <v>512</v>
      </c>
      <c r="J20" s="51">
        <v>62000</v>
      </c>
      <c r="K20" s="51">
        <f>F20-J20</f>
      </c>
    </row>
    <row r="21" spans="1:11" x14ac:dyDescent="0.25">
      <c r="A21" s="49" t="s">
        <v>50</v>
      </c>
      <c r="B21" s="49" t="s">
        <v>473</v>
      </c>
      <c r="C21" s="49" t="s">
        <v>513</v>
      </c>
      <c r="D21" s="49" t="s">
        <v>27</v>
      </c>
      <c r="E21" s="49" t="s">
        <v>475</v>
      </c>
      <c r="F21" s="95">
        <v>-74342</v>
      </c>
      <c r="G21" s="51">
        <f>F21/'Reporting Hebdo'!$E$3</f>
      </c>
      <c r="H21" s="49" t="s">
        <v>50</v>
      </c>
      <c r="I21" s="49" t="s">
        <v>514</v>
      </c>
      <c r="J21" s="51">
        <v>-74342</v>
      </c>
      <c r="K21" s="51">
        <f>F21-J21</f>
      </c>
    </row>
    <row r="22" spans="1:11" x14ac:dyDescent="0.25">
      <c r="A22" s="49" t="s">
        <v>50</v>
      </c>
      <c r="B22" s="49" t="s">
        <v>480</v>
      </c>
      <c r="C22" s="49" t="s">
        <v>515</v>
      </c>
      <c r="D22" s="49" t="s">
        <v>27</v>
      </c>
      <c r="E22" s="49" t="s">
        <v>475</v>
      </c>
      <c r="F22" s="95">
        <v>62000</v>
      </c>
      <c r="G22" s="51">
        <f>F22/'Reporting Hebdo'!$E$3</f>
      </c>
      <c r="H22" s="49" t="s">
        <v>50</v>
      </c>
      <c r="I22" s="49" t="s">
        <v>516</v>
      </c>
      <c r="J22" s="51">
        <v>62000</v>
      </c>
      <c r="K22" s="51">
        <f>F22-J22</f>
      </c>
    </row>
    <row r="23" spans="1:11" x14ac:dyDescent="0.25">
      <c r="A23" s="49" t="s">
        <v>53</v>
      </c>
      <c r="B23" s="49" t="s">
        <v>473</v>
      </c>
      <c r="C23" s="49" t="s">
        <v>517</v>
      </c>
      <c r="D23" s="49" t="s">
        <v>27</v>
      </c>
      <c r="E23" s="49" t="s">
        <v>475</v>
      </c>
      <c r="F23" s="95">
        <v>11670561</v>
      </c>
      <c r="G23" s="51">
        <f>F23/'Reporting Hebdo'!$E$3</f>
      </c>
      <c r="H23" s="49" t="s">
        <v>53</v>
      </c>
      <c r="I23" s="49" t="s">
        <v>518</v>
      </c>
      <c r="J23" s="51">
        <v>11670561</v>
      </c>
      <c r="K23" s="51">
        <f>F23-J23</f>
      </c>
    </row>
    <row r="24" spans="1:11" x14ac:dyDescent="0.25">
      <c r="A24" s="49" t="s">
        <v>53</v>
      </c>
      <c r="B24" s="49" t="s">
        <v>480</v>
      </c>
      <c r="C24" s="49" t="s">
        <v>519</v>
      </c>
      <c r="D24" s="49" t="s">
        <v>27</v>
      </c>
      <c r="E24" s="49" t="s">
        <v>475</v>
      </c>
      <c r="F24" s="95">
        <v>36000</v>
      </c>
      <c r="G24" s="51">
        <f>F24/'Reporting Hebdo'!$E$3</f>
      </c>
      <c r="H24" s="49" t="s">
        <v>53</v>
      </c>
      <c r="I24" s="49" t="s">
        <v>520</v>
      </c>
      <c r="J24" s="51">
        <v>36000</v>
      </c>
      <c r="K24" s="51">
        <f>F24-J24</f>
      </c>
    </row>
    <row r="25" spans="1:11" x14ac:dyDescent="0.25">
      <c r="A25" s="49" t="s">
        <v>53</v>
      </c>
      <c r="B25" s="49" t="s">
        <v>15</v>
      </c>
      <c r="C25" s="49" t="s">
        <v>521</v>
      </c>
      <c r="D25" s="49" t="s">
        <v>27</v>
      </c>
      <c r="E25" s="49" t="s">
        <v>475</v>
      </c>
      <c r="F25" s="95">
        <v>58000</v>
      </c>
      <c r="G25" s="51">
        <f>F25/'Reporting Hebdo'!$E$3</f>
      </c>
      <c r="H25" s="49" t="s">
        <v>53</v>
      </c>
      <c r="I25" s="49" t="s">
        <v>522</v>
      </c>
      <c r="J25" s="51">
        <v>58000</v>
      </c>
      <c r="K25" s="51">
        <f>F25-J25</f>
      </c>
    </row>
    <row r="26" spans="1:11" x14ac:dyDescent="0.25">
      <c r="A26" s="49" t="s">
        <v>57</v>
      </c>
      <c r="B26" s="49" t="s">
        <v>148</v>
      </c>
      <c r="C26" s="49" t="s">
        <v>523</v>
      </c>
      <c r="D26" s="49" t="s">
        <v>27</v>
      </c>
      <c r="E26" s="49" t="s">
        <v>475</v>
      </c>
      <c r="F26" s="95">
        <v>2751880</v>
      </c>
      <c r="G26" s="51">
        <f>F26/'Reporting Hebdo'!$E$3</f>
      </c>
      <c r="H26" s="49" t="s">
        <v>57</v>
      </c>
      <c r="I26" s="49" t="s">
        <v>524</v>
      </c>
      <c r="J26" s="51">
        <v>2751880</v>
      </c>
      <c r="K26" s="51">
        <f>F26-J26</f>
      </c>
    </row>
    <row r="27" spans="1:11" x14ac:dyDescent="0.25">
      <c r="A27" s="49" t="s">
        <v>59</v>
      </c>
      <c r="B27" s="49" t="s">
        <v>473</v>
      </c>
      <c r="C27" s="49" t="s">
        <v>525</v>
      </c>
      <c r="D27" s="49" t="s">
        <v>27</v>
      </c>
      <c r="E27" s="49" t="s">
        <v>475</v>
      </c>
      <c r="F27" s="95">
        <v>6062002</v>
      </c>
      <c r="G27" s="51">
        <f>F27/'Reporting Hebdo'!$E$3</f>
      </c>
      <c r="H27" s="49" t="s">
        <v>59</v>
      </c>
      <c r="I27" s="49" t="s">
        <v>526</v>
      </c>
      <c r="J27" s="51">
        <v>6062002</v>
      </c>
      <c r="K27" s="51">
        <f>F27-J27</f>
      </c>
    </row>
    <row r="28" spans="1:11" x14ac:dyDescent="0.25">
      <c r="A28" s="49" t="s">
        <v>36</v>
      </c>
      <c r="B28" s="49" t="s">
        <v>493</v>
      </c>
      <c r="C28" s="49" t="s">
        <v>68</v>
      </c>
      <c r="D28" s="49" t="s">
        <v>527</v>
      </c>
      <c r="E28" s="49" t="s">
        <v>495</v>
      </c>
      <c r="F28" s="95">
        <v>2643139493</v>
      </c>
      <c r="G28" s="51">
        <f>F28/'Reporting Hebdo'!$E$3</f>
      </c>
      <c r="H28" s="49" t="s">
        <v>67</v>
      </c>
      <c r="I28" s="49" t="s">
        <v>528</v>
      </c>
      <c r="J28" s="51">
        <v>2643139493</v>
      </c>
      <c r="K28" s="51">
        <f>F28-J28</f>
      </c>
    </row>
    <row r="29" spans="1:11" x14ac:dyDescent="0.25">
      <c r="A29" s="49" t="s">
        <v>33</v>
      </c>
      <c r="B29" s="49" t="s">
        <v>493</v>
      </c>
      <c r="C29" s="49" t="s">
        <v>71</v>
      </c>
      <c r="D29" s="49" t="s">
        <v>527</v>
      </c>
      <c r="E29" s="49" t="s">
        <v>495</v>
      </c>
      <c r="F29" s="95">
        <v>1481904490</v>
      </c>
      <c r="G29" s="51">
        <f>F29/'Reporting Hebdo'!$E$3</f>
      </c>
      <c r="H29" s="49" t="s">
        <v>70</v>
      </c>
      <c r="I29" s="49" t="s">
        <v>529</v>
      </c>
      <c r="J29" s="51">
        <v>1481904490</v>
      </c>
      <c r="K29" s="51">
        <f>F29-J29</f>
      </c>
    </row>
    <row r="30" spans="1:11" x14ac:dyDescent="0.25">
      <c r="A30" s="49" t="s">
        <v>39</v>
      </c>
      <c r="B30" s="49" t="s">
        <v>15</v>
      </c>
      <c r="C30" s="49" t="s">
        <v>73</v>
      </c>
      <c r="D30" s="49" t="s">
        <v>79</v>
      </c>
      <c r="E30" s="49" t="s">
        <v>495</v>
      </c>
      <c r="F30" s="95">
        <v>76268390</v>
      </c>
      <c r="G30" s="51">
        <f>F30/'Reporting Hebdo'!$E$3</f>
      </c>
      <c r="H30" s="49" t="s">
        <v>72</v>
      </c>
      <c r="I30" s="49" t="s">
        <v>530</v>
      </c>
      <c r="J30" s="51">
        <v>76268390</v>
      </c>
      <c r="K30" s="51">
        <f>F30-J30</f>
      </c>
    </row>
    <row r="31" spans="1:7" x14ac:dyDescent="0.25">
      <c r="A31" s="104" t="s">
        <v>531</v>
      </c>
      <c r="F31" s="105">
        <f>SUM(F5:F30)</f>
      </c>
      <c r="G31" s="105">
        <f>SUM(G5:G30)</f>
      </c>
    </row>
    <row r="34" spans="1:1" x14ac:dyDescent="0.25">
      <c r="A34" s="2" t="s">
        <v>532</v>
      </c>
    </row>
    <row r="35" spans="1:10" x14ac:dyDescent="0.25">
      <c r="A35" s="98" t="s">
        <v>29</v>
      </c>
      <c r="B35" s="98" t="s">
        <v>477</v>
      </c>
      <c r="C35" s="98" t="s">
        <v>78</v>
      </c>
      <c r="D35" s="98" t="s">
        <v>79</v>
      </c>
      <c r="E35" s="98" t="s">
        <v>533</v>
      </c>
      <c r="F35" s="99">
        <v>350727089</v>
      </c>
      <c r="G35" s="99">
        <f>F35/'Reporting Hebdo'!$E$3</f>
      </c>
      <c r="H35" s="98" t="s">
        <v>15</v>
      </c>
      <c r="I35" s="98" t="s">
        <v>534</v>
      </c>
      <c r="J35" s="98">
        <v>350727089</v>
      </c>
    </row>
    <row r="36" spans="1:10" x14ac:dyDescent="0.25">
      <c r="A36" s="98" t="s">
        <v>29</v>
      </c>
      <c r="B36" s="98" t="s">
        <v>477</v>
      </c>
      <c r="C36" s="98" t="s">
        <v>80</v>
      </c>
      <c r="D36" s="98" t="s">
        <v>79</v>
      </c>
      <c r="E36" s="98" t="s">
        <v>533</v>
      </c>
      <c r="F36" s="99">
        <v>42500000</v>
      </c>
      <c r="G36" s="99">
        <f>F36/'Reporting Hebdo'!$E$3</f>
      </c>
      <c r="H36" s="98" t="s">
        <v>15</v>
      </c>
      <c r="I36" s="98" t="s">
        <v>535</v>
      </c>
      <c r="J36" s="98">
        <v>42500000</v>
      </c>
    </row>
    <row r="37" spans="1:10" x14ac:dyDescent="0.25">
      <c r="A37" s="98" t="s">
        <v>29</v>
      </c>
      <c r="B37" s="98" t="s">
        <v>477</v>
      </c>
      <c r="C37" s="98" t="s">
        <v>81</v>
      </c>
      <c r="D37" s="98" t="s">
        <v>79</v>
      </c>
      <c r="E37" s="98" t="s">
        <v>533</v>
      </c>
      <c r="F37" s="99">
        <v>26289357</v>
      </c>
      <c r="G37" s="99">
        <f>F37/'Reporting Hebdo'!$E$3</f>
      </c>
      <c r="H37" s="98" t="s">
        <v>15</v>
      </c>
      <c r="I37" s="98" t="s">
        <v>536</v>
      </c>
      <c r="J37" s="98">
        <v>26289357</v>
      </c>
    </row>
    <row r="38" spans="1:10" x14ac:dyDescent="0.25">
      <c r="A38" s="98" t="s">
        <v>36</v>
      </c>
      <c r="B38" s="98" t="s">
        <v>493</v>
      </c>
      <c r="C38" s="98" t="s">
        <v>82</v>
      </c>
      <c r="D38" s="98" t="s">
        <v>79</v>
      </c>
      <c r="E38" s="98" t="s">
        <v>533</v>
      </c>
      <c r="F38" s="99">
        <v>0</v>
      </c>
      <c r="G38" s="99">
        <f>F38/'Reporting Hebdo'!$E$3</f>
      </c>
      <c r="H38" s="98" t="s">
        <v>15</v>
      </c>
      <c r="I38" s="98" t="s">
        <v>537</v>
      </c>
      <c r="J38" s="98">
        <v>0</v>
      </c>
    </row>
    <row r="39" spans="1:10" x14ac:dyDescent="0.25">
      <c r="A39" s="98" t="s">
        <v>36</v>
      </c>
      <c r="B39" s="98" t="s">
        <v>493</v>
      </c>
      <c r="C39" s="98" t="s">
        <v>83</v>
      </c>
      <c r="D39" s="98" t="s">
        <v>79</v>
      </c>
      <c r="E39" s="98" t="s">
        <v>533</v>
      </c>
      <c r="F39" s="99">
        <v>776110097</v>
      </c>
      <c r="G39" s="99">
        <f>F39/'Reporting Hebdo'!$E$3</f>
      </c>
      <c r="H39" s="98" t="s">
        <v>15</v>
      </c>
      <c r="I39" s="98" t="s">
        <v>538</v>
      </c>
      <c r="J39" s="98">
        <v>776110097</v>
      </c>
    </row>
    <row r="40" spans="1:6" x14ac:dyDescent="0.25">
      <c r="A40" s="106" t="s">
        <v>539</v>
      </c>
      <c r="F40" s="107">
        <f>SUM(F35:F39)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/>
  </sheetViews>
  <sheetFormatPr defaultRowHeight="15" outlineLevelRow="0" outlineLevelCol="0" x14ac:dyDescent="55"/>
  <cols>
    <col min="1" max="1" width="70" customWidth="1"/>
    <col min="2" max="2" width="22" customWidth="1"/>
    <col min="3" max="3" width="18" customWidth="1"/>
    <col min="4" max="4" width="16" customWidth="1"/>
    <col min="5" max="5" width="60" customWidth="1"/>
  </cols>
  <sheetData>
    <row r="1" spans="1:1" x14ac:dyDescent="0.25">
      <c r="A1" s="1" t="s">
        <v>540</v>
      </c>
    </row>
    <row r="3" spans="1:1" x14ac:dyDescent="0.25">
      <c r="A3" s="2" t="s">
        <v>541</v>
      </c>
    </row>
    <row r="4" spans="1:5" x14ac:dyDescent="0.25">
      <c r="A4" s="93" t="s">
        <v>542</v>
      </c>
      <c r="B4" s="93" t="s">
        <v>543</v>
      </c>
      <c r="C4" s="93" t="s">
        <v>544</v>
      </c>
      <c r="D4" s="93" t="s">
        <v>545</v>
      </c>
      <c r="E4" s="93" t="s">
        <v>546</v>
      </c>
    </row>
    <row r="5" spans="1:5" x14ac:dyDescent="0.25">
      <c r="A5" s="49" t="s">
        <v>547</v>
      </c>
      <c r="B5" s="51">
        <f>'Reporting Hebdo'!M52</f>
      </c>
      <c r="C5" s="51">
        <f>'Position CI 30-09'!F31</f>
      </c>
      <c r="D5" s="51">
        <f>B5-C5</f>
      </c>
      <c r="E5" s="49" t="s">
        <v>548</v>
      </c>
    </row>
    <row r="7" spans="1:1" x14ac:dyDescent="0.25">
      <c r="A7" s="2" t="s">
        <v>549</v>
      </c>
    </row>
    <row r="8" spans="1:5" x14ac:dyDescent="0.25">
      <c r="A8" s="93" t="s">
        <v>97</v>
      </c>
      <c r="B8" s="93" t="s">
        <v>550</v>
      </c>
      <c r="C8" s="93" t="s">
        <v>551</v>
      </c>
      <c r="D8" s="93" t="s">
        <v>545</v>
      </c>
      <c r="E8" s="93" t="s">
        <v>546</v>
      </c>
    </row>
    <row r="9" spans="1:5" x14ac:dyDescent="0.25">
      <c r="A9" s="49" t="s">
        <v>22</v>
      </c>
      <c r="B9" s="108">
        <v>296.577239</v>
      </c>
      <c r="C9" s="108">
        <v>296.577239</v>
      </c>
      <c r="D9" s="108">
        <f>B9-C9</f>
      </c>
      <c r="E9" s="49" t="s">
        <v>552</v>
      </c>
    </row>
    <row r="10" spans="1:5" x14ac:dyDescent="0.25">
      <c r="A10" s="49" t="s">
        <v>29</v>
      </c>
      <c r="B10" s="108">
        <v>540.96835821294</v>
      </c>
      <c r="C10" s="108">
        <v>540.96835821294</v>
      </c>
      <c r="D10" s="108">
        <f>B10-C10</f>
      </c>
      <c r="E10" s="49" t="s">
        <v>552</v>
      </c>
    </row>
    <row r="11" spans="1:5" x14ac:dyDescent="0.25">
      <c r="A11" s="49" t="s">
        <v>33</v>
      </c>
      <c r="B11" s="108">
        <v>264.633898</v>
      </c>
      <c r="C11" s="108">
        <v>264.633898</v>
      </c>
      <c r="D11" s="108">
        <f>B11-C11</f>
      </c>
      <c r="E11" s="49" t="s">
        <v>552</v>
      </c>
    </row>
    <row r="12" spans="1:5" x14ac:dyDescent="0.25">
      <c r="A12" s="49" t="s">
        <v>36</v>
      </c>
      <c r="B12" s="108">
        <v>88.788492</v>
      </c>
      <c r="C12" s="108">
        <v>88.788492</v>
      </c>
      <c r="D12" s="108">
        <f>B12-C12</f>
      </c>
      <c r="E12" s="49" t="s">
        <v>552</v>
      </c>
    </row>
    <row r="13" spans="1:5" x14ac:dyDescent="0.25">
      <c r="A13" s="49" t="s">
        <v>61</v>
      </c>
      <c r="B13" s="108">
        <v>50.022534</v>
      </c>
      <c r="C13" s="108">
        <v>50.022534</v>
      </c>
      <c r="D13" s="108">
        <f>B13-C13</f>
      </c>
      <c r="E13" s="49" t="s">
        <v>552</v>
      </c>
    </row>
    <row r="14" spans="1:5" x14ac:dyDescent="0.25">
      <c r="A14" s="49" t="s">
        <v>53</v>
      </c>
      <c r="B14" s="108">
        <v>77.778338</v>
      </c>
      <c r="C14" s="108">
        <v>77.778338</v>
      </c>
      <c r="D14" s="108">
        <f>B14-C14</f>
      </c>
      <c r="E14" s="49" t="s">
        <v>552</v>
      </c>
    </row>
    <row r="15" spans="1:5" x14ac:dyDescent="0.25">
      <c r="A15" s="49" t="s">
        <v>46</v>
      </c>
      <c r="B15" s="108">
        <v>233.763463</v>
      </c>
      <c r="C15" s="108">
        <v>233.763463</v>
      </c>
      <c r="D15" s="108">
        <f>B15-C15</f>
      </c>
      <c r="E15" s="49" t="s">
        <v>552</v>
      </c>
    </row>
    <row r="16" spans="1:5" x14ac:dyDescent="0.25">
      <c r="A16" s="49" t="s">
        <v>59</v>
      </c>
      <c r="B16" s="108">
        <v>9.5751</v>
      </c>
      <c r="C16" s="108">
        <v>9.5751</v>
      </c>
      <c r="D16" s="108">
        <f>B16-C16</f>
      </c>
      <c r="E16" s="49" t="s">
        <v>552</v>
      </c>
    </row>
    <row r="17" spans="1:5" x14ac:dyDescent="0.25">
      <c r="A17" s="49" t="s">
        <v>50</v>
      </c>
      <c r="B17" s="108">
        <v>6.289</v>
      </c>
      <c r="C17" s="108">
        <v>6.289</v>
      </c>
      <c r="D17" s="108">
        <f>B17-C17</f>
      </c>
      <c r="E17" s="49" t="s">
        <v>552</v>
      </c>
    </row>
    <row r="19" spans="1:1" x14ac:dyDescent="0.25">
      <c r="A19" s="2" t="s">
        <v>553</v>
      </c>
    </row>
    <row r="20" spans="1:5" x14ac:dyDescent="0.25">
      <c r="A20" s="93" t="s">
        <v>554</v>
      </c>
      <c r="B20" s="93" t="s">
        <v>543</v>
      </c>
      <c r="C20" s="93" t="s">
        <v>555</v>
      </c>
      <c r="D20" s="93" t="s">
        <v>545</v>
      </c>
      <c r="E20" s="93" t="s">
        <v>470</v>
      </c>
    </row>
    <row r="21" spans="1:5" x14ac:dyDescent="0.25">
      <c r="A21" s="49" t="s">
        <v>556</v>
      </c>
      <c r="B21" s="51">
        <f>-SUMIFS('Détail projets &amp; dettes'!$H$5:$H$500,'Détail projets &amp; dettes'!$C$5:$C$500,"RIVIERA",'Détail projets &amp; dettes'!$J$5:$J$500,"O",'Détail projets &amp; dettes'!$A$5:$A$500,"S*")</f>
      </c>
      <c r="C21" s="51">
        <v>4946194.15</v>
      </c>
      <c r="D21" s="51">
        <f>B21-C21</f>
      </c>
      <c r="E21" s="49" t="s">
        <v>557</v>
      </c>
    </row>
    <row r="22" spans="1:5" x14ac:dyDescent="0.25">
      <c r="A22" s="49" t="s">
        <v>558</v>
      </c>
      <c r="B22" s="51">
        <f>-SUMIFS('Détail projets &amp; dettes'!$H$5:$H$500,'Détail projets &amp; dettes'!$C$5:$C$500,"TERASSON",'Détail projets &amp; dettes'!$J$5:$J$500,"O",'Détail projets &amp; dettes'!$A$5:$A$500,"S*")</f>
      </c>
      <c r="C22" s="51">
        <v>4097563.74</v>
      </c>
      <c r="D22" s="51">
        <f>B22-C22</f>
      </c>
      <c r="E22" s="49" t="s">
        <v>559</v>
      </c>
    </row>
    <row r="24" spans="1:1" x14ac:dyDescent="0.25">
      <c r="A24" s="2" t="s">
        <v>560</v>
      </c>
    </row>
    <row r="25" spans="1:5" x14ac:dyDescent="0.25">
      <c r="A25" s="93" t="s">
        <v>561</v>
      </c>
      <c r="B25" s="93" t="s">
        <v>172</v>
      </c>
      <c r="C25" s="93" t="s">
        <v>562</v>
      </c>
      <c r="D25" s="93" t="s">
        <v>15</v>
      </c>
      <c r="E25" s="93" t="s">
        <v>563</v>
      </c>
    </row>
    <row r="26" spans="1:5" x14ac:dyDescent="0.25">
      <c r="A26" s="49" t="s">
        <v>564</v>
      </c>
      <c r="B26" s="51">
        <v>-13254203304</v>
      </c>
      <c r="C26" s="109">
        <v>17</v>
      </c>
      <c r="D26" s="49" t="s">
        <v>15</v>
      </c>
      <c r="E26" s="49" t="s">
        <v>565</v>
      </c>
    </row>
    <row r="27" spans="1:5" x14ac:dyDescent="0.25">
      <c r="A27" s="49" t="s">
        <v>566</v>
      </c>
      <c r="B27" s="51">
        <v>-1715342550</v>
      </c>
      <c r="C27" s="109">
        <v>5</v>
      </c>
      <c r="D27" s="49" t="s">
        <v>15</v>
      </c>
      <c r="E27" s="49" t="s">
        <v>565</v>
      </c>
    </row>
    <row r="28" spans="1:5" x14ac:dyDescent="0.25">
      <c r="A28" s="49" t="s">
        <v>567</v>
      </c>
      <c r="B28" s="51">
        <v>6113285</v>
      </c>
      <c r="C28" s="109">
        <v>1</v>
      </c>
      <c r="D28" s="49" t="s">
        <v>15</v>
      </c>
      <c r="E28" s="49" t="s">
        <v>565</v>
      </c>
    </row>
    <row r="29" spans="1:5" x14ac:dyDescent="0.25">
      <c r="A29" s="49" t="s">
        <v>568</v>
      </c>
      <c r="B29" s="51">
        <v>-220402934</v>
      </c>
      <c r="C29" s="109">
        <v>2</v>
      </c>
      <c r="D29" s="49" t="s">
        <v>15</v>
      </c>
      <c r="E29" s="49" t="s">
        <v>569</v>
      </c>
    </row>
    <row r="31" spans="1:1" x14ac:dyDescent="0.25">
      <c r="A31" s="2" t="s">
        <v>570</v>
      </c>
    </row>
    <row r="32" spans="1:1" x14ac:dyDescent="0.25">
      <c r="A32" s="89" t="s">
        <v>571</v>
      </c>
    </row>
    <row r="33" spans="1:1" x14ac:dyDescent="0.25">
      <c r="A33" s="89" t="s">
        <v>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14" customWidth="1"/>
    <col min="4" max="4" width="12" customWidth="1"/>
    <col min="5" max="9" width="14" customWidth="1"/>
    <col min="10" max="10" width="70" customWidth="1"/>
  </cols>
  <sheetData>
    <row r="1" spans="1:1" x14ac:dyDescent="0.25">
      <c r="A1" s="1" t="s">
        <v>573</v>
      </c>
    </row>
    <row r="3" spans="1:1" x14ac:dyDescent="0.25">
      <c r="A3" s="2" t="s">
        <v>574</v>
      </c>
    </row>
    <row r="4" spans="1:10" x14ac:dyDescent="0.25">
      <c r="A4" s="93" t="s">
        <v>97</v>
      </c>
      <c r="B4" s="93" t="s">
        <v>575</v>
      </c>
      <c r="C4" s="93" t="s">
        <v>576</v>
      </c>
      <c r="D4" s="93" t="s">
        <v>545</v>
      </c>
      <c r="E4" s="93" t="s">
        <v>577</v>
      </c>
      <c r="F4" s="93" t="s">
        <v>578</v>
      </c>
      <c r="G4" s="93" t="s">
        <v>579</v>
      </c>
      <c r="H4" s="93" t="s">
        <v>580</v>
      </c>
      <c r="I4" s="93" t="s">
        <v>581</v>
      </c>
      <c r="J4" s="93" t="s">
        <v>582</v>
      </c>
    </row>
    <row r="5" spans="1:10" x14ac:dyDescent="0.25">
      <c r="A5" s="49" t="s">
        <v>22</v>
      </c>
      <c r="B5" s="110">
        <v>296.57723899999996</v>
      </c>
      <c r="C5" s="110">
        <v>296.57723899999996</v>
      </c>
      <c r="D5" s="110">
        <v>0</v>
      </c>
      <c r="E5" s="110">
        <v>396.566951</v>
      </c>
      <c r="F5" s="110">
        <v>-308.098609</v>
      </c>
      <c r="G5" s="110">
        <v>99.98971200000005</v>
      </c>
      <c r="H5" s="110">
        <v>-604.675848</v>
      </c>
      <c r="I5" s="110">
        <v>-704.66556</v>
      </c>
      <c r="J5" s="111" t="s">
        <v>583</v>
      </c>
    </row>
    <row r="6" spans="1:10" x14ac:dyDescent="0.25">
      <c r="A6" s="49" t="s">
        <v>29</v>
      </c>
      <c r="B6" s="110">
        <v>540.96835821294</v>
      </c>
      <c r="C6" s="110">
        <v>540.96835821294</v>
      </c>
      <c r="D6" s="110">
        <v>0</v>
      </c>
      <c r="E6" s="110">
        <v>236.123654</v>
      </c>
      <c r="F6" s="110">
        <v>236.123654</v>
      </c>
      <c r="G6" s="110">
        <v>-175.27643898293996</v>
      </c>
      <c r="H6" s="110">
        <v>-175.27643898294002</v>
      </c>
      <c r="I6" s="110">
        <v>-5.684341886080802e-14</v>
      </c>
      <c r="J6" s="111" t="s">
        <v>584</v>
      </c>
    </row>
    <row r="7" spans="1:10" x14ac:dyDescent="0.25">
      <c r="A7" s="49" t="s">
        <v>33</v>
      </c>
      <c r="B7" s="110">
        <v>264.633898</v>
      </c>
      <c r="C7" s="110">
        <v>264.633898</v>
      </c>
      <c r="D7" s="110">
        <v>0</v>
      </c>
      <c r="E7" s="110">
        <v>58.255022</v>
      </c>
      <c r="F7" s="110">
        <v>58.255022</v>
      </c>
      <c r="G7" s="110">
        <v>-206.378876</v>
      </c>
      <c r="H7" s="110">
        <v>-206.378876</v>
      </c>
      <c r="I7" s="110">
        <v>0</v>
      </c>
      <c r="J7" s="111" t="s">
        <v>584</v>
      </c>
    </row>
    <row r="8" spans="1:10" x14ac:dyDescent="0.25">
      <c r="A8" s="49" t="s">
        <v>36</v>
      </c>
      <c r="B8" s="110">
        <v>88.788492</v>
      </c>
      <c r="C8" s="110">
        <v>88.788492</v>
      </c>
      <c r="D8" s="110">
        <v>0</v>
      </c>
      <c r="E8" s="110">
        <v>1.473216</v>
      </c>
      <c r="F8" s="110">
        <v>1.473216</v>
      </c>
      <c r="G8" s="110">
        <v>-87.31527600000001</v>
      </c>
      <c r="H8" s="110">
        <v>-87.315276</v>
      </c>
      <c r="I8" s="110">
        <v>1.4210854715202004e-14</v>
      </c>
      <c r="J8" s="111" t="s">
        <v>584</v>
      </c>
    </row>
    <row r="9" spans="1:10" x14ac:dyDescent="0.25">
      <c r="A9" s="49" t="s">
        <v>39</v>
      </c>
      <c r="B9" s="110"/>
      <c r="C9" s="110">
        <v>178.0456286</v>
      </c>
      <c r="D9" s="110">
        <v>178.0456286</v>
      </c>
      <c r="E9" s="110"/>
      <c r="F9" s="110">
        <v>29.131434</v>
      </c>
      <c r="G9" s="110"/>
      <c r="H9" s="110">
        <v>-29.545979600000003</v>
      </c>
      <c r="I9" s="110">
        <v>-29.545979600000003</v>
      </c>
      <c r="J9" s="111" t="s">
        <v>585</v>
      </c>
    </row>
    <row r="10" spans="1:10" x14ac:dyDescent="0.25">
      <c r="A10" s="49" t="s">
        <v>46</v>
      </c>
      <c r="B10" s="110">
        <v>233.76346300000003</v>
      </c>
      <c r="C10" s="110">
        <v>233.763463</v>
      </c>
      <c r="D10" s="110">
        <v>-2.842170943040401e-14</v>
      </c>
      <c r="E10" s="110">
        <v>35.073732</v>
      </c>
      <c r="F10" s="110">
        <v>35.073732</v>
      </c>
      <c r="G10" s="110">
        <v>-198.68973100000002</v>
      </c>
      <c r="H10" s="110">
        <v>-198.689731</v>
      </c>
      <c r="I10" s="110">
        <v>2.842170943040401e-14</v>
      </c>
      <c r="J10" s="111" t="s">
        <v>584</v>
      </c>
    </row>
    <row r="11" spans="1:10" x14ac:dyDescent="0.25">
      <c r="A11" s="49" t="s">
        <v>50</v>
      </c>
      <c r="B11" s="110">
        <v>6.289</v>
      </c>
      <c r="C11" s="110">
        <v>6.289</v>
      </c>
      <c r="D11" s="110">
        <v>0</v>
      </c>
      <c r="E11" s="110">
        <v>-0.012342</v>
      </c>
      <c r="F11" s="110">
        <v>-0.012342</v>
      </c>
      <c r="G11" s="110">
        <v>-6.301342</v>
      </c>
      <c r="H11" s="110">
        <v>-6.301342</v>
      </c>
      <c r="I11" s="110">
        <v>0</v>
      </c>
      <c r="J11" s="111" t="s">
        <v>584</v>
      </c>
    </row>
    <row r="12" spans="1:10" x14ac:dyDescent="0.25">
      <c r="A12" s="49" t="s">
        <v>53</v>
      </c>
      <c r="B12" s="110">
        <v>77.77833799999999</v>
      </c>
      <c r="C12" s="110">
        <v>77.77833799999999</v>
      </c>
      <c r="D12" s="110">
        <v>0</v>
      </c>
      <c r="E12" s="110">
        <v>11.764561</v>
      </c>
      <c r="F12" s="110">
        <v>11.764561</v>
      </c>
      <c r="G12" s="110">
        <v>-66.01377699999999</v>
      </c>
      <c r="H12" s="110">
        <v>-66.013777</v>
      </c>
      <c r="I12" s="110">
        <v>-1.4210854715202004e-14</v>
      </c>
      <c r="J12" s="111" t="s">
        <v>584</v>
      </c>
    </row>
    <row r="13" spans="1:10" x14ac:dyDescent="0.25">
      <c r="A13" s="49" t="s">
        <v>57</v>
      </c>
      <c r="B13" s="110"/>
      <c r="C13" s="110">
        <v>0</v>
      </c>
      <c r="D13" s="110">
        <v>0</v>
      </c>
      <c r="E13" s="110"/>
      <c r="F13" s="110">
        <v>2.75188</v>
      </c>
      <c r="G13" s="110"/>
      <c r="H13" s="110">
        <v>2.75188</v>
      </c>
      <c r="I13" s="110">
        <v>2.75188</v>
      </c>
      <c r="J13" s="111" t="s">
        <v>586</v>
      </c>
    </row>
    <row r="14" spans="1:10" x14ac:dyDescent="0.25">
      <c r="A14" s="49" t="s">
        <v>59</v>
      </c>
      <c r="B14" s="110">
        <v>9.575099999999999</v>
      </c>
      <c r="C14" s="110">
        <v>9.575099999999999</v>
      </c>
      <c r="D14" s="110">
        <v>0</v>
      </c>
      <c r="E14" s="110">
        <v>6.062002</v>
      </c>
      <c r="F14" s="110">
        <v>6.062002</v>
      </c>
      <c r="G14" s="110">
        <v>-3.5130979999999994</v>
      </c>
      <c r="H14" s="110">
        <v>-3.513098000000001</v>
      </c>
      <c r="I14" s="110">
        <v>-1.7763568394002505e-15</v>
      </c>
      <c r="J14" s="111" t="s">
        <v>584</v>
      </c>
    </row>
    <row r="15" spans="1:10" x14ac:dyDescent="0.25">
      <c r="A15" s="49" t="s">
        <v>61</v>
      </c>
      <c r="B15" s="110">
        <v>50.02253399999999</v>
      </c>
      <c r="C15" s="110">
        <v>50.02253399999999</v>
      </c>
      <c r="D15" s="110">
        <v>0</v>
      </c>
      <c r="E15" s="110">
        <v>0</v>
      </c>
      <c r="F15" s="110">
        <v>0</v>
      </c>
      <c r="G15" s="110">
        <v>-50.02253399999999</v>
      </c>
      <c r="H15" s="110">
        <v>-50.02253400000001</v>
      </c>
      <c r="I15" s="110">
        <v>-1.4210854715202004e-14</v>
      </c>
      <c r="J15" s="111" t="s">
        <v>584</v>
      </c>
    </row>
    <row r="16" spans="1:10" x14ac:dyDescent="0.25">
      <c r="A16" s="54" t="s">
        <v>163</v>
      </c>
      <c r="B16" s="112">
        <v>1568.3964222129398</v>
      </c>
      <c r="C16" s="112">
        <v>1746.44205081294</v>
      </c>
      <c r="D16" s="112">
        <v>178.04562859999996</v>
      </c>
      <c r="E16" s="112">
        <v>745.306796</v>
      </c>
      <c r="F16" s="112">
        <v>72.52454999999998</v>
      </c>
      <c r="G16" s="112">
        <v>-693.5213609829399</v>
      </c>
      <c r="H16" s="112">
        <v>-1424.98102058294</v>
      </c>
      <c r="I16" s="112">
        <v>-731.4596596000001</v>
      </c>
      <c r="J16" s="54" t="s">
        <v>15</v>
      </c>
    </row>
    <row r="18" spans="1:1" x14ac:dyDescent="0.25">
      <c r="A18" s="2" t="s">
        <v>587</v>
      </c>
    </row>
    <row r="19" spans="1:5" x14ac:dyDescent="0.25">
      <c r="A19" s="93" t="s">
        <v>588</v>
      </c>
      <c r="B19" s="93" t="s">
        <v>589</v>
      </c>
      <c r="C19" s="93" t="s">
        <v>543</v>
      </c>
      <c r="D19" s="93" t="s">
        <v>545</v>
      </c>
      <c r="E19" s="93" t="s">
        <v>582</v>
      </c>
    </row>
    <row r="20" spans="1:5" x14ac:dyDescent="0.25">
      <c r="A20" s="49" t="s">
        <v>590</v>
      </c>
      <c r="B20" s="110">
        <v>244.99626199999997</v>
      </c>
      <c r="C20" s="110">
        <v>244.99626199999997</v>
      </c>
      <c r="D20" s="110">
        <v>0</v>
      </c>
      <c r="E20" s="49" t="s">
        <v>591</v>
      </c>
    </row>
    <row r="21" spans="1:5" x14ac:dyDescent="0.25">
      <c r="A21" s="49" t="s">
        <v>592</v>
      </c>
      <c r="B21" s="110">
        <v>637.405803</v>
      </c>
      <c r="C21" s="110">
        <v>637.405803</v>
      </c>
      <c r="D21" s="110">
        <v>0</v>
      </c>
      <c r="E21" s="49" t="s">
        <v>591</v>
      </c>
    </row>
    <row r="22" spans="1:5" x14ac:dyDescent="0.25">
      <c r="A22" s="49" t="s">
        <v>593</v>
      </c>
      <c r="B22" s="110">
        <v>152.070689</v>
      </c>
      <c r="C22" s="110">
        <v>152.070689</v>
      </c>
      <c r="D22" s="110">
        <v>0</v>
      </c>
      <c r="E22" s="49" t="s">
        <v>591</v>
      </c>
    </row>
    <row r="23" spans="1:5" x14ac:dyDescent="0.25">
      <c r="A23" s="49" t="s">
        <v>302</v>
      </c>
      <c r="B23" s="110">
        <v>85.788691</v>
      </c>
      <c r="C23" s="110">
        <v>85.788691</v>
      </c>
      <c r="D23" s="110">
        <v>0</v>
      </c>
      <c r="E23" s="49" t="s">
        <v>591</v>
      </c>
    </row>
    <row r="24" spans="1:5" x14ac:dyDescent="0.25">
      <c r="A24" s="49" t="s">
        <v>594</v>
      </c>
      <c r="B24" s="110">
        <v>448.13497721294</v>
      </c>
      <c r="C24" s="110">
        <v>448.13497721294</v>
      </c>
      <c r="D24" s="110">
        <v>0</v>
      </c>
      <c r="E24" s="49" t="s">
        <v>591</v>
      </c>
    </row>
    <row r="25" spans="1:5" x14ac:dyDescent="0.25">
      <c r="A25" s="49" t="s">
        <v>595</v>
      </c>
      <c r="B25" s="110">
        <v>129.56826523</v>
      </c>
      <c r="C25" s="110">
        <v>129.56826522999998</v>
      </c>
      <c r="D25" s="110">
        <v>-2.842170943040401e-14</v>
      </c>
      <c r="E25" s="49" t="s">
        <v>591</v>
      </c>
    </row>
    <row r="26" spans="1:5" x14ac:dyDescent="0.25">
      <c r="A26" s="49" t="s">
        <v>596</v>
      </c>
      <c r="B26" s="110">
        <v>0</v>
      </c>
      <c r="C26" s="110">
        <v>178.0456286</v>
      </c>
      <c r="D26" s="110">
        <v>178.0456286</v>
      </c>
      <c r="E26" s="49" t="s">
        <v>597</v>
      </c>
    </row>
    <row r="28" spans="1:1" x14ac:dyDescent="0.25">
      <c r="A28" s="2" t="s">
        <v>598</v>
      </c>
    </row>
    <row r="29" spans="1:5" x14ac:dyDescent="0.25">
      <c r="A29" s="93" t="s">
        <v>599</v>
      </c>
      <c r="B29" s="93" t="s">
        <v>600</v>
      </c>
      <c r="C29" s="93" t="s">
        <v>601</v>
      </c>
      <c r="D29" s="93" t="s">
        <v>545</v>
      </c>
      <c r="E29" s="93" t="s">
        <v>582</v>
      </c>
    </row>
    <row r="30" spans="1:5" x14ac:dyDescent="0.25">
      <c r="A30" s="54" t="s">
        <v>36</v>
      </c>
      <c r="B30" s="112">
        <v>3699.5668106392864</v>
      </c>
      <c r="C30" s="112">
        <v>3699.566810639287</v>
      </c>
      <c r="D30" s="112">
        <v>4.547473508864641e-13</v>
      </c>
      <c r="E30" s="54" t="s">
        <v>602</v>
      </c>
    </row>
    <row r="31" spans="1:5" x14ac:dyDescent="0.25">
      <c r="A31" s="49" t="s">
        <v>603</v>
      </c>
      <c r="B31" s="110">
        <v>91.2699500964329</v>
      </c>
      <c r="C31" s="110">
        <v>91.2699500964329</v>
      </c>
      <c r="D31" s="110">
        <v>0</v>
      </c>
      <c r="E31" s="49" t="s">
        <v>604</v>
      </c>
    </row>
    <row r="32" spans="1:5" x14ac:dyDescent="0.25">
      <c r="A32" s="49" t="s">
        <v>605</v>
      </c>
      <c r="B32" s="110">
        <v>1976.5850833750312</v>
      </c>
      <c r="C32" s="110">
        <v>1976.5850833750312</v>
      </c>
      <c r="D32" s="110">
        <v>0</v>
      </c>
      <c r="E32" s="49" t="s">
        <v>606</v>
      </c>
    </row>
    <row r="33" spans="1:5" x14ac:dyDescent="0.25">
      <c r="A33" s="49" t="s">
        <v>607</v>
      </c>
      <c r="B33" s="110">
        <v>1267.9055957833798</v>
      </c>
      <c r="C33" s="110">
        <v>1267.90559578338</v>
      </c>
      <c r="D33" s="110">
        <v>2.2737367544323206e-13</v>
      </c>
      <c r="E33" s="49" t="s">
        <v>606</v>
      </c>
    </row>
    <row r="34" spans="1:5" x14ac:dyDescent="0.25">
      <c r="A34" s="49" t="s">
        <v>608</v>
      </c>
      <c r="B34" s="110">
        <v>455.07613148087546</v>
      </c>
      <c r="C34" s="110">
        <v>455.07613148087535</v>
      </c>
      <c r="D34" s="110">
        <v>-1.1368683772161603e-13</v>
      </c>
      <c r="E34" s="49" t="s">
        <v>606</v>
      </c>
    </row>
    <row r="35" spans="1:5" x14ac:dyDescent="0.25">
      <c r="A35" s="49" t="s">
        <v>609</v>
      </c>
      <c r="B35" s="110">
        <v>2643.139493</v>
      </c>
      <c r="C35" s="110">
        <v>2643.139493</v>
      </c>
      <c r="D35" s="110">
        <v>0</v>
      </c>
      <c r="E35" s="49" t="s">
        <v>606</v>
      </c>
    </row>
    <row r="36" spans="1:5" x14ac:dyDescent="0.25">
      <c r="A36" s="54" t="s">
        <v>33</v>
      </c>
      <c r="B36" s="112">
        <v>3926.313997203903</v>
      </c>
      <c r="C36" s="112">
        <v>3221.648437203903</v>
      </c>
      <c r="D36" s="112">
        <v>-704.6655599999999</v>
      </c>
      <c r="E36" s="54" t="s">
        <v>602</v>
      </c>
    </row>
    <row r="37" spans="1:5" x14ac:dyDescent="0.25">
      <c r="A37" s="49" t="s">
        <v>610</v>
      </c>
      <c r="B37" s="110">
        <v>116.22847414168119</v>
      </c>
      <c r="C37" s="110">
        <v>116.2284741416812</v>
      </c>
      <c r="D37" s="110">
        <v>1.4210854715202004e-14</v>
      </c>
      <c r="E37" s="49" t="s">
        <v>604</v>
      </c>
    </row>
    <row r="38" spans="1:5" x14ac:dyDescent="0.25">
      <c r="A38" s="49" t="s">
        <v>605</v>
      </c>
      <c r="B38" s="110">
        <v>2197.7624460785723</v>
      </c>
      <c r="C38" s="110">
        <v>2197.7624460785723</v>
      </c>
      <c r="D38" s="110">
        <v>0</v>
      </c>
      <c r="E38" s="49" t="s">
        <v>606</v>
      </c>
    </row>
    <row r="39" spans="1:5" x14ac:dyDescent="0.25">
      <c r="A39" s="49" t="s">
        <v>607</v>
      </c>
      <c r="B39" s="110">
        <v>490.0631747136942</v>
      </c>
      <c r="C39" s="110">
        <v>490.0631747136942</v>
      </c>
      <c r="D39" s="110">
        <v>0</v>
      </c>
      <c r="E39" s="49" t="s">
        <v>606</v>
      </c>
    </row>
    <row r="40" spans="1:5" x14ac:dyDescent="0.25">
      <c r="A40" s="49" t="s">
        <v>608</v>
      </c>
      <c r="B40" s="110">
        <v>1238.4883764116369</v>
      </c>
      <c r="C40" s="110">
        <v>1238.4883764116366</v>
      </c>
      <c r="D40" s="110">
        <v>-2.2737367544323206e-13</v>
      </c>
      <c r="E40" s="49" t="s">
        <v>606</v>
      </c>
    </row>
    <row r="41" spans="1:5" x14ac:dyDescent="0.25">
      <c r="A41" s="49" t="s">
        <v>609</v>
      </c>
      <c r="B41" s="110">
        <v>1481.90449</v>
      </c>
      <c r="C41" s="110">
        <v>1481.90449</v>
      </c>
      <c r="D41" s="110">
        <v>0</v>
      </c>
      <c r="E41" s="49" t="s">
        <v>606</v>
      </c>
    </row>
    <row r="43" spans="1:1" x14ac:dyDescent="0.25">
      <c r="A43" s="2" t="s">
        <v>611</v>
      </c>
    </row>
    <row r="44" ht="30" customHeight="1" spans="1:10" x14ac:dyDescent="0.25">
      <c r="A44" s="113" t="s">
        <v>612</v>
      </c>
      <c r="B44" s="113"/>
      <c r="C44" s="113"/>
      <c r="D44" s="113"/>
      <c r="E44" s="113"/>
      <c r="F44" s="113"/>
      <c r="G44" s="113"/>
      <c r="H44" s="113"/>
      <c r="I44" s="113"/>
      <c r="J44" s="113"/>
    </row>
    <row r="45" ht="30" customHeight="1" spans="1:10" x14ac:dyDescent="0.25">
      <c r="A45" s="113" t="s">
        <v>613</v>
      </c>
      <c r="B45" s="113"/>
      <c r="C45" s="113"/>
      <c r="D45" s="113"/>
      <c r="E45" s="113"/>
      <c r="F45" s="113"/>
      <c r="G45" s="113"/>
      <c r="H45" s="113"/>
      <c r="I45" s="113"/>
      <c r="J45" s="113"/>
    </row>
    <row r="46" ht="30" customHeight="1" spans="1:10" x14ac:dyDescent="0.25">
      <c r="A46" s="113" t="s">
        <v>614</v>
      </c>
      <c r="B46" s="113"/>
      <c r="C46" s="113"/>
      <c r="D46" s="113"/>
      <c r="E46" s="113"/>
      <c r="F46" s="113"/>
      <c r="G46" s="113"/>
      <c r="H46" s="113"/>
      <c r="I46" s="113"/>
      <c r="J46" s="113"/>
    </row>
    <row r="47" ht="30" customHeight="1" spans="1:10" x14ac:dyDescent="0.25">
      <c r="A47" s="113" t="s">
        <v>615</v>
      </c>
      <c r="B47" s="113"/>
      <c r="C47" s="113"/>
      <c r="D47" s="113"/>
      <c r="E47" s="113"/>
      <c r="F47" s="113"/>
      <c r="G47" s="113"/>
      <c r="H47" s="113"/>
      <c r="I47" s="113"/>
      <c r="J47" s="113"/>
    </row>
    <row r="48" ht="30" customHeight="1" spans="1:10" x14ac:dyDescent="0.25">
      <c r="A48" s="113" t="s">
        <v>616</v>
      </c>
      <c r="B48" s="113"/>
      <c r="C48" s="113"/>
      <c r="D48" s="113"/>
      <c r="E48" s="113"/>
      <c r="F48" s="113"/>
      <c r="G48" s="113"/>
      <c r="H48" s="113"/>
      <c r="I48" s="113"/>
      <c r="J48" s="113"/>
    </row>
    <row r="49" ht="30" customHeight="1" spans="1:10" x14ac:dyDescent="0.25">
      <c r="A49" s="113" t="s">
        <v>617</v>
      </c>
      <c r="B49" s="113"/>
      <c r="C49" s="113"/>
      <c r="D49" s="113"/>
      <c r="E49" s="113"/>
      <c r="F49" s="113"/>
      <c r="G49" s="113"/>
      <c r="H49" s="113"/>
      <c r="I49" s="113"/>
      <c r="J49" s="113"/>
    </row>
    <row r="50" ht="30" customHeight="1" spans="1:10" x14ac:dyDescent="0.25">
      <c r="A50" s="113" t="s">
        <v>618</v>
      </c>
      <c r="B50" s="113"/>
      <c r="C50" s="113"/>
      <c r="D50" s="113"/>
      <c r="E50" s="113"/>
      <c r="F50" s="113"/>
      <c r="G50" s="113"/>
      <c r="H50" s="113"/>
      <c r="I50" s="113"/>
      <c r="J50" s="113"/>
    </row>
  </sheetData>
  <mergeCells count="7">
    <mergeCell ref="A44:J44"/>
    <mergeCell ref="A45:J45"/>
    <mergeCell ref="A46:J46"/>
    <mergeCell ref="A47:J47"/>
    <mergeCell ref="A48:J48"/>
    <mergeCell ref="A49:J49"/>
    <mergeCell ref="A50:J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" customWidth="1"/>
    <col min="3" max="3" width="20" customWidth="1"/>
    <col min="4" max="4" width="22" customWidth="1"/>
    <col min="5" max="5" width="18" customWidth="1"/>
    <col min="6" max="6" width="11" customWidth="1"/>
    <col min="7" max="7" width="16" customWidth="1"/>
    <col min="8" max="8" width="44" customWidth="1"/>
    <col min="9" max="9" width="26" customWidth="1"/>
    <col min="10" max="10" width="16" customWidth="1"/>
    <col min="11" max="11" width="18" customWidth="1"/>
    <col min="12" max="12" width="10" customWidth="1"/>
  </cols>
  <sheetData>
    <row r="1" spans="1:1" x14ac:dyDescent="0.25">
      <c r="A1" s="1" t="s">
        <v>619</v>
      </c>
    </row>
    <row r="2" spans="1:1" x14ac:dyDescent="0.25">
      <c r="A2" s="74" t="s">
        <v>620</v>
      </c>
    </row>
    <row r="4" spans="1:12" x14ac:dyDescent="0.25">
      <c r="A4" s="93" t="s">
        <v>621</v>
      </c>
      <c r="B4" s="93" t="s">
        <v>622</v>
      </c>
      <c r="C4" s="93" t="s">
        <v>623</v>
      </c>
      <c r="D4" s="93" t="s">
        <v>624</v>
      </c>
      <c r="E4" s="93" t="s">
        <v>625</v>
      </c>
      <c r="F4" s="93" t="s">
        <v>97</v>
      </c>
      <c r="G4" s="93" t="s">
        <v>626</v>
      </c>
      <c r="H4" s="93" t="s">
        <v>627</v>
      </c>
      <c r="I4" s="93" t="s">
        <v>628</v>
      </c>
      <c r="J4" s="93" t="s">
        <v>629</v>
      </c>
      <c r="K4" s="93" t="s">
        <v>630</v>
      </c>
      <c r="L4" s="93" t="s">
        <v>631</v>
      </c>
    </row>
    <row r="5" spans="1:12" x14ac:dyDescent="0.25">
      <c r="A5" s="49" t="s">
        <v>632</v>
      </c>
      <c r="B5" s="49" t="s">
        <v>345</v>
      </c>
      <c r="C5" s="49" t="s">
        <v>481</v>
      </c>
      <c r="D5" s="49" t="s">
        <v>633</v>
      </c>
      <c r="E5" s="49" t="s">
        <v>634</v>
      </c>
      <c r="F5" s="49" t="s">
        <v>33</v>
      </c>
      <c r="G5" s="51">
        <v>19324742</v>
      </c>
      <c r="H5" s="49" t="s">
        <v>635</v>
      </c>
      <c r="I5" s="49" t="s">
        <v>636</v>
      </c>
      <c r="J5" s="51">
        <v>19324742</v>
      </c>
      <c r="K5" s="51">
        <v>0</v>
      </c>
      <c r="L5" s="49" t="s">
        <v>212</v>
      </c>
    </row>
    <row r="6" spans="1:12" x14ac:dyDescent="0.25">
      <c r="A6" s="49" t="s">
        <v>637</v>
      </c>
      <c r="B6" s="49" t="s">
        <v>345</v>
      </c>
      <c r="C6" s="49" t="s">
        <v>481</v>
      </c>
      <c r="D6" s="49" t="s">
        <v>633</v>
      </c>
      <c r="E6" s="49" t="s">
        <v>634</v>
      </c>
      <c r="F6" s="49" t="s">
        <v>33</v>
      </c>
      <c r="G6" s="51">
        <v>629862023</v>
      </c>
      <c r="H6" s="49" t="s">
        <v>635</v>
      </c>
      <c r="I6" s="49" t="s">
        <v>638</v>
      </c>
      <c r="J6" s="51">
        <v>629862023</v>
      </c>
      <c r="K6" s="51">
        <v>0</v>
      </c>
      <c r="L6" s="49" t="s">
        <v>212</v>
      </c>
    </row>
    <row r="7" spans="1:12" x14ac:dyDescent="0.25">
      <c r="A7" s="49" t="s">
        <v>639</v>
      </c>
      <c r="B7" s="49" t="s">
        <v>345</v>
      </c>
      <c r="C7" s="49" t="s">
        <v>481</v>
      </c>
      <c r="D7" s="49" t="s">
        <v>633</v>
      </c>
      <c r="E7" s="49" t="s">
        <v>634</v>
      </c>
      <c r="F7" s="49" t="s">
        <v>33</v>
      </c>
      <c r="G7" s="51">
        <v>52769692</v>
      </c>
      <c r="H7" s="49" t="s">
        <v>635</v>
      </c>
      <c r="I7" s="49" t="s">
        <v>640</v>
      </c>
      <c r="J7" s="51">
        <v>52769692</v>
      </c>
      <c r="K7" s="51">
        <v>0</v>
      </c>
      <c r="L7" s="49" t="s">
        <v>212</v>
      </c>
    </row>
    <row r="8" spans="1:12" x14ac:dyDescent="0.25">
      <c r="A8" s="49" t="s">
        <v>641</v>
      </c>
      <c r="B8" s="49" t="s">
        <v>345</v>
      </c>
      <c r="C8" s="49" t="s">
        <v>481</v>
      </c>
      <c r="D8" s="49" t="s">
        <v>642</v>
      </c>
      <c r="E8" s="49" t="s">
        <v>634</v>
      </c>
      <c r="F8" s="49" t="s">
        <v>33</v>
      </c>
      <c r="G8" s="51">
        <v>2709103</v>
      </c>
      <c r="H8" s="49" t="s">
        <v>643</v>
      </c>
      <c r="I8" s="49" t="s">
        <v>644</v>
      </c>
      <c r="J8" s="51">
        <v>2709103</v>
      </c>
      <c r="K8" s="51">
        <v>0</v>
      </c>
      <c r="L8" s="49" t="s">
        <v>212</v>
      </c>
    </row>
    <row r="9" spans="6:11" x14ac:dyDescent="0.25">
      <c r="F9" s="2" t="s">
        <v>163</v>
      </c>
      <c r="G9" s="114">
        <f>SUM(G5:G8)</f>
      </c>
      <c r="J9" s="114">
        <f>SUM(J5:J8)</f>
      </c>
      <c r="K9" s="114">
        <f>SUM(K5:K8)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40" customWidth="1"/>
  </cols>
  <sheetData>
    <row r="1" spans="1:1" x14ac:dyDescent="0.25">
      <c r="A1" s="1" t="s">
        <v>645</v>
      </c>
    </row>
    <row r="3" spans="1:2" x14ac:dyDescent="0.25">
      <c r="A3" s="66" t="s">
        <v>646</v>
      </c>
      <c r="B3" s="67"/>
    </row>
    <row r="4" spans="1:2" x14ac:dyDescent="0.25">
      <c r="A4" s="115" t="s">
        <v>647</v>
      </c>
      <c r="B4" s="113" t="s">
        <v>648</v>
      </c>
    </row>
    <row r="5" spans="1:2" x14ac:dyDescent="0.25">
      <c r="A5" s="115" t="s">
        <v>649</v>
      </c>
      <c r="B5" s="113" t="s">
        <v>650</v>
      </c>
    </row>
    <row r="6" spans="1:2" x14ac:dyDescent="0.25">
      <c r="A6" s="115" t="s">
        <v>651</v>
      </c>
      <c r="B6" s="113" t="s">
        <v>652</v>
      </c>
    </row>
    <row r="7" spans="1:2" x14ac:dyDescent="0.25">
      <c r="A7" s="115" t="s">
        <v>653</v>
      </c>
      <c r="B7" s="113" t="s">
        <v>654</v>
      </c>
    </row>
    <row r="8" spans="1:2" x14ac:dyDescent="0.25">
      <c r="A8" s="115" t="s">
        <v>39</v>
      </c>
      <c r="B8" s="113" t="s">
        <v>655</v>
      </c>
    </row>
    <row r="9" spans="1:2" x14ac:dyDescent="0.25">
      <c r="A9" s="115" t="s">
        <v>656</v>
      </c>
      <c r="B9" s="113" t="s">
        <v>657</v>
      </c>
    </row>
    <row r="10" spans="1:2" x14ac:dyDescent="0.25">
      <c r="A10" s="115" t="s">
        <v>15</v>
      </c>
      <c r="B10" s="113" t="s">
        <v>15</v>
      </c>
    </row>
    <row r="11" spans="1:2" x14ac:dyDescent="0.25">
      <c r="A11" s="66" t="s">
        <v>658</v>
      </c>
      <c r="B11" s="67"/>
    </row>
    <row r="12" spans="1:2" x14ac:dyDescent="0.25">
      <c r="A12" s="115" t="s">
        <v>3</v>
      </c>
      <c r="B12" s="113" t="s">
        <v>659</v>
      </c>
    </row>
    <row r="13" spans="1:2" x14ac:dyDescent="0.25">
      <c r="A13" s="115" t="s">
        <v>660</v>
      </c>
      <c r="B13" s="113" t="s">
        <v>661</v>
      </c>
    </row>
    <row r="14" spans="1:2" x14ac:dyDescent="0.25">
      <c r="A14" s="115" t="s">
        <v>653</v>
      </c>
      <c r="B14" s="113" t="s">
        <v>662</v>
      </c>
    </row>
    <row r="15" spans="1:2" x14ac:dyDescent="0.25">
      <c r="A15" s="115" t="s">
        <v>663</v>
      </c>
      <c r="B15" s="113" t="s">
        <v>664</v>
      </c>
    </row>
    <row r="16" spans="1:2" x14ac:dyDescent="0.25">
      <c r="A16" s="115" t="s">
        <v>656</v>
      </c>
      <c r="B16" s="113" t="s">
        <v>665</v>
      </c>
    </row>
    <row r="17" spans="1:2" x14ac:dyDescent="0.25">
      <c r="A17" s="115" t="s">
        <v>666</v>
      </c>
      <c r="B17" s="113" t="s">
        <v>667</v>
      </c>
    </row>
    <row r="18" spans="1:2" x14ac:dyDescent="0.25">
      <c r="A18" s="115" t="s">
        <v>668</v>
      </c>
      <c r="B18" s="113" t="s">
        <v>669</v>
      </c>
    </row>
    <row r="19" spans="1:2" x14ac:dyDescent="0.25">
      <c r="A19" s="115" t="s">
        <v>670</v>
      </c>
      <c r="B19" s="113" t="s">
        <v>671</v>
      </c>
    </row>
    <row r="20" spans="1:2" x14ac:dyDescent="0.25">
      <c r="A20" s="115" t="s">
        <v>672</v>
      </c>
      <c r="B20" s="113" t="s">
        <v>673</v>
      </c>
    </row>
    <row r="21" spans="1:2" x14ac:dyDescent="0.25">
      <c r="A21" s="115" t="s">
        <v>15</v>
      </c>
      <c r="B21" s="113" t="s">
        <v>15</v>
      </c>
    </row>
    <row r="22" spans="1:2" x14ac:dyDescent="0.25">
      <c r="A22" s="66" t="s">
        <v>674</v>
      </c>
      <c r="B22" s="67"/>
    </row>
    <row r="23" spans="1:2" x14ac:dyDescent="0.25">
      <c r="A23" s="115" t="s">
        <v>675</v>
      </c>
      <c r="B23" s="113" t="s">
        <v>676</v>
      </c>
    </row>
    <row r="24" spans="1:2" x14ac:dyDescent="0.25">
      <c r="A24" s="115" t="s">
        <v>677</v>
      </c>
      <c r="B24" s="113" t="s">
        <v>678</v>
      </c>
    </row>
    <row r="25" spans="1:2" x14ac:dyDescent="0.25">
      <c r="A25" s="115" t="s">
        <v>679</v>
      </c>
      <c r="B25" s="113" t="s">
        <v>680</v>
      </c>
    </row>
    <row r="26" spans="1:2" x14ac:dyDescent="0.25">
      <c r="A26" s="115" t="s">
        <v>15</v>
      </c>
      <c r="B26" s="113" t="s">
        <v>15</v>
      </c>
    </row>
    <row r="27" spans="1:2" x14ac:dyDescent="0.25">
      <c r="A27" s="66" t="s">
        <v>681</v>
      </c>
      <c r="B27" s="67"/>
    </row>
    <row r="28" spans="1:2" x14ac:dyDescent="0.25">
      <c r="A28" s="115" t="s">
        <v>682</v>
      </c>
      <c r="B28" s="113" t="s">
        <v>683</v>
      </c>
    </row>
    <row r="29" spans="1:2" x14ac:dyDescent="0.25">
      <c r="A29" s="115" t="s">
        <v>684</v>
      </c>
      <c r="B29" s="113" t="s">
        <v>685</v>
      </c>
    </row>
    <row r="30" spans="1:2" x14ac:dyDescent="0.25">
      <c r="A30" s="115" t="s">
        <v>686</v>
      </c>
      <c r="B30" s="113" t="s">
        <v>687</v>
      </c>
    </row>
    <row r="31" spans="1:2" x14ac:dyDescent="0.25">
      <c r="A31" s="115" t="s">
        <v>688</v>
      </c>
      <c r="B31" s="113" t="s">
        <v>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Reporting Hebdo</vt:lpstr>
      <vt:lpstr>Équilibrage S1</vt:lpstr>
      <vt:lpstr>Détail fonctionnement</vt:lpstr>
      <vt:lpstr>Détail projets &amp; dettes</vt:lpstr>
      <vt:lpstr>Position CI 30-09</vt:lpstr>
      <vt:lpstr>Contrôles</vt:lpstr>
      <vt:lpstr>Comparaison RCI</vt:lpstr>
      <vt:lpstr>Paiements exécutés</vt:lpstr>
      <vt:lpstr>Méthode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Direction Trésorerie &amp; Financement</dc:creator>
  <dc:title/>
  <dc:subject/>
  <dc:description/>
  <cp:keywords/>
  <cp:category/>
  <cp:lastModifiedBy>Unknown</cp:lastModifiedBy>
  <dcterms:created xsi:type="dcterms:W3CDTF">2026-10-07T17:11:46Z</dcterms:created>
  <dcterms:modified xsi:type="dcterms:W3CDTF">2026-10-07T17:11:46Z</dcterms:modified>
</cp:coreProperties>
</file>