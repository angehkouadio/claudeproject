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porting Hebdo" state="visible" r:id="rId4"/>
    <sheet sheetId="2" name="Équilibrage S1" state="visible" r:id="rId5"/>
    <sheet sheetId="3" name="Détail fonctionnement" state="visible" r:id="rId6"/>
    <sheet sheetId="4" name="Détail projets &amp; dettes" state="visible" r:id="rId7"/>
    <sheet sheetId="5" name="Position CI 30-09" state="visible" r:id="rId8"/>
    <sheet sheetId="6" name="Contrôles" state="visible" r:id="rId9"/>
    <sheet sheetId="7" name="Comparaison RCI" state="visible" r:id="rId10"/>
    <sheet sheetId="8" name="Méthode &amp; sources" state="visible" r:id="rId11"/>
  </sheets>
  <calcPr calcId="171027" fullCalcOnLoad="1"/>
</workbook>
</file>

<file path=xl/sharedStrings.xml><?xml version="1.0" encoding="utf-8"?>
<sst xmlns="http://schemas.openxmlformats.org/spreadsheetml/2006/main" count="2744" uniqueCount="633">
  <si>
    <t>Reporting Cash Hebdomadaire – Centralisation Côte d'Ivoire</t>
  </si>
  <si>
    <t>Soldes bancaires au</t>
  </si>
  <si>
    <t>Semaine</t>
  </si>
  <si>
    <t>S1</t>
  </si>
  <si>
    <t>S2</t>
  </si>
  <si>
    <t>S3</t>
  </si>
  <si>
    <t>S4</t>
  </si>
  <si>
    <t>S5</t>
  </si>
  <si>
    <t>Taux FCFA / €</t>
  </si>
  <si>
    <t>Du</t>
  </si>
  <si>
    <t>Édité le</t>
  </si>
  <si>
    <t>Au</t>
  </si>
  <si>
    <t>Soldes Bancaires (Réel) – Comptes de sociétés</t>
  </si>
  <si>
    <t>En euros</t>
  </si>
  <si>
    <t>En FCFA</t>
  </si>
  <si>
    <t>BANQUE</t>
  </si>
  <si>
    <t>Destination (position CI)</t>
  </si>
  <si>
    <t>COMMENTAIRES</t>
  </si>
  <si>
    <t/>
  </si>
  <si>
    <t>Solde réel</t>
  </si>
  <si>
    <t>Solde théorique</t>
  </si>
  <si>
    <t>Prévisions (flux)</t>
  </si>
  <si>
    <t>PICI</t>
  </si>
  <si>
    <t>PROMOTION (PICI)</t>
  </si>
  <si>
    <t xml:space="preserve">   SOCIETE GENERALE-PICI</t>
  </si>
  <si>
    <t>Dédié besoin de fonctionnement et "Netting" autres compagnies CIV</t>
  </si>
  <si>
    <t xml:space="preserve">   STANBIC-PICI</t>
  </si>
  <si>
    <t>Dédié besoin de fonctionnement</t>
  </si>
  <si>
    <t xml:space="preserve">   ECOBANK-PICI</t>
  </si>
  <si>
    <t>FIRST</t>
  </si>
  <si>
    <t>PROPERTY (SCI FIRST)</t>
  </si>
  <si>
    <t xml:space="preserve">   SOCIETE GENERALE-FIRST</t>
  </si>
  <si>
    <t xml:space="preserve">   STANBIC-FIRST</t>
  </si>
  <si>
    <t>TERASSON</t>
  </si>
  <si>
    <t xml:space="preserve">   SOCIETE GENERALE-TERASSON</t>
  </si>
  <si>
    <t xml:space="preserve">   ECOBANK -TERASSON</t>
  </si>
  <si>
    <t>RIVIERA</t>
  </si>
  <si>
    <t>RIVIERA PARK</t>
  </si>
  <si>
    <t xml:space="preserve">   SOCIETE GENERALE-RIVIERA</t>
  </si>
  <si>
    <t>SCO AO</t>
  </si>
  <si>
    <t xml:space="preserve">   BANK OF AFRICA-SCO AO</t>
  </si>
  <si>
    <t xml:space="preserve">   BACI-CompteCourant</t>
  </si>
  <si>
    <t xml:space="preserve">   BACI-Projet</t>
  </si>
  <si>
    <t>Dédié paiement Projet SCO</t>
  </si>
  <si>
    <t xml:space="preserve">   BACI-AGORA</t>
  </si>
  <si>
    <t xml:space="preserve">   ECOBANK - SCO AO</t>
  </si>
  <si>
    <t>FINAFRICA</t>
  </si>
  <si>
    <t>FINAFRICA CI</t>
  </si>
  <si>
    <t xml:space="preserve">   SOCIETE GENERALE-FINAFRICA</t>
  </si>
  <si>
    <t xml:space="preserve">   ECOBANK-FINAFRICA</t>
  </si>
  <si>
    <t>AB CENTER</t>
  </si>
  <si>
    <t xml:space="preserve">   SOCIETE GENERALE-AB CENTER</t>
  </si>
  <si>
    <t xml:space="preserve">   ECOBANK- AB CENTER</t>
  </si>
  <si>
    <t>IMMONEUF</t>
  </si>
  <si>
    <t xml:space="preserve">   SOCIETE GENERALE-IMMONEUF</t>
  </si>
  <si>
    <t xml:space="preserve">   ECOBANK-IMMONEUF</t>
  </si>
  <si>
    <t xml:space="preserve">   BACI - IMMONEUF</t>
  </si>
  <si>
    <t>INFI SOFT</t>
  </si>
  <si>
    <t xml:space="preserve">   INFI SOFT - SIB</t>
  </si>
  <si>
    <t>ODALYS CI</t>
  </si>
  <si>
    <t xml:space="preserve">   SOCIETE GENERALE-ODALYS</t>
  </si>
  <si>
    <t>RHD CI</t>
  </si>
  <si>
    <t>TOTAL COMPTES DE SOCIÉTÉS</t>
  </si>
  <si>
    <t>Soldes Bancaires (Réel) – Comptes dédiés (projets et remboursement de dettes)</t>
  </si>
  <si>
    <t>RIVIERA-ARBITRER</t>
  </si>
  <si>
    <t>BNI-RIVIERA(Courant)</t>
  </si>
  <si>
    <t>À arbitrer (« Affection placement? Ou besoin de fonctionnement »)</t>
  </si>
  <si>
    <t>RIVIERA-PROJET</t>
  </si>
  <si>
    <t>BNI-PICI / Fonds projet RP</t>
  </si>
  <si>
    <t>Fonds projet (paiement CPI)</t>
  </si>
  <si>
    <t>TERASSON-PROJET</t>
  </si>
  <si>
    <t>BNI-TERASSON / Fonds projet NP</t>
  </si>
  <si>
    <t>SCO AO-BACIAGORACOMPTEBLOQUTVA</t>
  </si>
  <si>
    <t>BACI-AGORA/COMPTE BLOQU. TVA</t>
  </si>
  <si>
    <t>Compte réservé, non mobilisable</t>
  </si>
  <si>
    <t>TOTAL COMPTES DÉDIÉS</t>
  </si>
  <si>
    <t>TOTAL GÉNÉRAL CÔTE D'IVOIRE</t>
  </si>
  <si>
    <t>Comptes indisponibles – pour information (hors position et hors totaux)</t>
  </si>
  <si>
    <t>STANBIC-FIRST _ Debt Service</t>
  </si>
  <si>
    <t>DSR/Augmentation/LL/Disbursment</t>
  </si>
  <si>
    <t>STANBIC-FIRST_LL</t>
  </si>
  <si>
    <t>STANBIC-FIRST_Disbursement</t>
  </si>
  <si>
    <t>BNI-RIVIERA(Augmentation)</t>
  </si>
  <si>
    <t>BNI-RIVIERA(DSRA) / Placement</t>
  </si>
  <si>
    <t>Indisponibles : soldes inchangés sur S1 à S5, non mobilisables pour les paiements.</t>
  </si>
  <si>
    <t>SYNTHÈSE DES BESOINS PAR SEMAINE</t>
  </si>
  <si>
    <t>Flux de fonctionnement (frais de structure)</t>
  </si>
  <si>
    <t>Flux projets et dettes (comptes dédiés)</t>
  </si>
  <si>
    <t>Total des flux de la semaine</t>
  </si>
  <si>
    <t>Besoin de financement – sociétés en solde théorique négatif</t>
  </si>
  <si>
    <t>Nombre de sociétés en solde théorique négatif</t>
  </si>
  <si>
    <t>Besoin de financement – comptes dédiés en solde théorique négatif</t>
  </si>
  <si>
    <t>Prévisions de décaissements et encaissements</t>
  </si>
  <si>
    <t>FRAIS DE STRUCTURES</t>
  </si>
  <si>
    <t>Entité</t>
  </si>
  <si>
    <t>Nature de transaction</t>
  </si>
  <si>
    <t>Montant prév. €</t>
  </si>
  <si>
    <t>Montant réel €</t>
  </si>
  <si>
    <t>Écart €</t>
  </si>
  <si>
    <t>Montant prév. FCFA</t>
  </si>
  <si>
    <t>Montant réel FCFA</t>
  </si>
  <si>
    <t>Écart FCFA</t>
  </si>
  <si>
    <t>Commentaires sur les écarts</t>
  </si>
  <si>
    <t>S1 : semaine du 05/10 au 11/10 (y compris antériorités)</t>
  </si>
  <si>
    <t>FOURNISSEURS - FGX</t>
  </si>
  <si>
    <t>IMPÔTS ET TAXES</t>
  </si>
  <si>
    <t>CHARGES SOCIALES</t>
  </si>
  <si>
    <t>REMBOURSEMENT DE PRÊTS</t>
  </si>
  <si>
    <t>FOURNISSEURS - PROJET</t>
  </si>
  <si>
    <t>AUTRES DÉCAISSEMENTS</t>
  </si>
  <si>
    <t>ENCAISSEMENTS</t>
  </si>
  <si>
    <t>Total S1</t>
  </si>
  <si>
    <t>S2 : semaine du 12/10 au 18/10</t>
  </si>
  <si>
    <t>Total S2</t>
  </si>
  <si>
    <t>S3 : semaine du 19/10 au 25/10</t>
  </si>
  <si>
    <t>SALAIRES</t>
  </si>
  <si>
    <t>Total S3</t>
  </si>
  <si>
    <t>S4 : semaine du 26/10 au 01/11</t>
  </si>
  <si>
    <t>Total S4</t>
  </si>
  <si>
    <t>S5 : semaine du 02/11 au 08/11</t>
  </si>
  <si>
    <t>Total S5</t>
  </si>
  <si>
    <t>PROJETS / DETTES</t>
  </si>
  <si>
    <t>Foncier</t>
  </si>
  <si>
    <t>Travaux</t>
  </si>
  <si>
    <t>Honoraires</t>
  </si>
  <si>
    <t>Autres dépenses</t>
  </si>
  <si>
    <t>Frais financiers</t>
  </si>
  <si>
    <t>Pour information – cash plans Nov. 2026 (hors horizon, non inclus dans les soldes)</t>
  </si>
  <si>
    <t>Nov. 2026 (€ HT)</t>
  </si>
  <si>
    <t>Équilibrage et affectation des paiements – S1 (05/10 au 11/10/2026)</t>
  </si>
  <si>
    <t>Paiements : liens vers les feuilles de détail (S1, Retenu = O). Soldes : liens vers la position CI. Nivellements : tableau des virements ci-dessous (modifiable).</t>
  </si>
  <si>
    <t>Opérations à effectuer</t>
  </si>
  <si>
    <t>Paiement via</t>
  </si>
  <si>
    <t>Observations</t>
  </si>
  <si>
    <t>SCI FIRST</t>
  </si>
  <si>
    <t>INFI</t>
  </si>
  <si>
    <t>BNI fonds projet</t>
  </si>
  <si>
    <t>SG</t>
  </si>
  <si>
    <t>ECO</t>
  </si>
  <si>
    <t>STB</t>
  </si>
  <si>
    <t>BNI courant</t>
  </si>
  <si>
    <t>BACI Projet</t>
  </si>
  <si>
    <t>BACI courant</t>
  </si>
  <si>
    <t>BOA</t>
  </si>
  <si>
    <t>BACI AGORA</t>
  </si>
  <si>
    <t>BACI - IMMONEUF</t>
  </si>
  <si>
    <t>SIB</t>
  </si>
  <si>
    <t>payé par PICI</t>
  </si>
  <si>
    <t>NIVELLEMENT VIA PICI</t>
  </si>
  <si>
    <t>Excédents PICI puis FIRST vers les sociétés en déficit : impôts, cotisations et salaires d'abord, fournisseurs ensuite</t>
  </si>
  <si>
    <t>AUTRES NIVELLEMENTS</t>
  </si>
  <si>
    <t>Virements entre comptes d'une même entité (BNI-RIVIERA courant : sous réserve d'arbitrage)</t>
  </si>
  <si>
    <t>FOURNISSEURS-PROJETS</t>
  </si>
  <si>
    <t>Cash plans : comptes « Dédié paiement CPI » ; SCO AO : BACI-Projet</t>
  </si>
  <si>
    <t>FOURNISSEURS-FGX</t>
  </si>
  <si>
    <t>IMPÔTS</t>
  </si>
  <si>
    <t>ÉCHÉANCES</t>
  </si>
  <si>
    <t>Échéances de prêts FIRST : dépenses de fonctionnement, compte payeur de FIRST</t>
  </si>
  <si>
    <t>AUTRES (ENCAISSEMENTS, DIVERS)</t>
  </si>
  <si>
    <t>ENREGISTREMENTS</t>
  </si>
  <si>
    <t>Hors besoin (droits d'enregistrement, Retenu = N)</t>
  </si>
  <si>
    <t>Total</t>
  </si>
  <si>
    <t>Solde au 30/09/2026</t>
  </si>
  <si>
    <t>Solde théorique fin S1 (11/10/2026)</t>
  </si>
  <si>
    <t>Reste à financer (spot) ou à reporter</t>
  </si>
  <si>
    <t>Virements à passer (modifiables : les nivellements et les soldes ci-dessus se recalculent)</t>
  </si>
  <si>
    <t>Type de nivellement</t>
  </si>
  <si>
    <t>N°</t>
  </si>
  <si>
    <t>Compte source</t>
  </si>
  <si>
    <t>Compte bénéficiaire</t>
  </si>
  <si>
    <t>Montant FCFA</t>
  </si>
  <si>
    <t>Motif</t>
  </si>
  <si>
    <t>RIVIERA PARK – BNI courant</t>
  </si>
  <si>
    <t>RIVIERA PARK – SG</t>
  </si>
  <si>
    <t>Total des virements</t>
  </si>
  <si>
    <t>Comptes (liste de saisie)</t>
  </si>
  <si>
    <t>TERASSON – BNI fonds projet</t>
  </si>
  <si>
    <t>TERASSON – SG</t>
  </si>
  <si>
    <t>TERASSON – ECO</t>
  </si>
  <si>
    <t>PICI – ECO</t>
  </si>
  <si>
    <t>PICI – STB</t>
  </si>
  <si>
    <t>PICI – SG</t>
  </si>
  <si>
    <t>SCI FIRST – STB</t>
  </si>
  <si>
    <t>SCI FIRST – SG</t>
  </si>
  <si>
    <t>RIVIERA PARK – BNI fonds projet</t>
  </si>
  <si>
    <t>SCO AO – BACI Projet</t>
  </si>
  <si>
    <t>SCO AO – BACI courant</t>
  </si>
  <si>
    <t>SCO AO – BOA</t>
  </si>
  <si>
    <t>SCO AO – BACI AGORA</t>
  </si>
  <si>
    <t>SCO AO – ECO</t>
  </si>
  <si>
    <t>IMMONEUF – SG</t>
  </si>
  <si>
    <t>IMMONEUF – BACI - IMMONEUF</t>
  </si>
  <si>
    <t>IMMONEUF – ECO</t>
  </si>
  <si>
    <t>FINAFRICA – SG</t>
  </si>
  <si>
    <t>FINAFRICA – ECO</t>
  </si>
  <si>
    <t>INFI – SIB</t>
  </si>
  <si>
    <t>ODALYS CI – SG</t>
  </si>
  <si>
    <t>AB CENTER – ECO</t>
  </si>
  <si>
    <t>AB CENTER – SG</t>
  </si>
  <si>
    <t>RHD CI – payé par PICI</t>
  </si>
  <si>
    <t>Détail des flux de fonctionnement (frais de structure) – FCFA</t>
  </si>
  <si>
    <t>Nature</t>
  </si>
  <si>
    <t>Fournisseur / libellé</t>
  </si>
  <si>
    <t>Montant €</t>
  </si>
  <si>
    <t>Retenu (O/N)</t>
  </si>
  <si>
    <t>BURMA</t>
  </si>
  <si>
    <t>O</t>
  </si>
  <si>
    <t>CABINET JEAN-LUC RUELLE</t>
  </si>
  <si>
    <t>CIE</t>
  </si>
  <si>
    <t>DHL</t>
  </si>
  <si>
    <t>FOURNISSEURS DIVERS</t>
  </si>
  <si>
    <t>HORUS TRAD SARL</t>
  </si>
  <si>
    <t>IMPACT</t>
  </si>
  <si>
    <t>JULIE BASSONVILLE</t>
  </si>
  <si>
    <t>LAVIVA</t>
  </si>
  <si>
    <t>LOXEA</t>
  </si>
  <si>
    <t>MISTRAL VOYAGES</t>
  </si>
  <si>
    <t>MTN C“te d'Ivoire</t>
  </si>
  <si>
    <t>NEYALA</t>
  </si>
  <si>
    <t>NOVAGO COTE D'IVOIRE</t>
  </si>
  <si>
    <t>OLEA CI</t>
  </si>
  <si>
    <t>ORANGE CI_TEL MOB</t>
  </si>
  <si>
    <t>SHERPA</t>
  </si>
  <si>
    <t>SODECI</t>
  </si>
  <si>
    <t>TBC</t>
  </si>
  <si>
    <t>Bic</t>
  </si>
  <si>
    <t>Bnc</t>
  </si>
  <si>
    <t>Irc</t>
  </si>
  <si>
    <t>Its</t>
  </si>
  <si>
    <t>PPSSI</t>
  </si>
  <si>
    <t>Tva p/c de tiers</t>
  </si>
  <si>
    <t>Cmu</t>
  </si>
  <si>
    <t>Cnps</t>
  </si>
  <si>
    <t>BOTANICA_BON</t>
  </si>
  <si>
    <t>C2A CONSEIL ASSOCIES</t>
  </si>
  <si>
    <t>ETUDE MAITRE NANOU - NOTAIRE</t>
  </si>
  <si>
    <t>FSSEUR DIVERS</t>
  </si>
  <si>
    <t>MAITRE YAPO KOYO FLORE</t>
  </si>
  <si>
    <t>METALUX</t>
  </si>
  <si>
    <t>MONDON CONSEIL INTERNATIONAL</t>
  </si>
  <si>
    <t>REDEVANCE DIABY</t>
  </si>
  <si>
    <t>SNEF</t>
  </si>
  <si>
    <t>TUNELIER INTERNATIONAL</t>
  </si>
  <si>
    <t>Capital emprunté</t>
  </si>
  <si>
    <t>Stanbic</t>
  </si>
  <si>
    <t>DADIE DIGRA</t>
  </si>
  <si>
    <t>ETUDE DE MAITRE YAPO-KOYO FLORE</t>
  </si>
  <si>
    <t>FORVIS MAZARS</t>
  </si>
  <si>
    <t>CABINET JLR</t>
  </si>
  <si>
    <t>Jetons de présence</t>
  </si>
  <si>
    <t>FOURNISSEURS-FGX – LOXEA URGENT 1/2</t>
  </si>
  <si>
    <t>FOURNISSEURS-PROJET</t>
  </si>
  <si>
    <t>FOURNISSEURS-PROJET – AGORA</t>
  </si>
  <si>
    <t>FOURNISSEURS-PROJET – VALYOS, NANDHAA</t>
  </si>
  <si>
    <t>IMPOTS DGI</t>
  </si>
  <si>
    <t>IMPOTSDGI/DECL AOUT – échéance le 20/9</t>
  </si>
  <si>
    <t>CNPS/Arriéré</t>
  </si>
  <si>
    <t>PROTOCOLE THULIUM</t>
  </si>
  <si>
    <t>CLIENT</t>
  </si>
  <si>
    <t>AXA</t>
  </si>
  <si>
    <t>CABINET JEAN LUC RUELLE</t>
  </si>
  <si>
    <t>DBL SERVICE &amp; INVEST</t>
  </si>
  <si>
    <t>FSSEURS DIVERS</t>
  </si>
  <si>
    <t>HORUS TRAD</t>
  </si>
  <si>
    <t>KONAN LOAN</t>
  </si>
  <si>
    <t>MAITRE YAPO</t>
  </si>
  <si>
    <t>NAYELA</t>
  </si>
  <si>
    <t>NOVAGO</t>
  </si>
  <si>
    <t>SCOGES CONSEIL</t>
  </si>
  <si>
    <t>CABINET JEAN LUX RUELLE</t>
  </si>
  <si>
    <t>IMPACT DURABLE</t>
  </si>
  <si>
    <t>TEE</t>
  </si>
  <si>
    <t>ADES</t>
  </si>
  <si>
    <t>AILLEURS BUSINESS</t>
  </si>
  <si>
    <t>OFFICE BUREAU</t>
  </si>
  <si>
    <t>Microentreprise</t>
  </si>
  <si>
    <t>MAITRE YAPO-KOYO</t>
  </si>
  <si>
    <t>ENTREPRISE IVOIRIENNE D'AIDE EN ASSAINISSEMENT</t>
  </si>
  <si>
    <t>FOX SECURITE</t>
  </si>
  <si>
    <t>GROUPE LA LAVANDIERE</t>
  </si>
  <si>
    <t>NIMITZ ASC ASSISTANCE SECURITE</t>
  </si>
  <si>
    <t>QUICKNET SERVICE</t>
  </si>
  <si>
    <t>SED SERVICE</t>
  </si>
  <si>
    <t>VISUEL</t>
  </si>
  <si>
    <t>Loyer octobre 2026 – DC/BR</t>
  </si>
  <si>
    <t>Loyer octobre 2026 – ITOCHU CORPORATION SA</t>
  </si>
  <si>
    <t>Loyer octobre 2026 – JESA WEST AFRICA SASU</t>
  </si>
  <si>
    <t>Loyer octobre 2026 – M&amp;H CONSULTING AFRICA SARL</t>
  </si>
  <si>
    <t>Loyer octobre 2026 – SA LOG IVOIRE</t>
  </si>
  <si>
    <t>Loyer octobre 2026 – SBS SOFTWARE IVORY COAST</t>
  </si>
  <si>
    <t>Salaires</t>
  </si>
  <si>
    <t>SALAIRE NDF</t>
  </si>
  <si>
    <t>SALAIRE SEPTEMBRE</t>
  </si>
  <si>
    <t>BLUE LIONS (intragroupe)</t>
  </si>
  <si>
    <t>N</t>
  </si>
  <si>
    <t>FINANCIERE DUVAL (intragroupe)</t>
  </si>
  <si>
    <t>GROUPE DUVAL (intragroupe)</t>
  </si>
  <si>
    <t>INFISOFTWARE (intragroupe)</t>
  </si>
  <si>
    <t>PELEGRINA FRANCE (intragroupe)</t>
  </si>
  <si>
    <t>SCI FIRST INVEST (intragroupe)</t>
  </si>
  <si>
    <t>Droits d'enregistrement (hors besoin, comme la présentation RCI)</t>
  </si>
  <si>
    <t>PEL FR - ASSISTANCE CONSEIL (intragroupe)</t>
  </si>
  <si>
    <t>PELEGRINA AFRIQUE INVEST (intragroupe)</t>
  </si>
  <si>
    <t>PICI (intragroupe)</t>
  </si>
  <si>
    <t>PEL IMMOBILIER CI CONSTRUCTEUR (intragroupe)</t>
  </si>
  <si>
    <t>FIN AFRICA FR (intragroupe)</t>
  </si>
  <si>
    <t>ASSISTANCE TECHNIQUE PELEGRINA AFR (intragroupe)</t>
  </si>
  <si>
    <t>SAS FINANCIERE DUVAL (intragroupe)</t>
  </si>
  <si>
    <t>SAS GROUPE DUVAL (intragroupe)</t>
  </si>
  <si>
    <t>Loyer octobre 2026 – SIEMENS ENERGY SARL</t>
  </si>
  <si>
    <t>Détail des flux projets &amp; dettes (comptes dédiés)</t>
  </si>
  <si>
    <t>Compte dédié (clé)</t>
  </si>
  <si>
    <t>Code</t>
  </si>
  <si>
    <t>Libellé</t>
  </si>
  <si>
    <t>Entreprise</t>
  </si>
  <si>
    <t>Montant € HT</t>
  </si>
  <si>
    <t>FON 0009</t>
  </si>
  <si>
    <t>Géomètre</t>
  </si>
  <si>
    <t>KOUAMELAN</t>
  </si>
  <si>
    <t>09 BGTB</t>
  </si>
  <si>
    <t>BCC 0009</t>
  </si>
  <si>
    <t>Autres travaux</t>
  </si>
  <si>
    <t>BCC 0017</t>
  </si>
  <si>
    <t>02 GROS ŒUVRE &amp; INSTALLATION DE CHANTIER</t>
  </si>
  <si>
    <t>BCC 0023</t>
  </si>
  <si>
    <t>07 SERRURERIE</t>
  </si>
  <si>
    <t>BCC 0024</t>
  </si>
  <si>
    <t>08 CFO</t>
  </si>
  <si>
    <t>BCC 0025</t>
  </si>
  <si>
    <t>09A CFA /SSI /GTB</t>
  </si>
  <si>
    <t>HON 0001</t>
  </si>
  <si>
    <t>Architecte</t>
  </si>
  <si>
    <t>ARCHICONCEPT / MAP</t>
  </si>
  <si>
    <t>HON 0002</t>
  </si>
  <si>
    <t>BET / MOE / SSI</t>
  </si>
  <si>
    <t>SCO</t>
  </si>
  <si>
    <t>HON 0005</t>
  </si>
  <si>
    <t>Bureau de contrôle</t>
  </si>
  <si>
    <t>BUREAU VERITAS</t>
  </si>
  <si>
    <t>HON 0006</t>
  </si>
  <si>
    <t>CSPS</t>
  </si>
  <si>
    <t>SOCOTEC</t>
  </si>
  <si>
    <t>HON 0007</t>
  </si>
  <si>
    <t>E&amp;S</t>
  </si>
  <si>
    <t>ANDE / ENVAL / INSUCO / BIOTOPE / IVOIRE HYDROGENE</t>
  </si>
  <si>
    <t>HON 0009</t>
  </si>
  <si>
    <t>Divers honoraires</t>
  </si>
  <si>
    <t>PROJEX / DIPHONE / LUSEO / BET GAURY</t>
  </si>
  <si>
    <t>HON 0010</t>
  </si>
  <si>
    <t>Retenue à la source (prestataires étrangers)</t>
  </si>
  <si>
    <t>AUD 0007</t>
  </si>
  <si>
    <t>Frais Divers</t>
  </si>
  <si>
    <t>YABA &amp; KUMBA / SINTALI / VOLTERE</t>
  </si>
  <si>
    <t>AUD 0012</t>
  </si>
  <si>
    <t>Autres frais financiers (Frais de Due Diligence)</t>
  </si>
  <si>
    <t>DWF/IFC</t>
  </si>
  <si>
    <t>FFI 0001</t>
  </si>
  <si>
    <t>Intérêts sur compte courant</t>
  </si>
  <si>
    <t>FFI 0005</t>
  </si>
  <si>
    <t>Frais Financiers Coupons Invest</t>
  </si>
  <si>
    <t>ATELIER TOPOGRAPHIQUE KOTOKOU / CYGE / SG2T</t>
  </si>
  <si>
    <t>FON 0014</t>
  </si>
  <si>
    <t>Sécurisation du site</t>
  </si>
  <si>
    <t>AIGLE ROYAL / RASCOM / SEG / ECS</t>
  </si>
  <si>
    <t>FON 0018</t>
  </si>
  <si>
    <t>Brche. Eau</t>
  </si>
  <si>
    <t>BCC 0001</t>
  </si>
  <si>
    <t>Démolitions</t>
  </si>
  <si>
    <t>BCC 0002</t>
  </si>
  <si>
    <t>Fondations spéciales</t>
  </si>
  <si>
    <t>BCC 0013</t>
  </si>
  <si>
    <t>1B-VRD - Espaces verts</t>
  </si>
  <si>
    <t>UNISERV</t>
  </si>
  <si>
    <t>BCC 0014</t>
  </si>
  <si>
    <t>2-Gros oeuvre</t>
  </si>
  <si>
    <t>BCC 0015</t>
  </si>
  <si>
    <t>3-Etancheite</t>
  </si>
  <si>
    <t>BCC 0016</t>
  </si>
  <si>
    <t>4A-Charpente metallique</t>
  </si>
  <si>
    <t>4B-Couverture &amp; Bardage</t>
  </si>
  <si>
    <t>BCC 0018</t>
  </si>
  <si>
    <t>5-Menuiseries exterieures</t>
  </si>
  <si>
    <t>BCC 0020</t>
  </si>
  <si>
    <t>7-Serrurerie</t>
  </si>
  <si>
    <t>ZUO / CIA / MAP</t>
  </si>
  <si>
    <t>INSUCO / BRL INGENIERIE/ANDE</t>
  </si>
  <si>
    <t>HON 0008</t>
  </si>
  <si>
    <t>Diagnostic divers</t>
  </si>
  <si>
    <t>AUXO / PROJEX / GSPM / HORECAF / HILLEL</t>
  </si>
  <si>
    <t>AUD 0008</t>
  </si>
  <si>
    <t>Publicité</t>
  </si>
  <si>
    <t>SHERPA/LES ATELIERS COOK IMPRIM</t>
  </si>
  <si>
    <t>FFI 0002</t>
  </si>
  <si>
    <t>Produits financiers</t>
  </si>
  <si>
    <t>03 ETANCHEITE</t>
  </si>
  <si>
    <t>BCC 0034</t>
  </si>
  <si>
    <t>CC ROOFTOP SURELEVATION BAT B</t>
  </si>
  <si>
    <t>FON 0017</t>
  </si>
  <si>
    <t>Brche. Electricité</t>
  </si>
  <si>
    <t>CI ENERGIES</t>
  </si>
  <si>
    <t>8-CFO - Courants forts</t>
  </si>
  <si>
    <t>9-CFA - Courants faibles</t>
  </si>
  <si>
    <t>10-Climatisation &amp; Ventilation</t>
  </si>
  <si>
    <t>11-Plomberie RIA - FC</t>
  </si>
  <si>
    <t>THINKSTEP / YABA &amp; KUMBA / DOUG AND WOLF / CHANAN / REAL CONSULTING / HORECAF / GILLES DEVENDEVILLE</t>
  </si>
  <si>
    <t>AUD 0009</t>
  </si>
  <si>
    <t>Honoraires Juridiques et Fiscaux</t>
  </si>
  <si>
    <t>KSK / MONDON / CHAUVEAU</t>
  </si>
  <si>
    <t>FFI 0003</t>
  </si>
  <si>
    <t>Frais intercalaires</t>
  </si>
  <si>
    <t>FFI 0004</t>
  </si>
  <si>
    <t>Commissions d'engagement</t>
  </si>
  <si>
    <t>Nov. 2026</t>
  </si>
  <si>
    <t>BCC 0008</t>
  </si>
  <si>
    <t>Travaux aménagements preneurs</t>
  </si>
  <si>
    <t>BCC 0026</t>
  </si>
  <si>
    <t>10 CLIMATISATION / VENTILATION / DESENFUMAGE</t>
  </si>
  <si>
    <t>BCC 0027</t>
  </si>
  <si>
    <t>11 PLOMBERIE / RIA</t>
  </si>
  <si>
    <t>BCC 0028</t>
  </si>
  <si>
    <t>12 REVETEMENTS DURS &amp; SOUPLES</t>
  </si>
  <si>
    <t>BCC 0029</t>
  </si>
  <si>
    <t>13 FP &amp; CLOISONNEMENT</t>
  </si>
  <si>
    <t>BCC 0030</t>
  </si>
  <si>
    <t>14 PEINTURE</t>
  </si>
  <si>
    <t>MAZARS/DWF</t>
  </si>
  <si>
    <t>Honoraires de vente</t>
  </si>
  <si>
    <t>HOV 0004</t>
  </si>
  <si>
    <t>Fonds de concours</t>
  </si>
  <si>
    <t>HOV 0005</t>
  </si>
  <si>
    <t>FF&amp;E RT</t>
  </si>
  <si>
    <t>IFC/PROPARCO</t>
  </si>
  <si>
    <t>BCC 0010</t>
  </si>
  <si>
    <t>Exonérations Douanières</t>
  </si>
  <si>
    <t>AUD 0005</t>
  </si>
  <si>
    <t>Dossier Cdac / Et.Marché</t>
  </si>
  <si>
    <t>DEFINA AFRICA / SOLUTION RETAIL / NAWA REAL ESTATE/</t>
  </si>
  <si>
    <t>Remboursement de prêt</t>
  </si>
  <si>
    <t>Commission bancaire – déjà dans les frais financiers des cash plans</t>
  </si>
  <si>
    <t>Bni – déjà dans les frais financiers des cash plans</t>
  </si>
  <si>
    <t>Position de trésorerie CI – soldes bancaires au 30/09/2026</t>
  </si>
  <si>
    <t>Banque</t>
  </si>
  <si>
    <t>Compte</t>
  </si>
  <si>
    <t>Bloc du reporting</t>
  </si>
  <si>
    <t>Solde FCFA</t>
  </si>
  <si>
    <t>Solde €</t>
  </si>
  <si>
    <t>Clé</t>
  </si>
  <si>
    <t>Source</t>
  </si>
  <si>
    <t>SOCIETE GENERALE</t>
  </si>
  <si>
    <t>SOCIETE GENERALE-PICI</t>
  </si>
  <si>
    <t>Compte de société</t>
  </si>
  <si>
    <t>CIV position, ligne 5</t>
  </si>
  <si>
    <t>STANBIC</t>
  </si>
  <si>
    <t>STANBIC-PICI</t>
  </si>
  <si>
    <t>CIV position, ligne 6</t>
  </si>
  <si>
    <t>ECOBANK</t>
  </si>
  <si>
    <t>ECOBANK-PICI</t>
  </si>
  <si>
    <t>CIV position, ligne 7</t>
  </si>
  <si>
    <t>SOCIETE GENERALE-FIRST</t>
  </si>
  <si>
    <t>CIV position, ligne 9</t>
  </si>
  <si>
    <t>STANBIC-FIRST</t>
  </si>
  <si>
    <t>CIV position, ligne 10</t>
  </si>
  <si>
    <t>SOCIETE GENERALE-TERASSON</t>
  </si>
  <si>
    <t>CIV position, ligne 15</t>
  </si>
  <si>
    <t>ECOBANK -TERASSON</t>
  </si>
  <si>
    <t>CIV position, ligne 16</t>
  </si>
  <si>
    <t>SOCIETE GENERALE-RIVIERA</t>
  </si>
  <si>
    <t>CIV position, ligne 19</t>
  </si>
  <si>
    <t>BNI</t>
  </si>
  <si>
    <t>Affection placement? Ou besoin de fonctionnement</t>
  </si>
  <si>
    <t>Compte dédié</t>
  </si>
  <si>
    <t>CIV position, ligne 20</t>
  </si>
  <si>
    <t>BANK OF AFRICA</t>
  </si>
  <si>
    <t>BANK OF AFRICA-SCO AO</t>
  </si>
  <si>
    <t>CIV position, ligne 23</t>
  </si>
  <si>
    <t>BANQUE ATLANTIQUE</t>
  </si>
  <si>
    <t>BACI-CompteCourant</t>
  </si>
  <si>
    <t>CIV position, ligne 24</t>
  </si>
  <si>
    <t>BACI-Projet</t>
  </si>
  <si>
    <t>CIV position, ligne 25</t>
  </si>
  <si>
    <t>BACI-AGORA</t>
  </si>
  <si>
    <t>CIV position, ligne 26</t>
  </si>
  <si>
    <t>ECOBANK - SCO AO</t>
  </si>
  <si>
    <t>CIV position, ligne 27</t>
  </si>
  <si>
    <t>SOCIETE GENERALE-FINAFRICA</t>
  </si>
  <si>
    <t>CIV position, ligne 29</t>
  </si>
  <si>
    <t>ECOBANK-FINAFRICA</t>
  </si>
  <si>
    <t>CIV position, ligne 30</t>
  </si>
  <si>
    <t>SOCIETE GENERALE-AB CENTER</t>
  </si>
  <si>
    <t>CIV position, ligne 32</t>
  </si>
  <si>
    <t>ECOBANK- AB CENTER</t>
  </si>
  <si>
    <t>CIV position, ligne 33</t>
  </si>
  <si>
    <t>SOCIETE GENERALE-IMMONEUF</t>
  </si>
  <si>
    <t>CIV position, ligne 35</t>
  </si>
  <si>
    <t>ECOBANK-IMMONEUF</t>
  </si>
  <si>
    <t>CIV position, ligne 36</t>
  </si>
  <si>
    <t>CIV position, ligne 37</t>
  </si>
  <si>
    <t>INFI SOFT - SIB</t>
  </si>
  <si>
    <t>CIV position, ligne 39</t>
  </si>
  <si>
    <t>SOCIETE GENERALE-ODALYS</t>
  </si>
  <si>
    <t>CIV position, ligne 41</t>
  </si>
  <si>
    <t>Dédié paiement CPI</t>
  </si>
  <si>
    <t>CIV position, ligne 46</t>
  </si>
  <si>
    <t>CIV position, ligne 47</t>
  </si>
  <si>
    <t>CIV position, ligne 49</t>
  </si>
  <si>
    <t>TOTAL</t>
  </si>
  <si>
    <t>Comptes indisponibles – exclus de la position (pour information)</t>
  </si>
  <si>
    <t>Indisponible</t>
  </si>
  <si>
    <t>CIV position, ligne 11</t>
  </si>
  <si>
    <t>CIV position, ligne 12</t>
  </si>
  <si>
    <t>CIV position, ligne 13</t>
  </si>
  <si>
    <t>CIV position, ligne 21</t>
  </si>
  <si>
    <t>CIV position, ligne 48</t>
  </si>
  <si>
    <t>Total indisponible</t>
  </si>
  <si>
    <t>Contrôles de cohérence entre les sources et le reporting</t>
  </si>
  <si>
    <t>1. Soldes bancaires au 30/09/2026 (FCFA)</t>
  </si>
  <si>
    <t>Contrôle</t>
  </si>
  <si>
    <t>Reporting</t>
  </si>
  <si>
    <t>Position CI</t>
  </si>
  <si>
    <t>Écart</t>
  </si>
  <si>
    <t>Commentaire</t>
  </si>
  <si>
    <t>Total comptes de sociétés + comptes dédiés</t>
  </si>
  <si>
    <t>Somme des lignes bancaires disponibles de la feuille « CIV position » (comptes indisponibles exclus).</t>
  </si>
  <si>
    <t>2. Fonctionnement : reporting vs RECAP de l'audit (S1 à S4 de l'audit, M FCFA)</t>
  </si>
  <si>
    <t>Reporting (fournisseurs, impôts, cotisations, salaires, prêts)</t>
  </si>
  <si>
    <t>RECAP de l'audit</t>
  </si>
  <si>
    <t>Toutes les semaines de l'audit sont dans l'horizon S1 à S5</t>
  </si>
  <si>
    <t>3. Projets : montants non réglés des cash plans (€ HT)</t>
  </si>
  <si>
    <t>Projet / période</t>
  </si>
  <si>
    <t>Bilan financier</t>
  </si>
  <si>
    <t>RIVIERA – S1 à S5 (antériorités + mois suivant)</t>
  </si>
  <si>
    <t>996d2c11-2026-10-02_RIVIERA_Bilan_financier.xlsm</t>
  </si>
  <si>
    <t>TERASSON – S1 à S5 (antériorités + mois suivant)</t>
  </si>
  <si>
    <t>bee511f1-2026-10-02_Village_notre_p_re_Bilan_financier.xlsm</t>
  </si>
  <si>
    <t>4. Lignes non retenues (Retenu = N) – à revoir</t>
  </si>
  <si>
    <t>Motif / libellé</t>
  </si>
  <si>
    <t>Nombre de lignes</t>
  </si>
  <si>
    <t>Feuille</t>
  </si>
  <si>
    <t>FOURNISSEURS - FGX – intragroupe</t>
  </si>
  <si>
    <t>Détail fonctionnement</t>
  </si>
  <si>
    <t>ENREGISTREMENTS – droits d'enregistrement</t>
  </si>
  <si>
    <t>ENCAISSEMENTS – autre</t>
  </si>
  <si>
    <t>Remboursement de prêt – prêts des projets (déjà dans les cash plans)</t>
  </si>
  <si>
    <t>Détail projets &amp; dettes</t>
  </si>
  <si>
    <t>Alertes de lecture</t>
  </si>
  <si>
    <t>Reporting modifié : 3 ligne(s) changée(s) de semaine – SCO AO SALAIRE NDF 6,3 M S1→S3, SCO AO SALAIRE NDF 6,3 M S1→S3, SCO AO SALAIRE SEPTEMBRE 11,6 M S1→S3.</t>
  </si>
  <si>
    <t>Comparaison avec la présentation RCI (Laureen) – mêmes sources, M FCFA</t>
  </si>
  <si>
    <t>1. Fonctionnement par entité</t>
  </si>
  <si>
    <t>Besoin RCI</t>
  </si>
  <si>
    <t>Besoin reporting</t>
  </si>
  <si>
    <t>Trésorerie RCI</t>
  </si>
  <si>
    <t>Trésorerie reporting</t>
  </si>
  <si>
    <t>Position RCI</t>
  </si>
  <si>
    <t>Position reporting</t>
  </si>
  <si>
    <t>Écart de position</t>
  </si>
  <si>
    <t>Explication</t>
  </si>
  <si>
    <t>Même besoin</t>
  </si>
  <si>
    <t>Hors périmètre de la présentation RCI (aucune ligne dans le RECAP) ; flux repris du reporting de Christophe</t>
  </si>
  <si>
    <t>Hors périmètre de la présentation RCI (aucune ligne dans le RECAP)</t>
  </si>
  <si>
    <t>2. Fonctionnement par poste</t>
  </si>
  <si>
    <t>Poste</t>
  </si>
  <si>
    <t>RCI</t>
  </si>
  <si>
    <t>Fournisseurs</t>
  </si>
  <si>
    <t>Identique (mêmes lignes du RECAP / de la balance)</t>
  </si>
  <si>
    <t>Impôts</t>
  </si>
  <si>
    <t>Cotisations sociales</t>
  </si>
  <si>
    <t>Remboursement de prêts</t>
  </si>
  <si>
    <t>Loyers à encaisser</t>
  </si>
  <si>
    <t>Entités hors présentation RCI</t>
  </si>
  <si>
    <t>SCO AO 208,7</t>
  </si>
  <si>
    <t>3. Projets par mois (cash plans, € HT convertis)</t>
  </si>
  <si>
    <t>Projet / mois</t>
  </si>
  <si>
    <t>RCI (montant du mois)</t>
  </si>
  <si>
    <t>Reporting (non réglé)</t>
  </si>
  <si>
    <t>Total : fenêtre RCI septembre à novembre 2026 ; reporting = antériorités non réglées + mois suivant (S1 à S5) + mois d'après (information)</t>
  </si>
  <si>
    <t xml:space="preserve">   dont antériorités (déc. 2025)</t>
  </si>
  <si>
    <t>Montants non réglés des mois antérieurs, reportés en S1 / sur le premier mois des deux côtés</t>
  </si>
  <si>
    <t xml:space="preserve">   septembre 2026 + antériorités</t>
  </si>
  <si>
    <t>Identique</t>
  </si>
  <si>
    <t xml:space="preserve">   octobre 2026</t>
  </si>
  <si>
    <t xml:space="preserve">   novembre 2026</t>
  </si>
  <si>
    <t xml:space="preserve">   Trésorerie dédiée (CPI)</t>
  </si>
  <si>
    <t xml:space="preserve">   dont antériorités (déc. 2025, août 2026)</t>
  </si>
  <si>
    <t>4. Différences de conventions</t>
  </si>
  <si>
    <t>• Semaines : la présentation RCI suit les semaines de l'audit (28/09 → 25/10/2026) ; le reporting démarre en S1 au 05/10 et y reporte toutes les antériorités. Les montants de l'audit sont les mêmes, seule leur semaine change.</t>
  </si>
  <si>
    <t>• Projets : la présentation RCI prend les cash plans de septembre à novembre 2026 (tous montants du mois, antériorités non réglées reportées sur le premier mois) ; le reporting prend les montants non réglés (antériorités en S1, mois suivant par semaine, mois d'après pour information).</t>
  </si>
  <si>
    <t>• Trésorerie : compte(s) à destination non tranchée non comptés dans le reporting, non comptés dans la présentation RCI.</t>
  </si>
  <si>
    <t>• Périmètre : SCO AO ne figure(nt) que dans le reporting.</t>
  </si>
  <si>
    <t>• Droits d'enregistrement : exclus des deux côtés.</t>
  </si>
  <si>
    <t>• Loyers : octobre 2026, encaissement placé en S2 en fonctionnement de FIRST.</t>
  </si>
  <si>
    <t>• Comptes indisponibles exclus de la position du reporting : STANBIC-FIRST _ Debt Service, STANBIC-FIRST_LL, STANBIC-FIRST_Disbursement, BNI-RIVIERA(Augmentation), BNI-RIVIERA(DSRA) / Placement (1 195,6 M). La présentation RCI exclut aussi ces fonds (DSR, augmentation, LL, disbursement).</t>
  </si>
  <si>
    <t>Méthode, règles de semaine et sources</t>
  </si>
  <si>
    <t>Sources</t>
  </si>
  <si>
    <t>Soldes bancaires</t>
  </si>
  <si>
    <t>52897ed3-Position_CI_-_01_10_2026.xlsx – feuille « CIV position ».</t>
  </si>
  <si>
    <t>Fonctionnement</t>
  </si>
  <si>
    <t>7e1326ae-Audit_D_caissement_fournissseurs_RCI-300926_v10.xlsx – RECAP Semaine hors intragroupe (impôts, cotisations, salaires, prêts) et Répartition des charges (fournisseurs, détaillés et recalés sur le RECAP).</t>
  </si>
  <si>
    <t>Projets</t>
  </si>
  <si>
    <t>996d2c11-2026-10-02_RIVIERA_Bilan_financier.xlsm ; bee511f1-2026-10-02_Village_notre_p_re_Bilan_financier.xlsm – « Marchés et Depenses HT », € HT ; statut lu sur la couleur de police (vert « Montant à étaler » et rouge « FNP » = non réglé, bleu « Total facturé » = réglé). Semaine des paiements du mois suivant : PICI Projets de l'audit.</t>
  </si>
  <si>
    <t>Loyers</t>
  </si>
  <si>
    <t>48a6412d-Etat_pr_visionnel_des_encaissements_au_30092026_Tr_sorerie.xlsx</t>
  </si>
  <si>
    <t>cea578d5-Reporting_Hebdo_CIV_2VF.xlsx</t>
  </si>
  <si>
    <t>Mises à jour</t>
  </si>
  <si>
    <t>f169ee50-Reporting_Hebdo_CIV_05_10_2026_002.xlsx – reporting modifié : semaines, Retenu, montants et virements de l'équilibrage S1 repris. Reporting modifié : 3 ligne(s) changée(s) de semaine – SCO AO SALAIRE NDF 6,3 M S1→S3, SCO AO SALAIRE NDF 6,3 M S1→S3, SCO AO SALAIRE SEPTEMBRE 11,6 M S1→S3.</t>
  </si>
  <si>
    <t>Règles de semaine</t>
  </si>
  <si>
    <t>Semaine du 05/10 au 11/10 : toutes les antériorités (semaines de l'audit antérieures, factures et cash plans non réglés jusqu'au mois de la situation).</t>
  </si>
  <si>
    <t>Mois suivant (projets)</t>
  </si>
  <si>
    <t>Semaine identifiée dans PICI Projets, sinon S2.</t>
  </si>
  <si>
    <t>Encaissement en S2 (date non précisée dans l'état des loyers).</t>
  </si>
  <si>
    <t>Droits d'enregistrement</t>
  </si>
  <si>
    <t>Hors besoin, comme la présentation RCI (lignes conservées avec Retenu = N).</t>
  </si>
  <si>
    <t>Comptes indisponibles</t>
  </si>
  <si>
    <t>STANBIC-FIRST _ Debt Service, STANBIC-FIRST_LL, STANBIC-FIRST_Disbursement, BNI-RIVIERA(Augmentation), BNI-RIVIERA(DSRA) / Placement : exclus de la position et du reporting (listés pour information dans la feuille de position).</t>
  </si>
  <si>
    <t>Dette FIRST</t>
  </si>
  <si>
    <t>Échéances des prêts FIRST et loyers à encaisser traités en fonctionnement de FIRST (pas de compte dédié).</t>
  </si>
  <si>
    <t>Prêts des projets</t>
  </si>
  <si>
    <t>TERASSON et RIVIERA : frais financiers déjà dans les cash plans, non ajoutés.</t>
  </si>
  <si>
    <t>Conventions</t>
  </si>
  <si>
    <t>Signes</t>
  </si>
  <si>
    <t>Décaissements en négatif, encaissements en positif. Solde théorique = solde précédent + prévisions de la semaine.</t>
  </si>
  <si>
    <t>Devise</t>
  </si>
  <si>
    <t>Taux fixe 655,957 FCFA / € (cellule E3 de « Reporting Hebdo »).</t>
  </si>
  <si>
    <t>Retenu</t>
  </si>
  <si>
    <t>O = intégré au reporting ; N = conservé pour traçabilité. Passer une ligne à O l'intègre automatiquement.</t>
  </si>
  <si>
    <t>Équilibrage S1</t>
  </si>
  <si>
    <t>Compte payeur</t>
  </si>
  <si>
    <t>Sociétés : compte « Dédié besoin de fonctionnement » au plus gros solde ; fournisseurs projets : compte « Dédié paiement CPI » (SCO AO : BACI-Projet) ; échéances de prêts FIRST : en fonctionnement, sur le compte payeur de FIRST ; RHD CI (sans compte) : paiement par PICI pour son compte.</t>
  </si>
  <si>
    <t>Autres nivellements</t>
  </si>
  <si>
    <t>Regroupement des comptes d'une même entité sur son compte payeur ; BNI-RIVIERA courant mobilisé pour RIVIERA, sous réserve d'arbitrage.</t>
  </si>
  <si>
    <t>Nivellement via PICI</t>
  </si>
  <si>
    <t>Excédents PICI puis FIRST vers les sociétés en déficit : impôts, cotisations et salaires d'abord, fournisseurs ensuite, en commençant par les plus petits déficits.</t>
  </si>
  <si>
    <t>Liens</t>
  </si>
  <si>
    <t>Paiements : SUMIFS sur les feuilles de détail (semaine S1, Retenu = O) ; soldes : position CI ; nivellements : tableau des virements, modifiable.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</si>
</sst>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dd/mm/yyyy"/>
    <numFmt numFmtId="165" formatCode="0.000"/>
    <numFmt numFmtId="166" formatCode="[$-40C]d\-mmm;@"/>
    <numFmt numFmtId="167" formatCode="#,##0;-#,##0;&quot;-&quot;"/>
    <numFmt numFmtId="168" formatCode="#,##0.0"/>
    <numFmt numFmtId="169" formatCode="#,##0.0;-#,##0.0;&quot;–&quot;"/>
  </numFmts>
  <fonts count="21" x14ac:knownFonts="1">
    <font>
      <color theme="1"/>
      <family val="2"/>
      <scheme val="minor"/>
      <sz val="11"/>
      <name val="Calibri"/>
    </font>
    <font>
      <b/>
      <family val="2"/>
      <sz val="14"/>
      <name val="Calibri"/>
    </font>
    <font>
      <b/>
      <family val="2"/>
      <sz val="10"/>
      <name val="Calibri"/>
    </font>
    <font>
      <family val="2"/>
      <sz val="10"/>
      <name val="Calibri"/>
    </font>
    <font>
      <b/>
      <i/>
      <family val="2"/>
      <sz val="11"/>
      <name val="Calibri"/>
    </font>
    <font>
      <color rgb="FFFFFFFF"/>
      <family val="2"/>
      <sz val="10"/>
      <name val="Calibri"/>
    </font>
    <font>
      <color rgb="FF00B050"/>
      <family val="2"/>
      <sz val="10"/>
      <name val="Calibri"/>
    </font>
    <font>
      <family val="2"/>
      <sz val="8"/>
      <name val="Calibri"/>
    </font>
    <font>
      <i/>
      <color rgb="FF6B7280"/>
      <family val="2"/>
      <sz val="9"/>
      <name val="Calibri"/>
    </font>
    <font>
      <b/>
      <color rgb="FFFFFFFF"/>
      <family val="2"/>
      <sz val="10"/>
      <name val="Calibri"/>
    </font>
    <font>
      <b/>
      <family val="2"/>
      <sz val="13"/>
      <name val="Calibri"/>
    </font>
    <font>
      <i/>
      <color rgb="FF6B7280"/>
      <family val="2"/>
      <sz val="10"/>
      <name val="Calibri"/>
    </font>
    <font>
      <color rgb="FF000000"/>
      <family val="2"/>
      <sz val="10"/>
      <name val="Calibri"/>
    </font>
    <font>
      <color rgb="FF6B7280"/>
      <family val="2"/>
      <sz val="9"/>
      <name val="Calibri"/>
    </font>
    <font>
      <color rgb="FFC00000"/>
      <family val="2"/>
      <sz val="10"/>
      <name val="Calibri"/>
    </font>
    <font>
      <b/>
      <color rgb="FF000000"/>
      <family val="2"/>
      <sz val="10"/>
      <name val="Calibri"/>
    </font>
    <font>
      <b/>
      <color rgb="FF008000"/>
      <family val="2"/>
      <sz val="10"/>
      <name val="Calibri"/>
    </font>
    <font>
      <b/>
      <color rgb="FFC00000"/>
      <family val="2"/>
      <sz val="10"/>
      <name val="Calibri"/>
    </font>
    <font>
      <color rgb="FF6B7280"/>
      <family val="2"/>
      <sz val="10"/>
      <name val="Calibri"/>
    </font>
    <font>
      <color rgb="FF7F7F7F"/>
      <family val="2"/>
      <sz val="10"/>
      <name val="Calibri"/>
    </font>
    <font>
      <b/>
      <color rgb="FF7F7F7F"/>
      <family val="2"/>
      <sz val="1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B9CDE5"/>
      </patternFill>
    </fill>
    <fill>
      <patternFill patternType="solid">
        <fgColor rgb="FF9BBB59"/>
      </patternFill>
    </fill>
    <fill>
      <patternFill patternType="solid">
        <fgColor rgb="FFF2DCDB"/>
      </patternFill>
    </fill>
    <fill>
      <patternFill patternType="solid">
        <fgColor rgb="FFD99694"/>
      </patternFill>
    </fill>
    <fill>
      <patternFill patternType="solid">
        <fgColor rgb="FFC6EFCE"/>
      </patternFill>
    </fill>
    <fill>
      <patternFill patternType="solid">
        <fgColor rgb="FF000000"/>
      </patternFill>
    </fill>
    <fill>
      <patternFill patternType="solid">
        <fgColor rgb="FFFFFFFF"/>
      </patternFill>
    </fill>
    <fill>
      <patternFill patternType="solid">
        <fgColor rgb="FFD8E4BC"/>
      </patternFill>
    </fill>
  </fills>
  <borders count="20">
    <border>
      <left/>
      <right/>
      <top/>
      <bottom/>
      <diagonal/>
    </border>
    <border>
      <left/>
      <right style="medium"/>
      <top style="medium"/>
      <bottom/>
      <diagonal/>
    </border>
    <border>
      <left/>
      <right style="medium"/>
      <top/>
      <bottom/>
      <diagonal/>
    </border>
    <border>
      <left/>
      <right style="medium"/>
      <top/>
      <bottom style="medium"/>
      <diagonal/>
    </border>
    <border>
      <left style="thin"/>
      <right style="thin"/>
      <top style="thin"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medium"/>
      <top style="thin"/>
      <bottom style="thin"/>
      <diagonal/>
    </border>
    <border>
      <left style="thin"/>
      <right style="thin"/>
      <top style="thin"/>
      <bottom/>
      <diagonal/>
    </border>
    <border>
      <left style="medium"/>
      <right style="thin"/>
      <top style="thin"/>
      <bottom/>
      <diagonal/>
    </border>
    <border>
      <left style="thin"/>
      <right style="medium"/>
      <top style="thin"/>
      <bottom/>
      <diagonal/>
    </border>
    <border>
      <left style="thin"/>
      <right style="thin"/>
      <top/>
      <bottom/>
      <diagonal/>
    </border>
    <border>
      <left style="medium"/>
      <right style="thin"/>
      <top/>
      <bottom/>
      <diagonal/>
    </border>
    <border>
      <left style="thin"/>
      <right style="medium"/>
      <top/>
      <bottom/>
      <diagonal/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thin"/>
      <right style="thin"/>
      <top/>
      <bottom style="thin"/>
      <diagonal/>
    </border>
    <border>
      <left/>
      <right/>
      <top style="medium"/>
      <bottom style="medium"/>
      <diagonal/>
    </border>
  </borders>
  <cellStyleXfs count="1">
    <xf numFmtId="0" fontId="0" fillId="0" borderId="0"/>
  </cellStyleXfs>
  <cellXfs count="103">
    <xf numFmtId="0" fontId="0" fillId="0" borderId="0" xfId="0"/>
    <xf numFmtId="0" fontId="1" fillId="0" borderId="0" xfId="0" applyFont="1"/>
    <xf numFmtId="0" fontId="2" fillId="0" borderId="0" xfId="0" applyFont="1"/>
    <xf numFmtId="164" fontId="3" fillId="0" borderId="0" xfId="0" applyNumberFormat="1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65" fontId="3" fillId="0" borderId="0" xfId="0" applyNumberFormat="1" applyFont="1"/>
    <xf numFmtId="164" fontId="3" fillId="0" borderId="2" xfId="0" applyNumberFormat="1" applyFont="1" applyBorder="1" applyAlignment="1">
      <alignment horizontal="center"/>
    </xf>
    <xf numFmtId="164" fontId="3" fillId="0" borderId="3" xfId="0" applyNumberFormat="1" applyFont="1" applyBorder="1" applyAlignment="1">
      <alignment horizontal="center"/>
    </xf>
    <xf numFmtId="0" fontId="4" fillId="0" borderId="0" xfId="0" applyFont="1"/>
    <xf numFmtId="0" fontId="3" fillId="0" borderId="0" xfId="0" applyFont="1" applyAlignment="1">
      <alignment horizontal="center"/>
    </xf>
    <xf numFmtId="0" fontId="3" fillId="0" borderId="4" xfId="0" applyFont="1" applyBorder="1" applyAlignment="1">
      <alignment horizontal="center" vertical="center" wrapText="1"/>
    </xf>
    <xf numFmtId="166" fontId="3" fillId="2" borderId="4" xfId="0" applyNumberFormat="1" applyFont="1" applyFill="1" applyBorder="1" applyAlignment="1">
      <alignment horizontal="center" vertical="center" wrapText="1"/>
    </xf>
    <xf numFmtId="166" fontId="3" fillId="3" borderId="4" xfId="0" applyNumberFormat="1" applyFont="1" applyFill="1" applyBorder="1" applyAlignment="1">
      <alignment horizontal="center" vertical="center" wrapText="1"/>
    </xf>
    <xf numFmtId="166" fontId="3" fillId="0" borderId="5" xfId="0" applyNumberFormat="1" applyFont="1" applyBorder="1" applyAlignment="1">
      <alignment horizontal="center" vertical="center" wrapText="1"/>
    </xf>
    <xf numFmtId="166" fontId="3" fillId="0" borderId="6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0" fontId="5" fillId="0" borderId="0" xfId="0" applyFont="1"/>
    <xf numFmtId="0" fontId="2" fillId="4" borderId="9" xfId="0" applyFont="1" applyFill="1" applyBorder="1" applyAlignment="1">
      <alignment horizontal="left"/>
    </xf>
    <xf numFmtId="0" fontId="2" fillId="4" borderId="9" xfId="0" applyFont="1" applyFill="1" applyBorder="1"/>
    <xf numFmtId="0" fontId="0" fillId="4" borderId="0" xfId="0" applyFill="1"/>
    <xf numFmtId="3" fontId="2" fillId="4" borderId="9" xfId="0" applyNumberFormat="1" applyFont="1" applyFill="1" applyBorder="1"/>
    <xf numFmtId="3" fontId="3" fillId="0" borderId="10" xfId="0" applyNumberFormat="1" applyFont="1" applyBorder="1"/>
    <xf numFmtId="3" fontId="6" fillId="0" borderId="11" xfId="0" applyNumberFormat="1" applyFont="1" applyBorder="1"/>
    <xf numFmtId="0" fontId="3" fillId="0" borderId="12" xfId="0" applyFont="1" applyBorder="1"/>
    <xf numFmtId="0" fontId="7" fillId="0" borderId="12" xfId="0" applyFont="1" applyBorder="1"/>
    <xf numFmtId="3" fontId="3" fillId="0" borderId="12" xfId="0" applyNumberFormat="1" applyFont="1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2" fillId="0" borderId="15" xfId="0" applyFont="1" applyBorder="1"/>
    <xf numFmtId="0" fontId="0" fillId="0" borderId="16" xfId="0" applyBorder="1"/>
    <xf numFmtId="3" fontId="2" fillId="0" borderId="16" xfId="0" applyNumberFormat="1" applyFont="1" applyBorder="1"/>
    <xf numFmtId="3" fontId="2" fillId="0" borderId="15" xfId="0" applyNumberFormat="1" applyFont="1" applyBorder="1"/>
    <xf numFmtId="3" fontId="2" fillId="0" borderId="17" xfId="0" applyNumberFormat="1" applyFont="1" applyBorder="1"/>
    <xf numFmtId="0" fontId="2" fillId="5" borderId="9" xfId="0" applyFont="1" applyFill="1" applyBorder="1"/>
    <xf numFmtId="0" fontId="3" fillId="5" borderId="9" xfId="0" applyFont="1" applyFill="1" applyBorder="1"/>
    <xf numFmtId="3" fontId="2" fillId="5" borderId="9" xfId="0" applyNumberFormat="1" applyFont="1" applyFill="1" applyBorder="1"/>
    <xf numFmtId="0" fontId="2" fillId="6" borderId="9" xfId="0" applyFont="1" applyFill="1" applyBorder="1"/>
    <xf numFmtId="0" fontId="7" fillId="6" borderId="9" xfId="0" applyFont="1" applyFill="1" applyBorder="1"/>
    <xf numFmtId="3" fontId="3" fillId="6" borderId="9" xfId="0" applyNumberFormat="1" applyFont="1" applyFill="1" applyBorder="1"/>
    <xf numFmtId="3" fontId="2" fillId="6" borderId="9" xfId="0" applyNumberFormat="1" applyFont="1" applyFill="1" applyBorder="1"/>
    <xf numFmtId="0" fontId="0" fillId="6" borderId="10" xfId="0" applyFill="1" applyBorder="1"/>
    <xf numFmtId="3" fontId="3" fillId="6" borderId="11" xfId="0" applyNumberFormat="1" applyFont="1" applyFill="1" applyBorder="1"/>
    <xf numFmtId="0" fontId="8" fillId="0" borderId="0" xfId="0" applyFont="1"/>
    <xf numFmtId="0" fontId="3" fillId="0" borderId="4" xfId="0" applyFont="1" applyBorder="1"/>
    <xf numFmtId="0" fontId="0" fillId="0" borderId="4" xfId="0" applyBorder="1"/>
    <xf numFmtId="3" fontId="3" fillId="0" borderId="4" xfId="0" applyNumberFormat="1" applyFont="1" applyBorder="1"/>
    <xf numFmtId="3" fontId="3" fillId="0" borderId="7" xfId="0" applyNumberFormat="1" applyFont="1" applyBorder="1"/>
    <xf numFmtId="0" fontId="0" fillId="0" borderId="8" xfId="0" applyBorder="1"/>
    <xf numFmtId="0" fontId="2" fillId="0" borderId="4" xfId="0" applyFont="1" applyBorder="1"/>
    <xf numFmtId="3" fontId="2" fillId="0" borderId="4" xfId="0" applyNumberFormat="1" applyFont="1" applyBorder="1"/>
    <xf numFmtId="3" fontId="2" fillId="0" borderId="7" xfId="0" applyNumberFormat="1" applyFont="1" applyBorder="1"/>
    <xf numFmtId="0" fontId="0" fillId="0" borderId="7" xfId="0" applyBorder="1"/>
    <xf numFmtId="3" fontId="2" fillId="0" borderId="8" xfId="0" applyNumberFormat="1" applyFont="1" applyBorder="1"/>
    <xf numFmtId="1" fontId="3" fillId="0" borderId="8" xfId="0" applyNumberFormat="1" applyFont="1" applyBorder="1"/>
    <xf numFmtId="0" fontId="2" fillId="2" borderId="0" xfId="0" applyFont="1" applyFill="1"/>
    <xf numFmtId="0" fontId="0" fillId="2" borderId="0" xfId="0" applyFill="1"/>
    <xf numFmtId="0" fontId="3" fillId="0" borderId="18" xfId="0" applyFont="1" applyBorder="1" applyAlignment="1">
      <alignment horizontal="center" vertical="center" wrapText="1"/>
    </xf>
    <xf numFmtId="0" fontId="3" fillId="2" borderId="18" xfId="0" applyFont="1" applyFill="1" applyBorder="1" applyAlignment="1">
      <alignment horizontal="center" vertical="center" wrapText="1"/>
    </xf>
    <xf numFmtId="0" fontId="3" fillId="3" borderId="18" xfId="0" applyFont="1" applyFill="1" applyBorder="1" applyAlignment="1">
      <alignment horizontal="center" vertical="center" wrapText="1"/>
    </xf>
    <xf numFmtId="0" fontId="9" fillId="7" borderId="0" xfId="0" applyFont="1" applyFill="1"/>
    <xf numFmtId="3" fontId="3" fillId="8" borderId="12" xfId="0" applyNumberFormat="1" applyFont="1" applyFill="1" applyBorder="1"/>
    <xf numFmtId="0" fontId="10" fillId="0" borderId="0" xfId="0" applyFont="1"/>
    <xf numFmtId="0" fontId="11" fillId="0" borderId="0" xfId="0" applyFont="1"/>
    <xf numFmtId="0" fontId="2" fillId="0" borderId="4" xfId="0" applyFon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167" fontId="12" fillId="0" borderId="4" xfId="0" applyNumberFormat="1" applyFont="1" applyBorder="1"/>
    <xf numFmtId="0" fontId="13" fillId="0" borderId="4" xfId="0" applyFont="1" applyBorder="1" applyAlignment="1">
      <alignment vertical="top" wrapText="1"/>
    </xf>
    <xf numFmtId="167" fontId="14" fillId="0" borderId="4" xfId="0" applyNumberFormat="1" applyFont="1" applyBorder="1"/>
    <xf numFmtId="0" fontId="2" fillId="0" borderId="4" xfId="0" applyFont="1" applyBorder="1" applyAlignment="1">
      <alignment horizontal="center"/>
    </xf>
    <xf numFmtId="167" fontId="15" fillId="0" borderId="4" xfId="0" applyNumberFormat="1" applyFont="1" applyBorder="1"/>
    <xf numFmtId="0" fontId="2" fillId="9" borderId="4" xfId="0" applyFont="1" applyFill="1" applyBorder="1" applyAlignment="1">
      <alignment horizontal="center"/>
    </xf>
    <xf numFmtId="167" fontId="16" fillId="9" borderId="4" xfId="0" applyNumberFormat="1" applyFont="1" applyFill="1" applyBorder="1"/>
    <xf numFmtId="167" fontId="17" fillId="0" borderId="4" xfId="0" applyNumberFormat="1" applyFont="1" applyBorder="1"/>
    <xf numFmtId="0" fontId="2" fillId="2" borderId="4" xfId="0" applyFont="1" applyFill="1" applyBorder="1" applyAlignment="1">
      <alignment horizontal="center" wrapText="1"/>
    </xf>
    <xf numFmtId="0" fontId="2" fillId="2" borderId="0" xfId="0" applyFont="1" applyFill="1" applyAlignment="1">
      <alignment horizontal="center" wrapText="1"/>
    </xf>
    <xf numFmtId="167" fontId="2" fillId="2" borderId="4" xfId="0" applyNumberFormat="1" applyFont="1" applyFill="1" applyBorder="1" applyAlignment="1">
      <alignment horizontal="center" wrapText="1"/>
    </xf>
    <xf numFmtId="0" fontId="3" fillId="0" borderId="0" xfId="0" applyFont="1"/>
    <xf numFmtId="167" fontId="3" fillId="0" borderId="4" xfId="0" applyNumberFormat="1" applyFont="1" applyBorder="1"/>
    <xf numFmtId="167" fontId="2" fillId="0" borderId="0" xfId="0" applyNumberFormat="1" applyFont="1"/>
    <xf numFmtId="0" fontId="18" fillId="0" borderId="0" xfId="0" applyFont="1"/>
    <xf numFmtId="0" fontId="12" fillId="2" borderId="4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19" fillId="0" borderId="4" xfId="0" applyFont="1" applyBorder="1" applyAlignment="1">
      <alignment horizontal="center"/>
    </xf>
    <xf numFmtId="0" fontId="19" fillId="0" borderId="4" xfId="0" applyFont="1" applyBorder="1"/>
    <xf numFmtId="3" fontId="19" fillId="0" borderId="4" xfId="0" applyNumberFormat="1" applyFont="1" applyBorder="1"/>
    <xf numFmtId="0" fontId="2" fillId="0" borderId="19" xfId="0" applyFont="1" applyBorder="1"/>
    <xf numFmtId="3" fontId="2" fillId="0" borderId="19" xfId="0" applyNumberFormat="1" applyFont="1" applyBorder="1"/>
    <xf numFmtId="0" fontId="20" fillId="0" borderId="0" xfId="0" applyFont="1"/>
    <xf numFmtId="3" fontId="20" fillId="0" borderId="0" xfId="0" applyNumberFormat="1" applyFont="1"/>
    <xf numFmtId="168" fontId="3" fillId="0" borderId="4" xfId="0" applyNumberFormat="1" applyFont="1" applyBorder="1"/>
    <xf numFmtId="1" fontId="3" fillId="0" borderId="4" xfId="0" applyNumberFormat="1" applyFont="1" applyBorder="1"/>
    <xf numFmtId="169" fontId="3" fillId="0" borderId="4" xfId="0" applyNumberFormat="1" applyFont="1" applyBorder="1"/>
    <xf numFmtId="0" fontId="3" fillId="0" borderId="4" xfId="0" applyFont="1" applyBorder="1" applyAlignment="1">
      <alignment vertical="top" wrapText="1"/>
    </xf>
    <xf numFmtId="169" fontId="2" fillId="0" borderId="4" xfId="0" applyNumberFormat="1" applyFont="1" applyBorder="1"/>
    <xf numFmtId="0" fontId="3" fillId="0" borderId="0" xfId="0" applyFont="1" applyAlignment="1">
      <alignment vertical="top" wrapText="1"/>
    </xf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2">
    <dxf>
      <font>
        <b/>
        <color rgb="FFC00000"/>
      </font>
    </dxf>
    <dxf>
      <font>
        <b/>
        <color rgb="FF00B05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Y178"/>
  <sheetViews>
    <sheetView workbookViewId="0" showGridLines="0" zoomScale="90">
      <pane xSplit="4" ySplit="10" topLeftCell="E11" activePane="bottomRight" state="frozen"/>
      <selection pane="bottomRight"/>
    </sheetView>
  </sheetViews>
  <sheetFormatPr defaultRowHeight="15" outlineLevelRow="0" outlineLevelCol="0" x14ac:dyDescent="55"/>
  <cols>
    <col min="1" max="1" width="2.5" customWidth="1"/>
    <col min="2" max="2" width="7" customWidth="1"/>
    <col min="3" max="3" width="46" customWidth="1"/>
    <col min="4" max="4" width="30" customWidth="1"/>
    <col min="5" max="5" width="10" customWidth="1"/>
    <col min="6" max="6" width="11.5" customWidth="1"/>
    <col min="7" max="11" width="12.5" customWidth="1"/>
    <col min="12" max="12" width="1.5" customWidth="1"/>
    <col min="13" max="23" width="15.5" customWidth="1"/>
    <col min="24" max="24" width="2" customWidth="1"/>
    <col min="25" max="25" width="47" customWidth="1"/>
  </cols>
  <sheetData>
    <row r="1" spans="4:4" x14ac:dyDescent="0.25">
      <c r="D1" s="1" t="s">
        <v>0</v>
      </c>
    </row>
    <row r="2" spans="3:23" x14ac:dyDescent="0.25">
      <c r="C2" s="2" t="s">
        <v>1</v>
      </c>
      <c r="E2" s="3">
        <v>46295</v>
      </c>
      <c r="M2" s="4" t="s">
        <v>2</v>
      </c>
      <c r="N2" s="5" t="s">
        <v>3</v>
      </c>
      <c r="O2" s="5"/>
      <c r="P2" s="5" t="s">
        <v>4</v>
      </c>
      <c r="Q2" s="5"/>
      <c r="R2" s="5" t="s">
        <v>5</v>
      </c>
      <c r="S2" s="5"/>
      <c r="T2" s="5" t="s">
        <v>6</v>
      </c>
      <c r="U2" s="5"/>
      <c r="V2" s="5" t="s">
        <v>7</v>
      </c>
      <c r="W2" s="5"/>
    </row>
    <row r="3" spans="3:23" x14ac:dyDescent="0.25">
      <c r="C3" s="2" t="s">
        <v>8</v>
      </c>
      <c r="E3" s="6">
        <v>655.957</v>
      </c>
      <c r="M3" s="4" t="s">
        <v>9</v>
      </c>
      <c r="N3" s="7">
        <v>46300</v>
      </c>
      <c r="O3" s="7"/>
      <c r="P3" s="7">
        <f>N3+7</f>
      </c>
      <c r="Q3" s="7"/>
      <c r="R3" s="7">
        <f>P3+7</f>
      </c>
      <c r="S3" s="7"/>
      <c r="T3" s="7">
        <f>R3+7</f>
      </c>
      <c r="U3" s="7"/>
      <c r="V3" s="7">
        <f>T3+7</f>
      </c>
      <c r="W3" s="7"/>
    </row>
    <row r="4" spans="3:23" x14ac:dyDescent="0.25">
      <c r="C4" s="2" t="s">
        <v>10</v>
      </c>
      <c r="E4" s="3">
        <v>46302</v>
      </c>
      <c r="M4" s="4" t="s">
        <v>11</v>
      </c>
      <c r="N4" s="8">
        <f>N3+6</f>
      </c>
      <c r="O4" s="8"/>
      <c r="P4" s="8">
        <f>P3+6</f>
      </c>
      <c r="Q4" s="8"/>
      <c r="R4" s="8">
        <f>R3+6</f>
      </c>
      <c r="S4" s="8"/>
      <c r="T4" s="8">
        <f>T3+6</f>
      </c>
      <c r="U4" s="8"/>
      <c r="V4" s="8">
        <f>V3+6</f>
      </c>
      <c r="W4" s="8"/>
    </row>
    <row r="6" spans="3:3" x14ac:dyDescent="0.25">
      <c r="C6" s="2" t="s">
        <v>12</v>
      </c>
    </row>
    <row r="8" spans="6:23" x14ac:dyDescent="0.25">
      <c r="F8" s="9" t="s">
        <v>13</v>
      </c>
      <c r="G8" s="10" t="s">
        <v>3</v>
      </c>
      <c r="H8" s="10" t="s">
        <v>4</v>
      </c>
      <c r="I8" s="10" t="s">
        <v>5</v>
      </c>
      <c r="J8" s="10" t="s">
        <v>6</v>
      </c>
      <c r="K8" s="10" t="s">
        <v>7</v>
      </c>
      <c r="M8" s="9" t="s">
        <v>14</v>
      </c>
      <c r="N8" s="10" t="s">
        <v>3</v>
      </c>
      <c r="O8" s="10"/>
      <c r="P8" s="10" t="s">
        <v>4</v>
      </c>
      <c r="Q8" s="10"/>
      <c r="R8" s="10" t="s">
        <v>5</v>
      </c>
      <c r="S8" s="10"/>
      <c r="T8" s="10" t="s">
        <v>6</v>
      </c>
      <c r="U8" s="10"/>
      <c r="V8" s="10" t="s">
        <v>7</v>
      </c>
      <c r="W8" s="10"/>
    </row>
    <row r="9" ht="28.5" customHeight="1" spans="3:25" x14ac:dyDescent="0.25">
      <c r="C9" s="11" t="s">
        <v>15</v>
      </c>
      <c r="D9" s="11" t="s">
        <v>16</v>
      </c>
      <c r="F9" s="12">
        <f>$E$2</f>
      </c>
      <c r="G9" s="12">
        <f>N4</f>
      </c>
      <c r="H9" s="12">
        <f>P4</f>
      </c>
      <c r="I9" s="12">
        <f>R4</f>
      </c>
      <c r="J9" s="12">
        <f>T4</f>
      </c>
      <c r="K9" s="12">
        <f>V4</f>
      </c>
      <c r="M9" s="13">
        <f>$E$2</f>
      </c>
      <c r="N9" s="14">
        <f>N3</f>
      </c>
      <c r="O9" s="15">
        <f>N4</f>
      </c>
      <c r="P9" s="14">
        <f>P3</f>
      </c>
      <c r="Q9" s="15">
        <f>P4</f>
      </c>
      <c r="R9" s="14">
        <f>R3</f>
      </c>
      <c r="S9" s="15">
        <f>R4</f>
      </c>
      <c r="T9" s="14">
        <f>T3</f>
      </c>
      <c r="U9" s="15">
        <f>T4</f>
      </c>
      <c r="V9" s="14">
        <f>V3</f>
      </c>
      <c r="W9" s="15">
        <f>V4</f>
      </c>
      <c r="Y9" s="16" t="s">
        <v>17</v>
      </c>
    </row>
    <row r="10" ht="28.5" customHeight="1" spans="3:23" x14ac:dyDescent="0.25">
      <c r="C10" s="11" t="s">
        <v>18</v>
      </c>
      <c r="D10" s="11" t="s">
        <v>18</v>
      </c>
      <c r="F10" s="17" t="s">
        <v>19</v>
      </c>
      <c r="G10" s="17" t="s">
        <v>20</v>
      </c>
      <c r="H10" s="17" t="s">
        <v>20</v>
      </c>
      <c r="I10" s="17" t="s">
        <v>20</v>
      </c>
      <c r="J10" s="17" t="s">
        <v>20</v>
      </c>
      <c r="K10" s="17" t="s">
        <v>20</v>
      </c>
      <c r="M10" s="18" t="s">
        <v>19</v>
      </c>
      <c r="N10" s="19" t="s">
        <v>21</v>
      </c>
      <c r="O10" s="20" t="s">
        <v>20</v>
      </c>
      <c r="P10" s="19" t="s">
        <v>21</v>
      </c>
      <c r="Q10" s="20" t="s">
        <v>20</v>
      </c>
      <c r="R10" s="19" t="s">
        <v>21</v>
      </c>
      <c r="S10" s="20" t="s">
        <v>20</v>
      </c>
      <c r="T10" s="19" t="s">
        <v>21</v>
      </c>
      <c r="U10" s="20" t="s">
        <v>20</v>
      </c>
      <c r="V10" s="19" t="s">
        <v>21</v>
      </c>
      <c r="W10" s="20" t="s">
        <v>20</v>
      </c>
    </row>
    <row r="11" spans="1:23" x14ac:dyDescent="0.25">
      <c r="A11" s="21" t="s">
        <v>22</v>
      </c>
      <c r="C11" s="22" t="s">
        <v>23</v>
      </c>
      <c r="D11" s="23"/>
      <c r="E11" s="24"/>
      <c r="F11" s="25">
        <f>M11/$E$3</f>
      </c>
      <c r="G11" s="25">
        <f>O11/$E$3</f>
      </c>
      <c r="H11" s="25">
        <f>Q11/$E$3</f>
      </c>
      <c r="I11" s="25">
        <f>S11/$E$3</f>
      </c>
      <c r="J11" s="25">
        <f>U11/$E$3</f>
      </c>
      <c r="K11" s="25">
        <f>W11/$E$3</f>
      </c>
      <c r="L11" s="24"/>
      <c r="M11" s="25">
        <f>SUM(M12:M14)</f>
      </c>
      <c r="N11" s="26">
        <f>SUMIFS('Détail fonctionnement'!$E$5:$E$500,'Détail fonctionnement'!$A$5:$A$500,N$2,'Détail fonctionnement'!$G$5:$G$500,"O",'Détail fonctionnement'!$B$5:$B$500,$A11)</f>
      </c>
      <c r="O11" s="27">
        <f>M11+N11</f>
      </c>
      <c r="P11" s="26">
        <f>SUMIFS('Détail fonctionnement'!$E$5:$E$500,'Détail fonctionnement'!$A$5:$A$500,P$2,'Détail fonctionnement'!$G$5:$G$500,"O",'Détail fonctionnement'!$B$5:$B$500,$A11)</f>
      </c>
      <c r="Q11" s="27">
        <f>O11+P11</f>
      </c>
      <c r="R11" s="26">
        <f>SUMIFS('Détail fonctionnement'!$E$5:$E$500,'Détail fonctionnement'!$A$5:$A$500,R$2,'Détail fonctionnement'!$G$5:$G$500,"O",'Détail fonctionnement'!$B$5:$B$500,$A11)</f>
      </c>
      <c r="S11" s="27">
        <f>Q11+R11</f>
      </c>
      <c r="T11" s="26">
        <f>SUMIFS('Détail fonctionnement'!$E$5:$E$500,'Détail fonctionnement'!$A$5:$A$500,T$2,'Détail fonctionnement'!$G$5:$G$500,"O",'Détail fonctionnement'!$B$5:$B$500,$A11)</f>
      </c>
      <c r="U11" s="27">
        <f>S11+T11</f>
      </c>
      <c r="V11" s="26">
        <f>SUMIFS('Détail fonctionnement'!$E$5:$E$500,'Détail fonctionnement'!$A$5:$A$500,V$2,'Détail fonctionnement'!$G$5:$G$500,"O",'Détail fonctionnement'!$B$5:$B$500,$A11)</f>
      </c>
      <c r="W11" s="27">
        <f>U11+V11</f>
      </c>
    </row>
    <row r="12" spans="3:23" x14ac:dyDescent="0.25">
      <c r="C12" s="28" t="s">
        <v>24</v>
      </c>
      <c r="D12" s="29" t="s">
        <v>25</v>
      </c>
      <c r="F12" s="30">
        <f>M12/$E$3</f>
      </c>
      <c r="G12" s="31"/>
      <c r="H12" s="31"/>
      <c r="I12" s="31"/>
      <c r="J12" s="31"/>
      <c r="K12" s="31"/>
      <c r="M12" s="30">
        <f>'Position CI 30-09'!F5</f>
      </c>
      <c r="N12" s="32"/>
      <c r="O12" s="33"/>
      <c r="P12" s="32"/>
      <c r="Q12" s="33"/>
      <c r="R12" s="32"/>
      <c r="S12" s="33"/>
      <c r="T12" s="32"/>
      <c r="U12" s="33"/>
      <c r="V12" s="32"/>
      <c r="W12" s="33"/>
    </row>
    <row r="13" spans="3:23" x14ac:dyDescent="0.25">
      <c r="C13" s="28" t="s">
        <v>26</v>
      </c>
      <c r="D13" s="29" t="s">
        <v>27</v>
      </c>
      <c r="F13" s="30">
        <f>M13/$E$3</f>
      </c>
      <c r="G13" s="31"/>
      <c r="H13" s="31"/>
      <c r="I13" s="31"/>
      <c r="J13" s="31"/>
      <c r="K13" s="31"/>
      <c r="M13" s="30">
        <f>'Position CI 30-09'!F6</f>
      </c>
      <c r="N13" s="32"/>
      <c r="O13" s="33"/>
      <c r="P13" s="32"/>
      <c r="Q13" s="33"/>
      <c r="R13" s="32"/>
      <c r="S13" s="33"/>
      <c r="T13" s="32"/>
      <c r="U13" s="33"/>
      <c r="V13" s="32"/>
      <c r="W13" s="33"/>
    </row>
    <row r="14" spans="3:23" x14ac:dyDescent="0.25">
      <c r="C14" s="28" t="s">
        <v>28</v>
      </c>
      <c r="D14" s="29" t="s">
        <v>27</v>
      </c>
      <c r="F14" s="30">
        <f>M14/$E$3</f>
      </c>
      <c r="G14" s="31"/>
      <c r="H14" s="31"/>
      <c r="I14" s="31"/>
      <c r="J14" s="31"/>
      <c r="K14" s="31"/>
      <c r="M14" s="30">
        <f>'Position CI 30-09'!F7</f>
      </c>
      <c r="N14" s="32"/>
      <c r="O14" s="33"/>
      <c r="P14" s="32"/>
      <c r="Q14" s="33"/>
      <c r="R14" s="32"/>
      <c r="S14" s="33"/>
      <c r="T14" s="32"/>
      <c r="U14" s="33"/>
      <c r="V14" s="32"/>
      <c r="W14" s="33"/>
    </row>
    <row r="15" spans="1:23" x14ac:dyDescent="0.25">
      <c r="A15" s="21" t="s">
        <v>29</v>
      </c>
      <c r="C15" s="22" t="s">
        <v>30</v>
      </c>
      <c r="D15" s="23"/>
      <c r="E15" s="24"/>
      <c r="F15" s="25">
        <f>M15/$E$3</f>
      </c>
      <c r="G15" s="25">
        <f>O15/$E$3</f>
      </c>
      <c r="H15" s="25">
        <f>Q15/$E$3</f>
      </c>
      <c r="I15" s="25">
        <f>S15/$E$3</f>
      </c>
      <c r="J15" s="25">
        <f>U15/$E$3</f>
      </c>
      <c r="K15" s="25">
        <f>W15/$E$3</f>
      </c>
      <c r="L15" s="24"/>
      <c r="M15" s="25">
        <f>SUM(M16:M17)</f>
      </c>
      <c r="N15" s="26">
        <f>SUMIFS('Détail fonctionnement'!$E$5:$E$500,'Détail fonctionnement'!$A$5:$A$500,N$2,'Détail fonctionnement'!$G$5:$G$500,"O",'Détail fonctionnement'!$B$5:$B$500,$A15)</f>
      </c>
      <c r="O15" s="27">
        <f>M15+N15</f>
      </c>
      <c r="P15" s="26">
        <f>SUMIFS('Détail fonctionnement'!$E$5:$E$500,'Détail fonctionnement'!$A$5:$A$500,P$2,'Détail fonctionnement'!$G$5:$G$500,"O",'Détail fonctionnement'!$B$5:$B$500,$A15)</f>
      </c>
      <c r="Q15" s="27">
        <f>O15+P15</f>
      </c>
      <c r="R15" s="26">
        <f>SUMIFS('Détail fonctionnement'!$E$5:$E$500,'Détail fonctionnement'!$A$5:$A$500,R$2,'Détail fonctionnement'!$G$5:$G$500,"O",'Détail fonctionnement'!$B$5:$B$500,$A15)</f>
      </c>
      <c r="S15" s="27">
        <f>Q15+R15</f>
      </c>
      <c r="T15" s="26">
        <f>SUMIFS('Détail fonctionnement'!$E$5:$E$500,'Détail fonctionnement'!$A$5:$A$500,T$2,'Détail fonctionnement'!$G$5:$G$500,"O",'Détail fonctionnement'!$B$5:$B$500,$A15)</f>
      </c>
      <c r="U15" s="27">
        <f>S15+T15</f>
      </c>
      <c r="V15" s="26">
        <f>SUMIFS('Détail fonctionnement'!$E$5:$E$500,'Détail fonctionnement'!$A$5:$A$500,V$2,'Détail fonctionnement'!$G$5:$G$500,"O",'Détail fonctionnement'!$B$5:$B$500,$A15)</f>
      </c>
      <c r="W15" s="27">
        <f>U15+V15</f>
      </c>
    </row>
    <row r="16" spans="3:23" x14ac:dyDescent="0.25">
      <c r="C16" s="28" t="s">
        <v>31</v>
      </c>
      <c r="D16" s="29" t="s">
        <v>27</v>
      </c>
      <c r="F16" s="30">
        <f>M16/$E$3</f>
      </c>
      <c r="G16" s="31"/>
      <c r="H16" s="31"/>
      <c r="I16" s="31"/>
      <c r="J16" s="31"/>
      <c r="K16" s="31"/>
      <c r="M16" s="30">
        <f>'Position CI 30-09'!F8</f>
      </c>
      <c r="N16" s="32"/>
      <c r="O16" s="33"/>
      <c r="P16" s="32"/>
      <c r="Q16" s="33"/>
      <c r="R16" s="32"/>
      <c r="S16" s="33"/>
      <c r="T16" s="32"/>
      <c r="U16" s="33"/>
      <c r="V16" s="32"/>
      <c r="W16" s="33"/>
    </row>
    <row r="17" spans="3:23" x14ac:dyDescent="0.25">
      <c r="C17" s="28" t="s">
        <v>32</v>
      </c>
      <c r="D17" s="29" t="s">
        <v>27</v>
      </c>
      <c r="F17" s="30">
        <f>M17/$E$3</f>
      </c>
      <c r="G17" s="31"/>
      <c r="H17" s="31"/>
      <c r="I17" s="31"/>
      <c r="J17" s="31"/>
      <c r="K17" s="31"/>
      <c r="M17" s="30">
        <f>'Position CI 30-09'!F9</f>
      </c>
      <c r="N17" s="32"/>
      <c r="O17" s="33"/>
      <c r="P17" s="32"/>
      <c r="Q17" s="33"/>
      <c r="R17" s="32"/>
      <c r="S17" s="33"/>
      <c r="T17" s="32"/>
      <c r="U17" s="33"/>
      <c r="V17" s="32"/>
      <c r="W17" s="33"/>
    </row>
    <row r="18" spans="1:23" x14ac:dyDescent="0.25">
      <c r="A18" s="21" t="s">
        <v>33</v>
      </c>
      <c r="C18" s="22" t="s">
        <v>33</v>
      </c>
      <c r="D18" s="23"/>
      <c r="E18" s="24"/>
      <c r="F18" s="25">
        <f>M18/$E$3</f>
      </c>
      <c r="G18" s="25">
        <f>O18/$E$3</f>
      </c>
      <c r="H18" s="25">
        <f>Q18/$E$3</f>
      </c>
      <c r="I18" s="25">
        <f>S18/$E$3</f>
      </c>
      <c r="J18" s="25">
        <f>U18/$E$3</f>
      </c>
      <c r="K18" s="25">
        <f>W18/$E$3</f>
      </c>
      <c r="L18" s="24"/>
      <c r="M18" s="25">
        <f>SUM(M19:M20)</f>
      </c>
      <c r="N18" s="26">
        <f>SUMIFS('Détail fonctionnement'!$E$5:$E$500,'Détail fonctionnement'!$A$5:$A$500,N$2,'Détail fonctionnement'!$G$5:$G$500,"O",'Détail fonctionnement'!$B$5:$B$500,$A18)</f>
      </c>
      <c r="O18" s="27">
        <f>M18+N18</f>
      </c>
      <c r="P18" s="26">
        <f>SUMIFS('Détail fonctionnement'!$E$5:$E$500,'Détail fonctionnement'!$A$5:$A$500,P$2,'Détail fonctionnement'!$G$5:$G$500,"O",'Détail fonctionnement'!$B$5:$B$500,$A18)</f>
      </c>
      <c r="Q18" s="27">
        <f>O18+P18</f>
      </c>
      <c r="R18" s="26">
        <f>SUMIFS('Détail fonctionnement'!$E$5:$E$500,'Détail fonctionnement'!$A$5:$A$500,R$2,'Détail fonctionnement'!$G$5:$G$500,"O",'Détail fonctionnement'!$B$5:$B$500,$A18)</f>
      </c>
      <c r="S18" s="27">
        <f>Q18+R18</f>
      </c>
      <c r="T18" s="26">
        <f>SUMIFS('Détail fonctionnement'!$E$5:$E$500,'Détail fonctionnement'!$A$5:$A$500,T$2,'Détail fonctionnement'!$G$5:$G$500,"O",'Détail fonctionnement'!$B$5:$B$500,$A18)</f>
      </c>
      <c r="U18" s="27">
        <f>S18+T18</f>
      </c>
      <c r="V18" s="26">
        <f>SUMIFS('Détail fonctionnement'!$E$5:$E$500,'Détail fonctionnement'!$A$5:$A$500,V$2,'Détail fonctionnement'!$G$5:$G$500,"O",'Détail fonctionnement'!$B$5:$B$500,$A18)</f>
      </c>
      <c r="W18" s="27">
        <f>U18+V18</f>
      </c>
    </row>
    <row r="19" spans="3:23" x14ac:dyDescent="0.25">
      <c r="C19" s="28" t="s">
        <v>34</v>
      </c>
      <c r="D19" s="29" t="s">
        <v>27</v>
      </c>
      <c r="F19" s="30">
        <f>M19/$E$3</f>
      </c>
      <c r="G19" s="31"/>
      <c r="H19" s="31"/>
      <c r="I19" s="31"/>
      <c r="J19" s="31"/>
      <c r="K19" s="31"/>
      <c r="M19" s="30">
        <f>'Position CI 30-09'!F10</f>
      </c>
      <c r="N19" s="32"/>
      <c r="O19" s="33"/>
      <c r="P19" s="32"/>
      <c r="Q19" s="33"/>
      <c r="R19" s="32"/>
      <c r="S19" s="33"/>
      <c r="T19" s="32"/>
      <c r="U19" s="33"/>
      <c r="V19" s="32"/>
      <c r="W19" s="33"/>
    </row>
    <row r="20" spans="3:23" x14ac:dyDescent="0.25">
      <c r="C20" s="28" t="s">
        <v>35</v>
      </c>
      <c r="D20" s="29" t="s">
        <v>27</v>
      </c>
      <c r="F20" s="30">
        <f>M20/$E$3</f>
      </c>
      <c r="G20" s="31"/>
      <c r="H20" s="31"/>
      <c r="I20" s="31"/>
      <c r="J20" s="31"/>
      <c r="K20" s="31"/>
      <c r="M20" s="30">
        <f>'Position CI 30-09'!F11</f>
      </c>
      <c r="N20" s="32"/>
      <c r="O20" s="33"/>
      <c r="P20" s="32"/>
      <c r="Q20" s="33"/>
      <c r="R20" s="32"/>
      <c r="S20" s="33"/>
      <c r="T20" s="32"/>
      <c r="U20" s="33"/>
      <c r="V20" s="32"/>
      <c r="W20" s="33"/>
    </row>
    <row r="21" spans="1:23" x14ac:dyDescent="0.25">
      <c r="A21" s="21" t="s">
        <v>36</v>
      </c>
      <c r="C21" s="22" t="s">
        <v>37</v>
      </c>
      <c r="D21" s="23"/>
      <c r="E21" s="24"/>
      <c r="F21" s="25">
        <f>M21/$E$3</f>
      </c>
      <c r="G21" s="25">
        <f>O21/$E$3</f>
      </c>
      <c r="H21" s="25">
        <f>Q21/$E$3</f>
      </c>
      <c r="I21" s="25">
        <f>S21/$E$3</f>
      </c>
      <c r="J21" s="25">
        <f>U21/$E$3</f>
      </c>
      <c r="K21" s="25">
        <f>W21/$E$3</f>
      </c>
      <c r="L21" s="24"/>
      <c r="M21" s="25">
        <f>SUM(M22:M22)</f>
      </c>
      <c r="N21" s="26">
        <f>SUMIFS('Détail fonctionnement'!$E$5:$E$500,'Détail fonctionnement'!$A$5:$A$500,N$2,'Détail fonctionnement'!$G$5:$G$500,"O",'Détail fonctionnement'!$B$5:$B$500,$A21)</f>
      </c>
      <c r="O21" s="27">
        <f>M21+N21</f>
      </c>
      <c r="P21" s="26">
        <f>SUMIFS('Détail fonctionnement'!$E$5:$E$500,'Détail fonctionnement'!$A$5:$A$500,P$2,'Détail fonctionnement'!$G$5:$G$500,"O",'Détail fonctionnement'!$B$5:$B$500,$A21)</f>
      </c>
      <c r="Q21" s="27">
        <f>O21+P21</f>
      </c>
      <c r="R21" s="26">
        <f>SUMIFS('Détail fonctionnement'!$E$5:$E$500,'Détail fonctionnement'!$A$5:$A$500,R$2,'Détail fonctionnement'!$G$5:$G$500,"O",'Détail fonctionnement'!$B$5:$B$500,$A21)</f>
      </c>
      <c r="S21" s="27">
        <f>Q21+R21</f>
      </c>
      <c r="T21" s="26">
        <f>SUMIFS('Détail fonctionnement'!$E$5:$E$500,'Détail fonctionnement'!$A$5:$A$500,T$2,'Détail fonctionnement'!$G$5:$G$500,"O",'Détail fonctionnement'!$B$5:$B$500,$A21)</f>
      </c>
      <c r="U21" s="27">
        <f>S21+T21</f>
      </c>
      <c r="V21" s="26">
        <f>SUMIFS('Détail fonctionnement'!$E$5:$E$500,'Détail fonctionnement'!$A$5:$A$500,V$2,'Détail fonctionnement'!$G$5:$G$500,"O",'Détail fonctionnement'!$B$5:$B$500,$A21)</f>
      </c>
      <c r="W21" s="27">
        <f>U21+V21</f>
      </c>
    </row>
    <row r="22" spans="3:23" x14ac:dyDescent="0.25">
      <c r="C22" s="28" t="s">
        <v>38</v>
      </c>
      <c r="D22" s="29" t="s">
        <v>27</v>
      </c>
      <c r="F22" s="30">
        <f>M22/$E$3</f>
      </c>
      <c r="G22" s="31"/>
      <c r="H22" s="31"/>
      <c r="I22" s="31"/>
      <c r="J22" s="31"/>
      <c r="K22" s="31"/>
      <c r="M22" s="30">
        <f>'Position CI 30-09'!F12</f>
      </c>
      <c r="N22" s="32"/>
      <c r="O22" s="33"/>
      <c r="P22" s="32"/>
      <c r="Q22" s="33"/>
      <c r="R22" s="32"/>
      <c r="S22" s="33"/>
      <c r="T22" s="32"/>
      <c r="U22" s="33"/>
      <c r="V22" s="32"/>
      <c r="W22" s="33"/>
    </row>
    <row r="23" spans="1:23" x14ac:dyDescent="0.25">
      <c r="A23" s="21" t="s">
        <v>39</v>
      </c>
      <c r="C23" s="22" t="s">
        <v>39</v>
      </c>
      <c r="D23" s="23"/>
      <c r="E23" s="24"/>
      <c r="F23" s="25">
        <f>M23/$E$3</f>
      </c>
      <c r="G23" s="25">
        <f>O23/$E$3</f>
      </c>
      <c r="H23" s="25">
        <f>Q23/$E$3</f>
      </c>
      <c r="I23" s="25">
        <f>S23/$E$3</f>
      </c>
      <c r="J23" s="25">
        <f>U23/$E$3</f>
      </c>
      <c r="K23" s="25">
        <f>W23/$E$3</f>
      </c>
      <c r="L23" s="24"/>
      <c r="M23" s="25">
        <f>SUM(M24:M28)</f>
      </c>
      <c r="N23" s="26">
        <f>SUMIFS('Détail fonctionnement'!$E$5:$E$500,'Détail fonctionnement'!$A$5:$A$500,N$2,'Détail fonctionnement'!$G$5:$G$500,"O",'Détail fonctionnement'!$B$5:$B$500,$A23)</f>
      </c>
      <c r="O23" s="27">
        <f>M23+N23</f>
      </c>
      <c r="P23" s="26">
        <f>SUMIFS('Détail fonctionnement'!$E$5:$E$500,'Détail fonctionnement'!$A$5:$A$500,P$2,'Détail fonctionnement'!$G$5:$G$500,"O",'Détail fonctionnement'!$B$5:$B$500,$A23)</f>
      </c>
      <c r="Q23" s="27">
        <f>O23+P23</f>
      </c>
      <c r="R23" s="26">
        <f>SUMIFS('Détail fonctionnement'!$E$5:$E$500,'Détail fonctionnement'!$A$5:$A$500,R$2,'Détail fonctionnement'!$G$5:$G$500,"O",'Détail fonctionnement'!$B$5:$B$500,$A23)</f>
      </c>
      <c r="S23" s="27">
        <f>Q23+R23</f>
      </c>
      <c r="T23" s="26">
        <f>SUMIFS('Détail fonctionnement'!$E$5:$E$500,'Détail fonctionnement'!$A$5:$A$500,T$2,'Détail fonctionnement'!$G$5:$G$500,"O",'Détail fonctionnement'!$B$5:$B$500,$A23)</f>
      </c>
      <c r="U23" s="27">
        <f>S23+T23</f>
      </c>
      <c r="V23" s="26">
        <f>SUMIFS('Détail fonctionnement'!$E$5:$E$500,'Détail fonctionnement'!$A$5:$A$500,V$2,'Détail fonctionnement'!$G$5:$G$500,"O",'Détail fonctionnement'!$B$5:$B$500,$A23)</f>
      </c>
      <c r="W23" s="27">
        <f>U23+V23</f>
      </c>
    </row>
    <row r="24" spans="3:23" x14ac:dyDescent="0.25">
      <c r="C24" s="28" t="s">
        <v>40</v>
      </c>
      <c r="D24" s="29" t="s">
        <v>27</v>
      </c>
      <c r="F24" s="30">
        <f>M24/$E$3</f>
      </c>
      <c r="G24" s="31"/>
      <c r="H24" s="31"/>
      <c r="I24" s="31"/>
      <c r="J24" s="31"/>
      <c r="K24" s="31"/>
      <c r="M24" s="30">
        <f>'Position CI 30-09'!F14</f>
      </c>
      <c r="N24" s="32"/>
      <c r="O24" s="33"/>
      <c r="P24" s="32"/>
      <c r="Q24" s="33"/>
      <c r="R24" s="32"/>
      <c r="S24" s="33"/>
      <c r="T24" s="32"/>
      <c r="U24" s="33"/>
      <c r="V24" s="32"/>
      <c r="W24" s="33"/>
    </row>
    <row r="25" spans="3:23" x14ac:dyDescent="0.25">
      <c r="C25" s="28" t="s">
        <v>41</v>
      </c>
      <c r="D25" s="29" t="s">
        <v>27</v>
      </c>
      <c r="F25" s="30">
        <f>M25/$E$3</f>
      </c>
      <c r="G25" s="31"/>
      <c r="H25" s="31"/>
      <c r="I25" s="31"/>
      <c r="J25" s="31"/>
      <c r="K25" s="31"/>
      <c r="M25" s="30">
        <f>'Position CI 30-09'!F15</f>
      </c>
      <c r="N25" s="32"/>
      <c r="O25" s="33"/>
      <c r="P25" s="32"/>
      <c r="Q25" s="33"/>
      <c r="R25" s="32"/>
      <c r="S25" s="33"/>
      <c r="T25" s="32"/>
      <c r="U25" s="33"/>
      <c r="V25" s="32"/>
      <c r="W25" s="33"/>
    </row>
    <row r="26" spans="3:23" x14ac:dyDescent="0.25">
      <c r="C26" s="28" t="s">
        <v>42</v>
      </c>
      <c r="D26" s="29" t="s">
        <v>43</v>
      </c>
      <c r="F26" s="30">
        <f>M26/$E$3</f>
      </c>
      <c r="G26" s="31"/>
      <c r="H26" s="31"/>
      <c r="I26" s="31"/>
      <c r="J26" s="31"/>
      <c r="K26" s="31"/>
      <c r="M26" s="30">
        <f>'Position CI 30-09'!F16</f>
      </c>
      <c r="N26" s="32"/>
      <c r="O26" s="33"/>
      <c r="P26" s="32"/>
      <c r="Q26" s="33"/>
      <c r="R26" s="32"/>
      <c r="S26" s="33"/>
      <c r="T26" s="32"/>
      <c r="U26" s="33"/>
      <c r="V26" s="32"/>
      <c r="W26" s="33"/>
    </row>
    <row r="27" spans="3:23" x14ac:dyDescent="0.25">
      <c r="C27" s="28" t="s">
        <v>44</v>
      </c>
      <c r="D27" s="29" t="s">
        <v>43</v>
      </c>
      <c r="F27" s="30">
        <f>M27/$E$3</f>
      </c>
      <c r="G27" s="31"/>
      <c r="H27" s="31"/>
      <c r="I27" s="31"/>
      <c r="J27" s="31"/>
      <c r="K27" s="31"/>
      <c r="M27" s="30">
        <f>'Position CI 30-09'!F17</f>
      </c>
      <c r="N27" s="32"/>
      <c r="O27" s="33"/>
      <c r="P27" s="32"/>
      <c r="Q27" s="33"/>
      <c r="R27" s="32"/>
      <c r="S27" s="33"/>
      <c r="T27" s="32"/>
      <c r="U27" s="33"/>
      <c r="V27" s="32"/>
      <c r="W27" s="33"/>
    </row>
    <row r="28" spans="3:23" x14ac:dyDescent="0.25">
      <c r="C28" s="28" t="s">
        <v>45</v>
      </c>
      <c r="D28" s="29" t="s">
        <v>27</v>
      </c>
      <c r="F28" s="30">
        <f>M28/$E$3</f>
      </c>
      <c r="G28" s="31"/>
      <c r="H28" s="31"/>
      <c r="I28" s="31"/>
      <c r="J28" s="31"/>
      <c r="K28" s="31"/>
      <c r="M28" s="30">
        <f>'Position CI 30-09'!F18</f>
      </c>
      <c r="N28" s="32"/>
      <c r="O28" s="33"/>
      <c r="P28" s="32"/>
      <c r="Q28" s="33"/>
      <c r="R28" s="32"/>
      <c r="S28" s="33"/>
      <c r="T28" s="32"/>
      <c r="U28" s="33"/>
      <c r="V28" s="32"/>
      <c r="W28" s="33"/>
    </row>
    <row r="29" spans="1:23" x14ac:dyDescent="0.25">
      <c r="A29" s="21" t="s">
        <v>46</v>
      </c>
      <c r="C29" s="22" t="s">
        <v>47</v>
      </c>
      <c r="D29" s="23"/>
      <c r="E29" s="24"/>
      <c r="F29" s="25">
        <f>M29/$E$3</f>
      </c>
      <c r="G29" s="25">
        <f>O29/$E$3</f>
      </c>
      <c r="H29" s="25">
        <f>Q29/$E$3</f>
      </c>
      <c r="I29" s="25">
        <f>S29/$E$3</f>
      </c>
      <c r="J29" s="25">
        <f>U29/$E$3</f>
      </c>
      <c r="K29" s="25">
        <f>W29/$E$3</f>
      </c>
      <c r="L29" s="24"/>
      <c r="M29" s="25">
        <f>SUM(M30:M31)</f>
      </c>
      <c r="N29" s="26">
        <f>SUMIFS('Détail fonctionnement'!$E$5:$E$500,'Détail fonctionnement'!$A$5:$A$500,N$2,'Détail fonctionnement'!$G$5:$G$500,"O",'Détail fonctionnement'!$B$5:$B$500,$A29)</f>
      </c>
      <c r="O29" s="27">
        <f>M29+N29</f>
      </c>
      <c r="P29" s="26">
        <f>SUMIFS('Détail fonctionnement'!$E$5:$E$500,'Détail fonctionnement'!$A$5:$A$500,P$2,'Détail fonctionnement'!$G$5:$G$500,"O",'Détail fonctionnement'!$B$5:$B$500,$A29)</f>
      </c>
      <c r="Q29" s="27">
        <f>O29+P29</f>
      </c>
      <c r="R29" s="26">
        <f>SUMIFS('Détail fonctionnement'!$E$5:$E$500,'Détail fonctionnement'!$A$5:$A$500,R$2,'Détail fonctionnement'!$G$5:$G$500,"O",'Détail fonctionnement'!$B$5:$B$500,$A29)</f>
      </c>
      <c r="S29" s="27">
        <f>Q29+R29</f>
      </c>
      <c r="T29" s="26">
        <f>SUMIFS('Détail fonctionnement'!$E$5:$E$500,'Détail fonctionnement'!$A$5:$A$500,T$2,'Détail fonctionnement'!$G$5:$G$500,"O",'Détail fonctionnement'!$B$5:$B$500,$A29)</f>
      </c>
      <c r="U29" s="27">
        <f>S29+T29</f>
      </c>
      <c r="V29" s="26">
        <f>SUMIFS('Détail fonctionnement'!$E$5:$E$500,'Détail fonctionnement'!$A$5:$A$500,V$2,'Détail fonctionnement'!$G$5:$G$500,"O",'Détail fonctionnement'!$B$5:$B$500,$A29)</f>
      </c>
      <c r="W29" s="27">
        <f>U29+V29</f>
      </c>
    </row>
    <row r="30" spans="3:23" x14ac:dyDescent="0.25">
      <c r="C30" s="28" t="s">
        <v>48</v>
      </c>
      <c r="D30" s="29" t="s">
        <v>27</v>
      </c>
      <c r="F30" s="30">
        <f>M30/$E$3</f>
      </c>
      <c r="G30" s="31"/>
      <c r="H30" s="31"/>
      <c r="I30" s="31"/>
      <c r="J30" s="31"/>
      <c r="K30" s="31"/>
      <c r="M30" s="30">
        <f>'Position CI 30-09'!F19</f>
      </c>
      <c r="N30" s="32"/>
      <c r="O30" s="33"/>
      <c r="P30" s="32"/>
      <c r="Q30" s="33"/>
      <c r="R30" s="32"/>
      <c r="S30" s="33"/>
      <c r="T30" s="32"/>
      <c r="U30" s="33"/>
      <c r="V30" s="32"/>
      <c r="W30" s="33"/>
    </row>
    <row r="31" spans="3:23" x14ac:dyDescent="0.25">
      <c r="C31" s="28" t="s">
        <v>49</v>
      </c>
      <c r="D31" s="29" t="s">
        <v>27</v>
      </c>
      <c r="F31" s="30">
        <f>M31/$E$3</f>
      </c>
      <c r="G31" s="31"/>
      <c r="H31" s="31"/>
      <c r="I31" s="31"/>
      <c r="J31" s="31"/>
      <c r="K31" s="31"/>
      <c r="M31" s="30">
        <f>'Position CI 30-09'!F20</f>
      </c>
      <c r="N31" s="32"/>
      <c r="O31" s="33"/>
      <c r="P31" s="32"/>
      <c r="Q31" s="33"/>
      <c r="R31" s="32"/>
      <c r="S31" s="33"/>
      <c r="T31" s="32"/>
      <c r="U31" s="33"/>
      <c r="V31" s="32"/>
      <c r="W31" s="33"/>
    </row>
    <row r="32" spans="1:23" x14ac:dyDescent="0.25">
      <c r="A32" s="21" t="s">
        <v>50</v>
      </c>
      <c r="C32" s="22" t="s">
        <v>50</v>
      </c>
      <c r="D32" s="23"/>
      <c r="E32" s="24"/>
      <c r="F32" s="25">
        <f>M32/$E$3</f>
      </c>
      <c r="G32" s="25">
        <f>O32/$E$3</f>
      </c>
      <c r="H32" s="25">
        <f>Q32/$E$3</f>
      </c>
      <c r="I32" s="25">
        <f>S32/$E$3</f>
      </c>
      <c r="J32" s="25">
        <f>U32/$E$3</f>
      </c>
      <c r="K32" s="25">
        <f>W32/$E$3</f>
      </c>
      <c r="L32" s="24"/>
      <c r="M32" s="25">
        <f>SUM(M33:M34)</f>
      </c>
      <c r="N32" s="26">
        <f>SUMIFS('Détail fonctionnement'!$E$5:$E$500,'Détail fonctionnement'!$A$5:$A$500,N$2,'Détail fonctionnement'!$G$5:$G$500,"O",'Détail fonctionnement'!$B$5:$B$500,$A32)</f>
      </c>
      <c r="O32" s="27">
        <f>M32+N32</f>
      </c>
      <c r="P32" s="26">
        <f>SUMIFS('Détail fonctionnement'!$E$5:$E$500,'Détail fonctionnement'!$A$5:$A$500,P$2,'Détail fonctionnement'!$G$5:$G$500,"O",'Détail fonctionnement'!$B$5:$B$500,$A32)</f>
      </c>
      <c r="Q32" s="27">
        <f>O32+P32</f>
      </c>
      <c r="R32" s="26">
        <f>SUMIFS('Détail fonctionnement'!$E$5:$E$500,'Détail fonctionnement'!$A$5:$A$500,R$2,'Détail fonctionnement'!$G$5:$G$500,"O",'Détail fonctionnement'!$B$5:$B$500,$A32)</f>
      </c>
      <c r="S32" s="27">
        <f>Q32+R32</f>
      </c>
      <c r="T32" s="26">
        <f>SUMIFS('Détail fonctionnement'!$E$5:$E$500,'Détail fonctionnement'!$A$5:$A$500,T$2,'Détail fonctionnement'!$G$5:$G$500,"O",'Détail fonctionnement'!$B$5:$B$500,$A32)</f>
      </c>
      <c r="U32" s="27">
        <f>S32+T32</f>
      </c>
      <c r="V32" s="26">
        <f>SUMIFS('Détail fonctionnement'!$E$5:$E$500,'Détail fonctionnement'!$A$5:$A$500,V$2,'Détail fonctionnement'!$G$5:$G$500,"O",'Détail fonctionnement'!$B$5:$B$500,$A32)</f>
      </c>
      <c r="W32" s="27">
        <f>U32+V32</f>
      </c>
    </row>
    <row r="33" spans="3:23" x14ac:dyDescent="0.25">
      <c r="C33" s="28" t="s">
        <v>51</v>
      </c>
      <c r="D33" s="29" t="s">
        <v>27</v>
      </c>
      <c r="F33" s="30">
        <f>M33/$E$3</f>
      </c>
      <c r="G33" s="31"/>
      <c r="H33" s="31"/>
      <c r="I33" s="31"/>
      <c r="J33" s="31"/>
      <c r="K33" s="31"/>
      <c r="M33" s="30">
        <f>'Position CI 30-09'!F21</f>
      </c>
      <c r="N33" s="32"/>
      <c r="O33" s="33"/>
      <c r="P33" s="32"/>
      <c r="Q33" s="33"/>
      <c r="R33" s="32"/>
      <c r="S33" s="33"/>
      <c r="T33" s="32"/>
      <c r="U33" s="33"/>
      <c r="V33" s="32"/>
      <c r="W33" s="33"/>
    </row>
    <row r="34" spans="3:23" x14ac:dyDescent="0.25">
      <c r="C34" s="28" t="s">
        <v>52</v>
      </c>
      <c r="D34" s="29" t="s">
        <v>27</v>
      </c>
      <c r="F34" s="30">
        <f>M34/$E$3</f>
      </c>
      <c r="G34" s="31"/>
      <c r="H34" s="31"/>
      <c r="I34" s="31"/>
      <c r="J34" s="31"/>
      <c r="K34" s="31"/>
      <c r="M34" s="30">
        <f>'Position CI 30-09'!F22</f>
      </c>
      <c r="N34" s="32"/>
      <c r="O34" s="33"/>
      <c r="P34" s="32"/>
      <c r="Q34" s="33"/>
      <c r="R34" s="32"/>
      <c r="S34" s="33"/>
      <c r="T34" s="32"/>
      <c r="U34" s="33"/>
      <c r="V34" s="32"/>
      <c r="W34" s="33"/>
    </row>
    <row r="35" spans="1:23" x14ac:dyDescent="0.25">
      <c r="A35" s="21" t="s">
        <v>53</v>
      </c>
      <c r="C35" s="22" t="s">
        <v>53</v>
      </c>
      <c r="D35" s="23"/>
      <c r="E35" s="24"/>
      <c r="F35" s="25">
        <f>M35/$E$3</f>
      </c>
      <c r="G35" s="25">
        <f>O35/$E$3</f>
      </c>
      <c r="H35" s="25">
        <f>Q35/$E$3</f>
      </c>
      <c r="I35" s="25">
        <f>S35/$E$3</f>
      </c>
      <c r="J35" s="25">
        <f>U35/$E$3</f>
      </c>
      <c r="K35" s="25">
        <f>W35/$E$3</f>
      </c>
      <c r="L35" s="24"/>
      <c r="M35" s="25">
        <f>SUM(M36:M38)</f>
      </c>
      <c r="N35" s="26">
        <f>SUMIFS('Détail fonctionnement'!$E$5:$E$500,'Détail fonctionnement'!$A$5:$A$500,N$2,'Détail fonctionnement'!$G$5:$G$500,"O",'Détail fonctionnement'!$B$5:$B$500,$A35)</f>
      </c>
      <c r="O35" s="27">
        <f>M35+N35</f>
      </c>
      <c r="P35" s="26">
        <f>SUMIFS('Détail fonctionnement'!$E$5:$E$500,'Détail fonctionnement'!$A$5:$A$500,P$2,'Détail fonctionnement'!$G$5:$G$500,"O",'Détail fonctionnement'!$B$5:$B$500,$A35)</f>
      </c>
      <c r="Q35" s="27">
        <f>O35+P35</f>
      </c>
      <c r="R35" s="26">
        <f>SUMIFS('Détail fonctionnement'!$E$5:$E$500,'Détail fonctionnement'!$A$5:$A$500,R$2,'Détail fonctionnement'!$G$5:$G$500,"O",'Détail fonctionnement'!$B$5:$B$500,$A35)</f>
      </c>
      <c r="S35" s="27">
        <f>Q35+R35</f>
      </c>
      <c r="T35" s="26">
        <f>SUMIFS('Détail fonctionnement'!$E$5:$E$500,'Détail fonctionnement'!$A$5:$A$500,T$2,'Détail fonctionnement'!$G$5:$G$500,"O",'Détail fonctionnement'!$B$5:$B$500,$A35)</f>
      </c>
      <c r="U35" s="27">
        <f>S35+T35</f>
      </c>
      <c r="V35" s="26">
        <f>SUMIFS('Détail fonctionnement'!$E$5:$E$500,'Détail fonctionnement'!$A$5:$A$500,V$2,'Détail fonctionnement'!$G$5:$G$500,"O",'Détail fonctionnement'!$B$5:$B$500,$A35)</f>
      </c>
      <c r="W35" s="27">
        <f>U35+V35</f>
      </c>
    </row>
    <row r="36" spans="3:23" x14ac:dyDescent="0.25">
      <c r="C36" s="28" t="s">
        <v>54</v>
      </c>
      <c r="D36" s="29" t="s">
        <v>27</v>
      </c>
      <c r="F36" s="30">
        <f>M36/$E$3</f>
      </c>
      <c r="G36" s="31"/>
      <c r="H36" s="31"/>
      <c r="I36" s="31"/>
      <c r="J36" s="31"/>
      <c r="K36" s="31"/>
      <c r="M36" s="30">
        <f>'Position CI 30-09'!F23</f>
      </c>
      <c r="N36" s="32"/>
      <c r="O36" s="33"/>
      <c r="P36" s="32"/>
      <c r="Q36" s="33"/>
      <c r="R36" s="32"/>
      <c r="S36" s="33"/>
      <c r="T36" s="32"/>
      <c r="U36" s="33"/>
      <c r="V36" s="32"/>
      <c r="W36" s="33"/>
    </row>
    <row r="37" spans="3:23" x14ac:dyDescent="0.25">
      <c r="C37" s="28" t="s">
        <v>55</v>
      </c>
      <c r="D37" s="29" t="s">
        <v>27</v>
      </c>
      <c r="F37" s="30">
        <f>M37/$E$3</f>
      </c>
      <c r="G37" s="31"/>
      <c r="H37" s="31"/>
      <c r="I37" s="31"/>
      <c r="J37" s="31"/>
      <c r="K37" s="31"/>
      <c r="M37" s="30">
        <f>'Position CI 30-09'!F24</f>
      </c>
      <c r="N37" s="32"/>
      <c r="O37" s="33"/>
      <c r="P37" s="32"/>
      <c r="Q37" s="33"/>
      <c r="R37" s="32"/>
      <c r="S37" s="33"/>
      <c r="T37" s="32"/>
      <c r="U37" s="33"/>
      <c r="V37" s="32"/>
      <c r="W37" s="33"/>
    </row>
    <row r="38" spans="3:23" x14ac:dyDescent="0.25">
      <c r="C38" s="28" t="s">
        <v>56</v>
      </c>
      <c r="D38" s="29" t="s">
        <v>27</v>
      </c>
      <c r="F38" s="30">
        <f>M38/$E$3</f>
      </c>
      <c r="G38" s="31"/>
      <c r="H38" s="31"/>
      <c r="I38" s="31"/>
      <c r="J38" s="31"/>
      <c r="K38" s="31"/>
      <c r="M38" s="30">
        <f>'Position CI 30-09'!F25</f>
      </c>
      <c r="N38" s="32"/>
      <c r="O38" s="33"/>
      <c r="P38" s="32"/>
      <c r="Q38" s="33"/>
      <c r="R38" s="32"/>
      <c r="S38" s="33"/>
      <c r="T38" s="32"/>
      <c r="U38" s="33"/>
      <c r="V38" s="32"/>
      <c r="W38" s="33"/>
    </row>
    <row r="39" spans="1:23" x14ac:dyDescent="0.25">
      <c r="A39" s="21" t="s">
        <v>57</v>
      </c>
      <c r="C39" s="22" t="s">
        <v>57</v>
      </c>
      <c r="D39" s="23"/>
      <c r="E39" s="24"/>
      <c r="F39" s="25">
        <f>M39/$E$3</f>
      </c>
      <c r="G39" s="25">
        <f>O39/$E$3</f>
      </c>
      <c r="H39" s="25">
        <f>Q39/$E$3</f>
      </c>
      <c r="I39" s="25">
        <f>S39/$E$3</f>
      </c>
      <c r="J39" s="25">
        <f>U39/$E$3</f>
      </c>
      <c r="K39" s="25">
        <f>W39/$E$3</f>
      </c>
      <c r="L39" s="24"/>
      <c r="M39" s="25">
        <f>SUM(M40:M40)</f>
      </c>
      <c r="N39" s="26">
        <f>SUMIFS('Détail fonctionnement'!$E$5:$E$500,'Détail fonctionnement'!$A$5:$A$500,N$2,'Détail fonctionnement'!$G$5:$G$500,"O",'Détail fonctionnement'!$B$5:$B$500,$A39)</f>
      </c>
      <c r="O39" s="27">
        <f>M39+N39</f>
      </c>
      <c r="P39" s="26">
        <f>SUMIFS('Détail fonctionnement'!$E$5:$E$500,'Détail fonctionnement'!$A$5:$A$500,P$2,'Détail fonctionnement'!$G$5:$G$500,"O",'Détail fonctionnement'!$B$5:$B$500,$A39)</f>
      </c>
      <c r="Q39" s="27">
        <f>O39+P39</f>
      </c>
      <c r="R39" s="26">
        <f>SUMIFS('Détail fonctionnement'!$E$5:$E$500,'Détail fonctionnement'!$A$5:$A$500,R$2,'Détail fonctionnement'!$G$5:$G$500,"O",'Détail fonctionnement'!$B$5:$B$500,$A39)</f>
      </c>
      <c r="S39" s="27">
        <f>Q39+R39</f>
      </c>
      <c r="T39" s="26">
        <f>SUMIFS('Détail fonctionnement'!$E$5:$E$500,'Détail fonctionnement'!$A$5:$A$500,T$2,'Détail fonctionnement'!$G$5:$G$500,"O",'Détail fonctionnement'!$B$5:$B$500,$A39)</f>
      </c>
      <c r="U39" s="27">
        <f>S39+T39</f>
      </c>
      <c r="V39" s="26">
        <f>SUMIFS('Détail fonctionnement'!$E$5:$E$500,'Détail fonctionnement'!$A$5:$A$500,V$2,'Détail fonctionnement'!$G$5:$G$500,"O",'Détail fonctionnement'!$B$5:$B$500,$A39)</f>
      </c>
      <c r="W39" s="27">
        <f>U39+V39</f>
      </c>
    </row>
    <row r="40" spans="3:23" x14ac:dyDescent="0.25">
      <c r="C40" s="28" t="s">
        <v>58</v>
      </c>
      <c r="D40" s="29" t="s">
        <v>27</v>
      </c>
      <c r="F40" s="30">
        <f>M40/$E$3</f>
      </c>
      <c r="G40" s="31"/>
      <c r="H40" s="31"/>
      <c r="I40" s="31"/>
      <c r="J40" s="31"/>
      <c r="K40" s="31"/>
      <c r="M40" s="30">
        <f>'Position CI 30-09'!F26</f>
      </c>
      <c r="N40" s="32"/>
      <c r="O40" s="33"/>
      <c r="P40" s="32"/>
      <c r="Q40" s="33"/>
      <c r="R40" s="32"/>
      <c r="S40" s="33"/>
      <c r="T40" s="32"/>
      <c r="U40" s="33"/>
      <c r="V40" s="32"/>
      <c r="W40" s="33"/>
    </row>
    <row r="41" spans="1:23" x14ac:dyDescent="0.25">
      <c r="A41" s="21" t="s">
        <v>59</v>
      </c>
      <c r="C41" s="22" t="s">
        <v>59</v>
      </c>
      <c r="D41" s="23"/>
      <c r="E41" s="24"/>
      <c r="F41" s="25">
        <f>M41/$E$3</f>
      </c>
      <c r="G41" s="25">
        <f>O41/$E$3</f>
      </c>
      <c r="H41" s="25">
        <f>Q41/$E$3</f>
      </c>
      <c r="I41" s="25">
        <f>S41/$E$3</f>
      </c>
      <c r="J41" s="25">
        <f>U41/$E$3</f>
      </c>
      <c r="K41" s="25">
        <f>W41/$E$3</f>
      </c>
      <c r="L41" s="24"/>
      <c r="M41" s="25">
        <f>SUM(M42:M42)</f>
      </c>
      <c r="N41" s="26">
        <f>SUMIFS('Détail fonctionnement'!$E$5:$E$500,'Détail fonctionnement'!$A$5:$A$500,N$2,'Détail fonctionnement'!$G$5:$G$500,"O",'Détail fonctionnement'!$B$5:$B$500,$A41)</f>
      </c>
      <c r="O41" s="27">
        <f>M41+N41</f>
      </c>
      <c r="P41" s="26">
        <f>SUMIFS('Détail fonctionnement'!$E$5:$E$500,'Détail fonctionnement'!$A$5:$A$500,P$2,'Détail fonctionnement'!$G$5:$G$500,"O",'Détail fonctionnement'!$B$5:$B$500,$A41)</f>
      </c>
      <c r="Q41" s="27">
        <f>O41+P41</f>
      </c>
      <c r="R41" s="26">
        <f>SUMIFS('Détail fonctionnement'!$E$5:$E$500,'Détail fonctionnement'!$A$5:$A$500,R$2,'Détail fonctionnement'!$G$5:$G$500,"O",'Détail fonctionnement'!$B$5:$B$500,$A41)</f>
      </c>
      <c r="S41" s="27">
        <f>Q41+R41</f>
      </c>
      <c r="T41" s="26">
        <f>SUMIFS('Détail fonctionnement'!$E$5:$E$500,'Détail fonctionnement'!$A$5:$A$500,T$2,'Détail fonctionnement'!$G$5:$G$500,"O",'Détail fonctionnement'!$B$5:$B$500,$A41)</f>
      </c>
      <c r="U41" s="27">
        <f>S41+T41</f>
      </c>
      <c r="V41" s="26">
        <f>SUMIFS('Détail fonctionnement'!$E$5:$E$500,'Détail fonctionnement'!$A$5:$A$500,V$2,'Détail fonctionnement'!$G$5:$G$500,"O",'Détail fonctionnement'!$B$5:$B$500,$A41)</f>
      </c>
      <c r="W41" s="27">
        <f>U41+V41</f>
      </c>
    </row>
    <row r="42" spans="3:23" x14ac:dyDescent="0.25">
      <c r="C42" s="28" t="s">
        <v>60</v>
      </c>
      <c r="D42" s="29" t="s">
        <v>27</v>
      </c>
      <c r="F42" s="30">
        <f>M42/$E$3</f>
      </c>
      <c r="G42" s="31"/>
      <c r="H42" s="31"/>
      <c r="I42" s="31"/>
      <c r="J42" s="31"/>
      <c r="K42" s="31"/>
      <c r="M42" s="30">
        <f>'Position CI 30-09'!F27</f>
      </c>
      <c r="N42" s="32"/>
      <c r="O42" s="33"/>
      <c r="P42" s="32"/>
      <c r="Q42" s="33"/>
      <c r="R42" s="32"/>
      <c r="S42" s="33"/>
      <c r="T42" s="32"/>
      <c r="U42" s="33"/>
      <c r="V42" s="32"/>
      <c r="W42" s="33"/>
    </row>
    <row r="43" spans="1:23" x14ac:dyDescent="0.25">
      <c r="A43" s="21" t="s">
        <v>61</v>
      </c>
      <c r="C43" s="22" t="s">
        <v>61</v>
      </c>
      <c r="D43" s="23"/>
      <c r="E43" s="24"/>
      <c r="F43" s="25">
        <f>M43/$E$3</f>
      </c>
      <c r="G43" s="25">
        <f>O43/$E$3</f>
      </c>
      <c r="H43" s="25">
        <f>Q43/$E$3</f>
      </c>
      <c r="I43" s="25">
        <f>S43/$E$3</f>
      </c>
      <c r="J43" s="25">
        <f>U43/$E$3</f>
      </c>
      <c r="K43" s="25">
        <f>W43/$E$3</f>
      </c>
      <c r="L43" s="24"/>
      <c r="M43" s="25">
        <v>0</v>
      </c>
      <c r="N43" s="26">
        <f>SUMIFS('Détail fonctionnement'!$E$5:$E$500,'Détail fonctionnement'!$A$5:$A$500,N$2,'Détail fonctionnement'!$G$5:$G$500,"O",'Détail fonctionnement'!$B$5:$B$500,$A43)</f>
      </c>
      <c r="O43" s="27">
        <f>M43+N43</f>
      </c>
      <c r="P43" s="26">
        <f>SUMIFS('Détail fonctionnement'!$E$5:$E$500,'Détail fonctionnement'!$A$5:$A$500,P$2,'Détail fonctionnement'!$G$5:$G$500,"O",'Détail fonctionnement'!$B$5:$B$500,$A43)</f>
      </c>
      <c r="Q43" s="27">
        <f>O43+P43</f>
      </c>
      <c r="R43" s="26">
        <f>SUMIFS('Détail fonctionnement'!$E$5:$E$500,'Détail fonctionnement'!$A$5:$A$500,R$2,'Détail fonctionnement'!$G$5:$G$500,"O",'Détail fonctionnement'!$B$5:$B$500,$A43)</f>
      </c>
      <c r="S43" s="27">
        <f>Q43+R43</f>
      </c>
      <c r="T43" s="26">
        <f>SUMIFS('Détail fonctionnement'!$E$5:$E$500,'Détail fonctionnement'!$A$5:$A$500,T$2,'Détail fonctionnement'!$G$5:$G$500,"O",'Détail fonctionnement'!$B$5:$B$500,$A43)</f>
      </c>
      <c r="U43" s="27">
        <f>S43+T43</f>
      </c>
      <c r="V43" s="26">
        <f>SUMIFS('Détail fonctionnement'!$E$5:$E$500,'Détail fonctionnement'!$A$5:$A$500,V$2,'Détail fonctionnement'!$G$5:$G$500,"O",'Détail fonctionnement'!$B$5:$B$500,$A43)</f>
      </c>
      <c r="W43" s="27">
        <f>U43+V43</f>
      </c>
    </row>
    <row r="44" spans="3:23" x14ac:dyDescent="0.25">
      <c r="C44" s="34" t="s">
        <v>62</v>
      </c>
      <c r="D44" s="35"/>
      <c r="F44" s="36">
        <f>F11+F15+F18+F21+F23+F29+F32+F35+F39+F41+F43</f>
      </c>
      <c r="G44" s="36">
        <f>G11+G15+G18+G21+G23+G29+G32+G35+G39+G41+G43</f>
      </c>
      <c r="H44" s="36">
        <f>H11+H15+H18+H21+H23+H29+H32+H35+H39+H41+H43</f>
      </c>
      <c r="I44" s="36">
        <f>I11+I15+I18+I21+I23+I29+I32+I35+I39+I41+I43</f>
      </c>
      <c r="J44" s="36">
        <f>J11+J15+J18+J21+J23+J29+J32+J35+J39+J41+J43</f>
      </c>
      <c r="K44" s="36">
        <f>K11+K15+K18+K21+K23+K29+K32+K35+K39+K41+K43</f>
      </c>
      <c r="M44" s="36">
        <f>M11+M15+M18+M21+M23+M29+M32+M35+M39+M41+M43</f>
      </c>
      <c r="N44" s="37">
        <f>N11+N15+N18+N21+N23+N29+N32+N35+N39+N41+N43</f>
      </c>
      <c r="O44" s="38">
        <f>O11+O15+O18+O21+O23+O29+O32+O35+O39+O41+O43</f>
      </c>
      <c r="P44" s="37">
        <f>P11+P15+P18+P21+P23+P29+P32+P35+P39+P41+P43</f>
      </c>
      <c r="Q44" s="38">
        <f>Q11+Q15+Q18+Q21+Q23+Q29+Q32+Q35+Q39+Q41+Q43</f>
      </c>
      <c r="R44" s="37">
        <f>R11+R15+R18+R21+R23+R29+R32+R35+R39+R41+R43</f>
      </c>
      <c r="S44" s="38">
        <f>S11+S15+S18+S21+S23+S29+S32+S35+S39+S41+S43</f>
      </c>
      <c r="T44" s="37">
        <f>T11+T15+T18+T21+T23+T29+T32+T35+T39+T41+T43</f>
      </c>
      <c r="U44" s="38">
        <f>U11+U15+U18+U21+U23+U29+U32+U35+U39+U41+U43</f>
      </c>
      <c r="V44" s="37">
        <f>V11+V15+V18+V21+V23+V29+V32+V35+V39+V41+V43</f>
      </c>
      <c r="W44" s="38">
        <f>W11+W15+W18+W21+W23+W29+W32+W35+W39+W41+W43</f>
      </c>
    </row>
    <row r="46" spans="3:3" x14ac:dyDescent="0.25">
      <c r="C46" s="2" t="s">
        <v>63</v>
      </c>
    </row>
    <row r="47" spans="1:23" x14ac:dyDescent="0.25">
      <c r="A47" s="21" t="s">
        <v>64</v>
      </c>
      <c r="C47" s="39" t="s">
        <v>65</v>
      </c>
      <c r="D47" s="40" t="s">
        <v>66</v>
      </c>
      <c r="F47" s="41">
        <f>M47/$E$3</f>
      </c>
      <c r="G47" s="41">
        <f>O47/$E$3</f>
      </c>
      <c r="H47" s="41">
        <f>Q47/$E$3</f>
      </c>
      <c r="I47" s="41">
        <f>S47/$E$3</f>
      </c>
      <c r="J47" s="41">
        <f>U47/$E$3</f>
      </c>
      <c r="K47" s="41">
        <f>W47/$E$3</f>
      </c>
      <c r="M47" s="41">
        <f>'Position CI 30-09'!F13</f>
      </c>
      <c r="N47" s="26">
        <f>SUMIFS('Détail projets &amp; dettes'!$I$5:$I$500,'Détail projets &amp; dettes'!$A$5:$A$500,N$2,'Détail projets &amp; dettes'!$J$5:$J$500,"O",'Détail projets &amp; dettes'!$B$5:$B$500,$A47)</f>
      </c>
      <c r="O47" s="27">
        <f>M47+N47</f>
      </c>
      <c r="P47" s="26">
        <f>SUMIFS('Détail projets &amp; dettes'!$I$5:$I$500,'Détail projets &amp; dettes'!$A$5:$A$500,P$2,'Détail projets &amp; dettes'!$J$5:$J$500,"O",'Détail projets &amp; dettes'!$B$5:$B$500,$A47)</f>
      </c>
      <c r="Q47" s="27">
        <f>O47+P47</f>
      </c>
      <c r="R47" s="26">
        <f>SUMIFS('Détail projets &amp; dettes'!$I$5:$I$500,'Détail projets &amp; dettes'!$A$5:$A$500,R$2,'Détail projets &amp; dettes'!$J$5:$J$500,"O",'Détail projets &amp; dettes'!$B$5:$B$500,$A47)</f>
      </c>
      <c r="S47" s="27">
        <f>Q47+R47</f>
      </c>
      <c r="T47" s="26">
        <f>SUMIFS('Détail projets &amp; dettes'!$I$5:$I$500,'Détail projets &amp; dettes'!$A$5:$A$500,T$2,'Détail projets &amp; dettes'!$J$5:$J$500,"O",'Détail projets &amp; dettes'!$B$5:$B$500,$A47)</f>
      </c>
      <c r="U47" s="27">
        <f>S47+T47</f>
      </c>
      <c r="V47" s="26">
        <f>SUMIFS('Détail projets &amp; dettes'!$I$5:$I$500,'Détail projets &amp; dettes'!$A$5:$A$500,V$2,'Détail projets &amp; dettes'!$J$5:$J$500,"O",'Détail projets &amp; dettes'!$B$5:$B$500,$A47)</f>
      </c>
      <c r="W47" s="27">
        <f>U47+V47</f>
      </c>
    </row>
    <row r="48" spans="1:23" x14ac:dyDescent="0.25">
      <c r="A48" s="21" t="s">
        <v>67</v>
      </c>
      <c r="C48" s="39" t="s">
        <v>68</v>
      </c>
      <c r="D48" s="40" t="s">
        <v>69</v>
      </c>
      <c r="F48" s="41">
        <f>M48/$E$3</f>
      </c>
      <c r="G48" s="41">
        <f>O48/$E$3</f>
      </c>
      <c r="H48" s="41">
        <f>Q48/$E$3</f>
      </c>
      <c r="I48" s="41">
        <f>S48/$E$3</f>
      </c>
      <c r="J48" s="41">
        <f>U48/$E$3</f>
      </c>
      <c r="K48" s="41">
        <f>W48/$E$3</f>
      </c>
      <c r="M48" s="41">
        <f>'Position CI 30-09'!F28</f>
      </c>
      <c r="N48" s="26">
        <f>SUMIFS('Détail projets &amp; dettes'!$I$5:$I$500,'Détail projets &amp; dettes'!$A$5:$A$500,N$2,'Détail projets &amp; dettes'!$J$5:$J$500,"O",'Détail projets &amp; dettes'!$B$5:$B$500,$A48)</f>
      </c>
      <c r="O48" s="27">
        <f>M48+N48</f>
      </c>
      <c r="P48" s="26">
        <f>SUMIFS('Détail projets &amp; dettes'!$I$5:$I$500,'Détail projets &amp; dettes'!$A$5:$A$500,P$2,'Détail projets &amp; dettes'!$J$5:$J$500,"O",'Détail projets &amp; dettes'!$B$5:$B$500,$A48)</f>
      </c>
      <c r="Q48" s="27">
        <f>O48+P48</f>
      </c>
      <c r="R48" s="26">
        <f>SUMIFS('Détail projets &amp; dettes'!$I$5:$I$500,'Détail projets &amp; dettes'!$A$5:$A$500,R$2,'Détail projets &amp; dettes'!$J$5:$J$500,"O",'Détail projets &amp; dettes'!$B$5:$B$500,$A48)</f>
      </c>
      <c r="S48" s="27">
        <f>Q48+R48</f>
      </c>
      <c r="T48" s="26">
        <f>SUMIFS('Détail projets &amp; dettes'!$I$5:$I$500,'Détail projets &amp; dettes'!$A$5:$A$500,T$2,'Détail projets &amp; dettes'!$J$5:$J$500,"O",'Détail projets &amp; dettes'!$B$5:$B$500,$A48)</f>
      </c>
      <c r="U48" s="27">
        <f>S48+T48</f>
      </c>
      <c r="V48" s="26">
        <f>SUMIFS('Détail projets &amp; dettes'!$I$5:$I$500,'Détail projets &amp; dettes'!$A$5:$A$500,V$2,'Détail projets &amp; dettes'!$J$5:$J$500,"O",'Détail projets &amp; dettes'!$B$5:$B$500,$A48)</f>
      </c>
      <c r="W48" s="27">
        <f>U48+V48</f>
      </c>
    </row>
    <row r="49" spans="1:23" x14ac:dyDescent="0.25">
      <c r="A49" s="21" t="s">
        <v>70</v>
      </c>
      <c r="C49" s="39" t="s">
        <v>71</v>
      </c>
      <c r="D49" s="40" t="s">
        <v>69</v>
      </c>
      <c r="F49" s="41">
        <f>M49/$E$3</f>
      </c>
      <c r="G49" s="41">
        <f>O49/$E$3</f>
      </c>
      <c r="H49" s="41">
        <f>Q49/$E$3</f>
      </c>
      <c r="I49" s="41">
        <f>S49/$E$3</f>
      </c>
      <c r="J49" s="41">
        <f>U49/$E$3</f>
      </c>
      <c r="K49" s="41">
        <f>W49/$E$3</f>
      </c>
      <c r="M49" s="41">
        <f>'Position CI 30-09'!F29</f>
      </c>
      <c r="N49" s="26">
        <f>SUMIFS('Détail projets &amp; dettes'!$I$5:$I$500,'Détail projets &amp; dettes'!$A$5:$A$500,N$2,'Détail projets &amp; dettes'!$J$5:$J$500,"O",'Détail projets &amp; dettes'!$B$5:$B$500,$A49)</f>
      </c>
      <c r="O49" s="27">
        <f>M49+N49</f>
      </c>
      <c r="P49" s="26">
        <f>SUMIFS('Détail projets &amp; dettes'!$I$5:$I$500,'Détail projets &amp; dettes'!$A$5:$A$500,P$2,'Détail projets &amp; dettes'!$J$5:$J$500,"O",'Détail projets &amp; dettes'!$B$5:$B$500,$A49)</f>
      </c>
      <c r="Q49" s="27">
        <f>O49+P49</f>
      </c>
      <c r="R49" s="26">
        <f>SUMIFS('Détail projets &amp; dettes'!$I$5:$I$500,'Détail projets &amp; dettes'!$A$5:$A$500,R$2,'Détail projets &amp; dettes'!$J$5:$J$500,"O",'Détail projets &amp; dettes'!$B$5:$B$500,$A49)</f>
      </c>
      <c r="S49" s="27">
        <f>Q49+R49</f>
      </c>
      <c r="T49" s="26">
        <f>SUMIFS('Détail projets &amp; dettes'!$I$5:$I$500,'Détail projets &amp; dettes'!$A$5:$A$500,T$2,'Détail projets &amp; dettes'!$J$5:$J$500,"O",'Détail projets &amp; dettes'!$B$5:$B$500,$A49)</f>
      </c>
      <c r="U49" s="27">
        <f>S49+T49</f>
      </c>
      <c r="V49" s="26">
        <f>SUMIFS('Détail projets &amp; dettes'!$I$5:$I$500,'Détail projets &amp; dettes'!$A$5:$A$500,V$2,'Détail projets &amp; dettes'!$J$5:$J$500,"O",'Détail projets &amp; dettes'!$B$5:$B$500,$A49)</f>
      </c>
      <c r="W49" s="27">
        <f>U49+V49</f>
      </c>
    </row>
    <row r="50" spans="1:23" x14ac:dyDescent="0.25">
      <c r="A50" s="21" t="s">
        <v>72</v>
      </c>
      <c r="C50" s="39" t="s">
        <v>73</v>
      </c>
      <c r="D50" s="40" t="s">
        <v>74</v>
      </c>
      <c r="F50" s="41">
        <f>M50/$E$3</f>
      </c>
      <c r="G50" s="41">
        <f>O50/$E$3</f>
      </c>
      <c r="H50" s="41">
        <f>Q50/$E$3</f>
      </c>
      <c r="I50" s="41">
        <f>S50/$E$3</f>
      </c>
      <c r="J50" s="41">
        <f>U50/$E$3</f>
      </c>
      <c r="K50" s="41">
        <f>W50/$E$3</f>
      </c>
      <c r="M50" s="41">
        <f>'Position CI 30-09'!F30</f>
      </c>
      <c r="N50" s="26">
        <f>SUMIFS('Détail projets &amp; dettes'!$I$5:$I$500,'Détail projets &amp; dettes'!$A$5:$A$500,N$2,'Détail projets &amp; dettes'!$J$5:$J$500,"O",'Détail projets &amp; dettes'!$B$5:$B$500,$A50)</f>
      </c>
      <c r="O50" s="27">
        <f>M50+N50</f>
      </c>
      <c r="P50" s="26">
        <f>SUMIFS('Détail projets &amp; dettes'!$I$5:$I$500,'Détail projets &amp; dettes'!$A$5:$A$500,P$2,'Détail projets &amp; dettes'!$J$5:$J$500,"O",'Détail projets &amp; dettes'!$B$5:$B$500,$A50)</f>
      </c>
      <c r="Q50" s="27">
        <f>O50+P50</f>
      </c>
      <c r="R50" s="26">
        <f>SUMIFS('Détail projets &amp; dettes'!$I$5:$I$500,'Détail projets &amp; dettes'!$A$5:$A$500,R$2,'Détail projets &amp; dettes'!$J$5:$J$500,"O",'Détail projets &amp; dettes'!$B$5:$B$500,$A50)</f>
      </c>
      <c r="S50" s="27">
        <f>Q50+R50</f>
      </c>
      <c r="T50" s="26">
        <f>SUMIFS('Détail projets &amp; dettes'!$I$5:$I$500,'Détail projets &amp; dettes'!$A$5:$A$500,T$2,'Détail projets &amp; dettes'!$J$5:$J$500,"O",'Détail projets &amp; dettes'!$B$5:$B$500,$A50)</f>
      </c>
      <c r="U50" s="27">
        <f>S50+T50</f>
      </c>
      <c r="V50" s="26">
        <f>SUMIFS('Détail projets &amp; dettes'!$I$5:$I$500,'Détail projets &amp; dettes'!$A$5:$A$500,V$2,'Détail projets &amp; dettes'!$J$5:$J$500,"O",'Détail projets &amp; dettes'!$B$5:$B$500,$A50)</f>
      </c>
      <c r="W50" s="27">
        <f>U50+V50</f>
      </c>
    </row>
    <row r="51" spans="3:23" x14ac:dyDescent="0.25">
      <c r="C51" s="34" t="s">
        <v>75</v>
      </c>
      <c r="D51" s="35"/>
      <c r="F51" s="36">
        <f>SUM(F47:F50)</f>
      </c>
      <c r="G51" s="36">
        <f>SUM(G47:G50)</f>
      </c>
      <c r="H51" s="36">
        <f>SUM(H47:H50)</f>
      </c>
      <c r="I51" s="36">
        <f>SUM(I47:I50)</f>
      </c>
      <c r="J51" s="36">
        <f>SUM(J47:J50)</f>
      </c>
      <c r="K51" s="36">
        <f>SUM(K47:K50)</f>
      </c>
      <c r="M51" s="36">
        <f>SUM(M47:M50)</f>
      </c>
      <c r="N51" s="37">
        <f>SUM(N47:N50)</f>
      </c>
      <c r="O51" s="38">
        <f>SUM(O47:O50)</f>
      </c>
      <c r="P51" s="37">
        <f>SUM(P47:P50)</f>
      </c>
      <c r="Q51" s="38">
        <f>SUM(Q47:Q50)</f>
      </c>
      <c r="R51" s="37">
        <f>SUM(R47:R50)</f>
      </c>
      <c r="S51" s="38">
        <f>SUM(S47:S50)</f>
      </c>
      <c r="T51" s="37">
        <f>SUM(T47:T50)</f>
      </c>
      <c r="U51" s="38">
        <f>SUM(U47:U50)</f>
      </c>
      <c r="V51" s="37">
        <f>SUM(V47:V50)</f>
      </c>
      <c r="W51" s="38">
        <f>SUM(W47:W50)</f>
      </c>
    </row>
    <row r="52" spans="3:23" x14ac:dyDescent="0.25">
      <c r="C52" s="34" t="s">
        <v>76</v>
      </c>
      <c r="D52" s="35"/>
      <c r="F52" s="36">
        <f>F44+F51</f>
      </c>
      <c r="G52" s="36">
        <f>G44+G51</f>
      </c>
      <c r="H52" s="36">
        <f>H44+H51</f>
      </c>
      <c r="I52" s="36">
        <f>I44+I51</f>
      </c>
      <c r="J52" s="36">
        <f>J44+J51</f>
      </c>
      <c r="K52" s="36">
        <f>K44+K51</f>
      </c>
      <c r="M52" s="36">
        <f>M44+M51</f>
      </c>
      <c r="N52" s="37">
        <f>N44+N51</f>
      </c>
      <c r="O52" s="38">
        <f>O44+O51</f>
      </c>
      <c r="P52" s="37">
        <f>P44+P51</f>
      </c>
      <c r="Q52" s="38">
        <f>Q44+Q51</f>
      </c>
      <c r="R52" s="37">
        <f>R44+R51</f>
      </c>
      <c r="S52" s="38">
        <f>S44+S51</f>
      </c>
      <c r="T52" s="37">
        <f>T44+T51</f>
      </c>
      <c r="U52" s="38">
        <f>U44+U51</f>
      </c>
      <c r="V52" s="37">
        <f>V44+V51</f>
      </c>
      <c r="W52" s="38">
        <f>W44+W51</f>
      </c>
    </row>
    <row r="54" spans="3:3" x14ac:dyDescent="0.25">
      <c r="C54" s="2" t="s">
        <v>77</v>
      </c>
    </row>
    <row r="55" spans="1:23" x14ac:dyDescent="0.25">
      <c r="A55" s="21" t="s">
        <v>29</v>
      </c>
      <c r="C55" s="42" t="s">
        <v>78</v>
      </c>
      <c r="D55" s="43" t="s">
        <v>79</v>
      </c>
      <c r="F55" s="44">
        <f>M55/$E$3</f>
      </c>
      <c r="G55" s="44">
        <f>O55/$E$3</f>
      </c>
      <c r="H55" s="44">
        <f>Q55/$E$3</f>
      </c>
      <c r="I55" s="44">
        <f>S55/$E$3</f>
      </c>
      <c r="J55" s="44">
        <f>U55/$E$3</f>
      </c>
      <c r="K55" s="44">
        <f>W55/$E$3</f>
      </c>
      <c r="M55" s="45">
        <f>'Position CI 30-09'!F35</f>
      </c>
      <c r="N55" s="46"/>
      <c r="O55" s="47">
        <f>M55</f>
      </c>
      <c r="P55" s="46"/>
      <c r="Q55" s="47">
        <f>O55</f>
      </c>
      <c r="R55" s="46"/>
      <c r="S55" s="47">
        <f>Q55</f>
      </c>
      <c r="T55" s="46"/>
      <c r="U55" s="47">
        <f>S55</f>
      </c>
      <c r="V55" s="46"/>
      <c r="W55" s="47">
        <f>U55</f>
      </c>
    </row>
    <row r="56" spans="1:23" x14ac:dyDescent="0.25">
      <c r="A56" s="21" t="s">
        <v>29</v>
      </c>
      <c r="C56" s="42" t="s">
        <v>80</v>
      </c>
      <c r="D56" s="43" t="s">
        <v>79</v>
      </c>
      <c r="F56" s="44">
        <f>M56/$E$3</f>
      </c>
      <c r="G56" s="44">
        <f>O56/$E$3</f>
      </c>
      <c r="H56" s="44">
        <f>Q56/$E$3</f>
      </c>
      <c r="I56" s="44">
        <f>S56/$E$3</f>
      </c>
      <c r="J56" s="44">
        <f>U56/$E$3</f>
      </c>
      <c r="K56" s="44">
        <f>W56/$E$3</f>
      </c>
      <c r="M56" s="45">
        <f>'Position CI 30-09'!F36</f>
      </c>
      <c r="N56" s="46"/>
      <c r="O56" s="47">
        <f>M56</f>
      </c>
      <c r="P56" s="46"/>
      <c r="Q56" s="47">
        <f>O56</f>
      </c>
      <c r="R56" s="46"/>
      <c r="S56" s="47">
        <f>Q56</f>
      </c>
      <c r="T56" s="46"/>
      <c r="U56" s="47">
        <f>S56</f>
      </c>
      <c r="V56" s="46"/>
      <c r="W56" s="47">
        <f>U56</f>
      </c>
    </row>
    <row r="57" spans="1:23" x14ac:dyDescent="0.25">
      <c r="A57" s="21" t="s">
        <v>29</v>
      </c>
      <c r="C57" s="42" t="s">
        <v>81</v>
      </c>
      <c r="D57" s="43" t="s">
        <v>79</v>
      </c>
      <c r="F57" s="44">
        <f>M57/$E$3</f>
      </c>
      <c r="G57" s="44">
        <f>O57/$E$3</f>
      </c>
      <c r="H57" s="44">
        <f>Q57/$E$3</f>
      </c>
      <c r="I57" s="44">
        <f>S57/$E$3</f>
      </c>
      <c r="J57" s="44">
        <f>U57/$E$3</f>
      </c>
      <c r="K57" s="44">
        <f>W57/$E$3</f>
      </c>
      <c r="M57" s="45">
        <f>'Position CI 30-09'!F37</f>
      </c>
      <c r="N57" s="46"/>
      <c r="O57" s="47">
        <f>M57</f>
      </c>
      <c r="P57" s="46"/>
      <c r="Q57" s="47">
        <f>O57</f>
      </c>
      <c r="R57" s="46"/>
      <c r="S57" s="47">
        <f>Q57</f>
      </c>
      <c r="T57" s="46"/>
      <c r="U57" s="47">
        <f>S57</f>
      </c>
      <c r="V57" s="46"/>
      <c r="W57" s="47">
        <f>U57</f>
      </c>
    </row>
    <row r="58" spans="1:23" x14ac:dyDescent="0.25">
      <c r="A58" s="21" t="s">
        <v>36</v>
      </c>
      <c r="C58" s="42" t="s">
        <v>82</v>
      </c>
      <c r="D58" s="43" t="s">
        <v>79</v>
      </c>
      <c r="F58" s="44">
        <f>M58/$E$3</f>
      </c>
      <c r="G58" s="44">
        <f>O58/$E$3</f>
      </c>
      <c r="H58" s="44">
        <f>Q58/$E$3</f>
      </c>
      <c r="I58" s="44">
        <f>S58/$E$3</f>
      </c>
      <c r="J58" s="44">
        <f>U58/$E$3</f>
      </c>
      <c r="K58" s="44">
        <f>W58/$E$3</f>
      </c>
      <c r="M58" s="45">
        <f>'Position CI 30-09'!F38</f>
      </c>
      <c r="N58" s="46"/>
      <c r="O58" s="47">
        <f>M58</f>
      </c>
      <c r="P58" s="46"/>
      <c r="Q58" s="47">
        <f>O58</f>
      </c>
      <c r="R58" s="46"/>
      <c r="S58" s="47">
        <f>Q58</f>
      </c>
      <c r="T58" s="46"/>
      <c r="U58" s="47">
        <f>S58</f>
      </c>
      <c r="V58" s="46"/>
      <c r="W58" s="47">
        <f>U58</f>
      </c>
    </row>
    <row r="59" spans="1:23" x14ac:dyDescent="0.25">
      <c r="A59" s="21" t="s">
        <v>36</v>
      </c>
      <c r="C59" s="42" t="s">
        <v>83</v>
      </c>
      <c r="D59" s="43" t="s">
        <v>79</v>
      </c>
      <c r="F59" s="44">
        <f>M59/$E$3</f>
      </c>
      <c r="G59" s="44">
        <f>O59/$E$3</f>
      </c>
      <c r="H59" s="44">
        <f>Q59/$E$3</f>
      </c>
      <c r="I59" s="44">
        <f>S59/$E$3</f>
      </c>
      <c r="J59" s="44">
        <f>U59/$E$3</f>
      </c>
      <c r="K59" s="44">
        <f>W59/$E$3</f>
      </c>
      <c r="M59" s="45">
        <f>'Position CI 30-09'!F39</f>
      </c>
      <c r="N59" s="46"/>
      <c r="O59" s="47">
        <f>M59</f>
      </c>
      <c r="P59" s="46"/>
      <c r="Q59" s="47">
        <f>O59</f>
      </c>
      <c r="R59" s="46"/>
      <c r="S59" s="47">
        <f>Q59</f>
      </c>
      <c r="T59" s="46"/>
      <c r="U59" s="47">
        <f>S59</f>
      </c>
      <c r="V59" s="46"/>
      <c r="W59" s="47">
        <f>U59</f>
      </c>
    </row>
    <row r="60" spans="3:3" x14ac:dyDescent="0.25">
      <c r="C60" s="48" t="s">
        <v>84</v>
      </c>
    </row>
    <row r="62" spans="3:3" x14ac:dyDescent="0.25">
      <c r="C62" s="2" t="s">
        <v>85</v>
      </c>
    </row>
    <row r="63" spans="3:23" x14ac:dyDescent="0.25">
      <c r="C63" s="49" t="s">
        <v>86</v>
      </c>
      <c r="D63" s="50"/>
      <c r="F63" s="50"/>
      <c r="G63" s="51">
        <f>N63/$E$3</f>
      </c>
      <c r="H63" s="51">
        <f>P63/$E$3</f>
      </c>
      <c r="I63" s="51">
        <f>R63/$E$3</f>
      </c>
      <c r="J63" s="51">
        <f>T63/$E$3</f>
      </c>
      <c r="K63" s="51">
        <f>V63/$E$3</f>
      </c>
      <c r="M63" s="50"/>
      <c r="N63" s="52">
        <f>SUMIFS('Détail fonctionnement'!$E$5:$E$500,'Détail fonctionnement'!$A$5:$A$500,N$2,'Détail fonctionnement'!$G$5:$G$500,"O")</f>
      </c>
      <c r="O63" s="53"/>
      <c r="P63" s="52">
        <f>SUMIFS('Détail fonctionnement'!$E$5:$E$500,'Détail fonctionnement'!$A$5:$A$500,P$2,'Détail fonctionnement'!$G$5:$G$500,"O")</f>
      </c>
      <c r="Q63" s="53"/>
      <c r="R63" s="52">
        <f>SUMIFS('Détail fonctionnement'!$E$5:$E$500,'Détail fonctionnement'!$A$5:$A$500,R$2,'Détail fonctionnement'!$G$5:$G$500,"O")</f>
      </c>
      <c r="S63" s="53"/>
      <c r="T63" s="52">
        <f>SUMIFS('Détail fonctionnement'!$E$5:$E$500,'Détail fonctionnement'!$A$5:$A$500,T$2,'Détail fonctionnement'!$G$5:$G$500,"O")</f>
      </c>
      <c r="U63" s="53"/>
      <c r="V63" s="52">
        <f>SUMIFS('Détail fonctionnement'!$E$5:$E$500,'Détail fonctionnement'!$A$5:$A$500,V$2,'Détail fonctionnement'!$G$5:$G$500,"O")</f>
      </c>
      <c r="W63" s="53"/>
    </row>
    <row r="64" spans="3:23" x14ac:dyDescent="0.25">
      <c r="C64" s="49" t="s">
        <v>87</v>
      </c>
      <c r="D64" s="50"/>
      <c r="F64" s="50"/>
      <c r="G64" s="51">
        <f>N64/$E$3</f>
      </c>
      <c r="H64" s="51">
        <f>P64/$E$3</f>
      </c>
      <c r="I64" s="51">
        <f>R64/$E$3</f>
      </c>
      <c r="J64" s="51">
        <f>T64/$E$3</f>
      </c>
      <c r="K64" s="51">
        <f>V64/$E$3</f>
      </c>
      <c r="M64" s="50"/>
      <c r="N64" s="52">
        <f>SUMIFS('Détail projets &amp; dettes'!$I$5:$I$500,'Détail projets &amp; dettes'!$A$5:$A$500,N$2,'Détail projets &amp; dettes'!$J$5:$J$500,"O")</f>
      </c>
      <c r="O64" s="53"/>
      <c r="P64" s="52">
        <f>SUMIFS('Détail projets &amp; dettes'!$I$5:$I$500,'Détail projets &amp; dettes'!$A$5:$A$500,P$2,'Détail projets &amp; dettes'!$J$5:$J$500,"O")</f>
      </c>
      <c r="Q64" s="53"/>
      <c r="R64" s="52">
        <f>SUMIFS('Détail projets &amp; dettes'!$I$5:$I$500,'Détail projets &amp; dettes'!$A$5:$A$500,R$2,'Détail projets &amp; dettes'!$J$5:$J$500,"O")</f>
      </c>
      <c r="S64" s="53"/>
      <c r="T64" s="52">
        <f>SUMIFS('Détail projets &amp; dettes'!$I$5:$I$500,'Détail projets &amp; dettes'!$A$5:$A$500,T$2,'Détail projets &amp; dettes'!$J$5:$J$500,"O")</f>
      </c>
      <c r="U64" s="53"/>
      <c r="V64" s="52">
        <f>SUMIFS('Détail projets &amp; dettes'!$I$5:$I$500,'Détail projets &amp; dettes'!$A$5:$A$500,V$2,'Détail projets &amp; dettes'!$J$5:$J$500,"O")</f>
      </c>
      <c r="W64" s="53"/>
    </row>
    <row r="65" spans="3:23" x14ac:dyDescent="0.25">
      <c r="C65" s="54" t="s">
        <v>88</v>
      </c>
      <c r="D65" s="50"/>
      <c r="F65" s="50"/>
      <c r="G65" s="55">
        <f>N65/$E$3</f>
      </c>
      <c r="H65" s="55">
        <f>P65/$E$3</f>
      </c>
      <c r="I65" s="55">
        <f>R65/$E$3</f>
      </c>
      <c r="J65" s="55">
        <f>T65/$E$3</f>
      </c>
      <c r="K65" s="55">
        <f>V65/$E$3</f>
      </c>
      <c r="M65" s="50"/>
      <c r="N65" s="56">
        <f>N63+N64</f>
      </c>
      <c r="O65" s="53"/>
      <c r="P65" s="56">
        <f>P63+P64</f>
      </c>
      <c r="Q65" s="53"/>
      <c r="R65" s="56">
        <f>R63+R64</f>
      </c>
      <c r="S65" s="53"/>
      <c r="T65" s="56">
        <f>T63+T64</f>
      </c>
      <c r="U65" s="53"/>
      <c r="V65" s="56">
        <f>V63+V64</f>
      </c>
      <c r="W65" s="53"/>
    </row>
    <row r="66" spans="3:23" x14ac:dyDescent="0.25">
      <c r="C66" s="54" t="s">
        <v>89</v>
      </c>
      <c r="D66" s="50"/>
      <c r="F66" s="50"/>
      <c r="G66" s="55">
        <f>O66/$E$3</f>
      </c>
      <c r="H66" s="55">
        <f>Q66/$E$3</f>
      </c>
      <c r="I66" s="55">
        <f>S66/$E$3</f>
      </c>
      <c r="J66" s="55">
        <f>U66/$E$3</f>
      </c>
      <c r="K66" s="55">
        <f>W66/$E$3</f>
      </c>
      <c r="M66" s="50"/>
      <c r="N66" s="57"/>
      <c r="O66" s="58">
        <f>MIN(O11,0)+MIN(O15,0)+MIN(O18,0)+MIN(O21,0)+MIN(O23,0)+MIN(O29,0)+MIN(O32,0)+MIN(O35,0)+MIN(O39,0)+MIN(O41,0)+MIN(O43,0)</f>
      </c>
      <c r="P66" s="57"/>
      <c r="Q66" s="58">
        <f>MIN(Q11,0)+MIN(Q15,0)+MIN(Q18,0)+MIN(Q21,0)+MIN(Q23,0)+MIN(Q29,0)+MIN(Q32,0)+MIN(Q35,0)+MIN(Q39,0)+MIN(Q41,0)+MIN(Q43,0)</f>
      </c>
      <c r="R66" s="57"/>
      <c r="S66" s="58">
        <f>MIN(S11,0)+MIN(S15,0)+MIN(S18,0)+MIN(S21,0)+MIN(S23,0)+MIN(S29,0)+MIN(S32,0)+MIN(S35,0)+MIN(S39,0)+MIN(S41,0)+MIN(S43,0)</f>
      </c>
      <c r="T66" s="57"/>
      <c r="U66" s="58">
        <f>MIN(U11,0)+MIN(U15,0)+MIN(U18,0)+MIN(U21,0)+MIN(U23,0)+MIN(U29,0)+MIN(U32,0)+MIN(U35,0)+MIN(U39,0)+MIN(U41,0)+MIN(U43,0)</f>
      </c>
      <c r="V66" s="57"/>
      <c r="W66" s="58">
        <f>MIN(W11,0)+MIN(W15,0)+MIN(W18,0)+MIN(W21,0)+MIN(W23,0)+MIN(W29,0)+MIN(W32,0)+MIN(W35,0)+MIN(W39,0)+MIN(W41,0)+MIN(W43,0)</f>
      </c>
    </row>
    <row r="67" spans="3:23" x14ac:dyDescent="0.25">
      <c r="C67" s="49" t="s">
        <v>90</v>
      </c>
      <c r="D67" s="50"/>
      <c r="F67" s="50"/>
      <c r="G67" s="50"/>
      <c r="H67" s="50"/>
      <c r="I67" s="50"/>
      <c r="J67" s="50"/>
      <c r="K67" s="50"/>
      <c r="M67" s="50"/>
      <c r="N67" s="57"/>
      <c r="O67" s="59">
        <f>(O11&lt;0)*1+(O15&lt;0)*1+(O18&lt;0)*1+(O21&lt;0)*1+(O23&lt;0)*1+(O29&lt;0)*1+(O32&lt;0)*1+(O35&lt;0)*1+(O39&lt;0)*1+(O41&lt;0)*1+(O43&lt;0)*1</f>
      </c>
      <c r="P67" s="57"/>
      <c r="Q67" s="59">
        <f>(Q11&lt;0)*1+(Q15&lt;0)*1+(Q18&lt;0)*1+(Q21&lt;0)*1+(Q23&lt;0)*1+(Q29&lt;0)*1+(Q32&lt;0)*1+(Q35&lt;0)*1+(Q39&lt;0)*1+(Q41&lt;0)*1+(Q43&lt;0)*1</f>
      </c>
      <c r="R67" s="57"/>
      <c r="S67" s="59">
        <f>(S11&lt;0)*1+(S15&lt;0)*1+(S18&lt;0)*1+(S21&lt;0)*1+(S23&lt;0)*1+(S29&lt;0)*1+(S32&lt;0)*1+(S35&lt;0)*1+(S39&lt;0)*1+(S41&lt;0)*1+(S43&lt;0)*1</f>
      </c>
      <c r="T67" s="57"/>
      <c r="U67" s="59">
        <f>(U11&lt;0)*1+(U15&lt;0)*1+(U18&lt;0)*1+(U21&lt;0)*1+(U23&lt;0)*1+(U29&lt;0)*1+(U32&lt;0)*1+(U35&lt;0)*1+(U39&lt;0)*1+(U41&lt;0)*1+(U43&lt;0)*1</f>
      </c>
      <c r="V67" s="57"/>
      <c r="W67" s="59">
        <f>(W11&lt;0)*1+(W15&lt;0)*1+(W18&lt;0)*1+(W21&lt;0)*1+(W23&lt;0)*1+(W29&lt;0)*1+(W32&lt;0)*1+(W35&lt;0)*1+(W39&lt;0)*1+(W41&lt;0)*1+(W43&lt;0)*1</f>
      </c>
    </row>
    <row r="68" spans="3:23" x14ac:dyDescent="0.25">
      <c r="C68" s="54" t="s">
        <v>91</v>
      </c>
      <c r="D68" s="50"/>
      <c r="F68" s="50"/>
      <c r="G68" s="55">
        <f>O68/$E$3</f>
      </c>
      <c r="H68" s="55">
        <f>Q68/$E$3</f>
      </c>
      <c r="I68" s="55">
        <f>S68/$E$3</f>
      </c>
      <c r="J68" s="55">
        <f>U68/$E$3</f>
      </c>
      <c r="K68" s="55">
        <f>W68/$E$3</f>
      </c>
      <c r="M68" s="50"/>
      <c r="N68" s="57"/>
      <c r="O68" s="58">
        <f>MIN(O47,0)+MIN(O48,0)+MIN(O49,0)+MIN(O50,0)</f>
      </c>
      <c r="P68" s="57"/>
      <c r="Q68" s="58">
        <f>MIN(Q47,0)+MIN(Q48,0)+MIN(Q49,0)+MIN(Q50,0)</f>
      </c>
      <c r="R68" s="57"/>
      <c r="S68" s="58">
        <f>MIN(S47,0)+MIN(S48,0)+MIN(S49,0)+MIN(S50,0)</f>
      </c>
      <c r="T68" s="57"/>
      <c r="U68" s="58">
        <f>MIN(U47,0)+MIN(U48,0)+MIN(U49,0)+MIN(U50,0)</f>
      </c>
      <c r="V68" s="57"/>
      <c r="W68" s="58">
        <f>MIN(W47,0)+MIN(W48,0)+MIN(W49,0)+MIN(W50,0)</f>
      </c>
    </row>
    <row r="70" spans="3:3" x14ac:dyDescent="0.25">
      <c r="C70" s="2" t="s">
        <v>92</v>
      </c>
    </row>
    <row r="71" spans="1:4" x14ac:dyDescent="0.25">
      <c r="A71" s="60" t="s">
        <v>93</v>
      </c>
      <c r="B71" s="61"/>
      <c r="C71" s="61"/>
      <c r="D71" s="61"/>
    </row>
    <row r="72" ht="28.5" customHeight="1" spans="2:25" x14ac:dyDescent="0.25">
      <c r="B72" s="62" t="s">
        <v>2</v>
      </c>
      <c r="C72" s="62" t="s">
        <v>94</v>
      </c>
      <c r="D72" s="62" t="s">
        <v>95</v>
      </c>
      <c r="F72" s="63" t="s">
        <v>96</v>
      </c>
      <c r="G72" s="63" t="s">
        <v>97</v>
      </c>
      <c r="H72" s="63" t="s">
        <v>98</v>
      </c>
      <c r="M72" s="64" t="s">
        <v>99</v>
      </c>
      <c r="N72" s="64" t="s">
        <v>100</v>
      </c>
      <c r="O72" s="64" t="s">
        <v>101</v>
      </c>
      <c r="P72" s="64" t="s">
        <v>102</v>
      </c>
      <c r="Q72" s="64"/>
      <c r="R72" s="64"/>
      <c r="S72" s="64"/>
      <c r="T72" s="64"/>
      <c r="U72" s="64"/>
      <c r="V72" s="64"/>
      <c r="W72" s="64"/>
      <c r="X72" s="64"/>
      <c r="Y72" s="64"/>
    </row>
    <row r="73" spans="3:4" x14ac:dyDescent="0.25">
      <c r="C73" s="65" t="s">
        <v>103</v>
      </c>
      <c r="D73" s="65" t="s">
        <v>18</v>
      </c>
    </row>
    <row r="74" spans="2:25" x14ac:dyDescent="0.25">
      <c r="B74" s="10" t="s">
        <v>3</v>
      </c>
      <c r="C74" s="28" t="s">
        <v>22</v>
      </c>
      <c r="D74" s="28" t="s">
        <v>104</v>
      </c>
      <c r="F74" s="66">
        <f>M74/$E$3</f>
      </c>
      <c r="G74" s="66">
        <f>IF(N74="","",N74/$E$3)</f>
      </c>
      <c r="H74" s="66">
        <f>IF(G74="","",G74-F74)</f>
      </c>
      <c r="M74" s="66">
        <f>SUMIFS('Détail fonctionnement'!$E$5:$E$500,'Détail fonctionnement'!$A$5:$A$500,$B74,'Détail fonctionnement'!$G$5:$G$500,"O",'Détail fonctionnement'!$B$5:$B$500,$C74,'Détail fonctionnement'!$C$5:$C$500,$D74)</f>
      </c>
      <c r="N74" s="66"/>
      <c r="O74" s="66">
        <f>IF(N74="","",N74-M74)</f>
      </c>
      <c r="Q74"/>
      <c r="R74"/>
      <c r="S74"/>
      <c r="T74"/>
      <c r="U74"/>
      <c r="V74"/>
      <c r="W74"/>
      <c r="X74"/>
      <c r="Y74"/>
    </row>
    <row r="75" spans="2:25" x14ac:dyDescent="0.25">
      <c r="B75" s="10" t="s">
        <v>3</v>
      </c>
      <c r="C75" s="28" t="s">
        <v>22</v>
      </c>
      <c r="D75" s="28" t="s">
        <v>105</v>
      </c>
      <c r="F75" s="66">
        <f>M75/$E$3</f>
      </c>
      <c r="G75" s="66">
        <f>IF(N75="","",N75/$E$3)</f>
      </c>
      <c r="H75" s="66">
        <f>IF(G75="","",G75-F75)</f>
      </c>
      <c r="M75" s="66">
        <f>SUMIFS('Détail fonctionnement'!$E$5:$E$500,'Détail fonctionnement'!$A$5:$A$500,$B75,'Détail fonctionnement'!$G$5:$G$500,"O",'Détail fonctionnement'!$B$5:$B$500,$C75,'Détail fonctionnement'!$C$5:$C$500,$D75)</f>
      </c>
      <c r="N75" s="66"/>
      <c r="O75" s="66">
        <f>IF(N75="","",N75-M75)</f>
      </c>
      <c r="Q75"/>
      <c r="R75"/>
      <c r="S75"/>
      <c r="T75"/>
      <c r="U75"/>
      <c r="V75"/>
      <c r="W75"/>
      <c r="X75"/>
      <c r="Y75"/>
    </row>
    <row r="76" spans="2:25" x14ac:dyDescent="0.25">
      <c r="B76" s="10" t="s">
        <v>3</v>
      </c>
      <c r="C76" s="28" t="s">
        <v>22</v>
      </c>
      <c r="D76" s="28" t="s">
        <v>106</v>
      </c>
      <c r="F76" s="66">
        <f>M76/$E$3</f>
      </c>
      <c r="G76" s="66">
        <f>IF(N76="","",N76/$E$3)</f>
      </c>
      <c r="H76" s="66">
        <f>IF(G76="","",G76-F76)</f>
      </c>
      <c r="M76" s="66">
        <f>SUMIFS('Détail fonctionnement'!$E$5:$E$500,'Détail fonctionnement'!$A$5:$A$500,$B76,'Détail fonctionnement'!$G$5:$G$500,"O",'Détail fonctionnement'!$B$5:$B$500,$C76,'Détail fonctionnement'!$C$5:$C$500,$D76)</f>
      </c>
      <c r="N76" s="66"/>
      <c r="O76" s="66">
        <f>IF(N76="","",N76-M76)</f>
      </c>
      <c r="Q76"/>
      <c r="R76"/>
      <c r="S76"/>
      <c r="T76"/>
      <c r="U76"/>
      <c r="V76"/>
      <c r="W76"/>
      <c r="X76"/>
      <c r="Y76"/>
    </row>
    <row r="77" spans="2:25" x14ac:dyDescent="0.25">
      <c r="B77" s="10" t="s">
        <v>3</v>
      </c>
      <c r="C77" s="28" t="s">
        <v>29</v>
      </c>
      <c r="D77" s="28" t="s">
        <v>104</v>
      </c>
      <c r="F77" s="66">
        <f>M77/$E$3</f>
      </c>
      <c r="G77" s="66">
        <f>IF(N77="","",N77/$E$3)</f>
      </c>
      <c r="H77" s="66">
        <f>IF(G77="","",G77-F77)</f>
      </c>
      <c r="M77" s="66">
        <f>SUMIFS('Détail fonctionnement'!$E$5:$E$500,'Détail fonctionnement'!$A$5:$A$500,$B77,'Détail fonctionnement'!$G$5:$G$500,"O",'Détail fonctionnement'!$B$5:$B$500,$C77,'Détail fonctionnement'!$C$5:$C$500,$D77)</f>
      </c>
      <c r="N77" s="66"/>
      <c r="O77" s="66">
        <f>IF(N77="","",N77-M77)</f>
      </c>
      <c r="Q77"/>
      <c r="R77"/>
      <c r="S77"/>
      <c r="T77"/>
      <c r="U77"/>
      <c r="V77"/>
      <c r="W77"/>
      <c r="X77"/>
      <c r="Y77"/>
    </row>
    <row r="78" spans="2:25" x14ac:dyDescent="0.25">
      <c r="B78" s="10" t="s">
        <v>3</v>
      </c>
      <c r="C78" s="28" t="s">
        <v>29</v>
      </c>
      <c r="D78" s="28" t="s">
        <v>105</v>
      </c>
      <c r="F78" s="66">
        <f>M78/$E$3</f>
      </c>
      <c r="G78" s="66">
        <f>IF(N78="","",N78/$E$3)</f>
      </c>
      <c r="H78" s="66">
        <f>IF(G78="","",G78-F78)</f>
      </c>
      <c r="M78" s="66">
        <f>SUMIFS('Détail fonctionnement'!$E$5:$E$500,'Détail fonctionnement'!$A$5:$A$500,$B78,'Détail fonctionnement'!$G$5:$G$500,"O",'Détail fonctionnement'!$B$5:$B$500,$C78,'Détail fonctionnement'!$C$5:$C$500,$D78)</f>
      </c>
      <c r="N78" s="66"/>
      <c r="O78" s="66">
        <f>IF(N78="","",N78-M78)</f>
      </c>
      <c r="Q78"/>
      <c r="R78"/>
      <c r="S78"/>
      <c r="T78"/>
      <c r="U78"/>
      <c r="V78"/>
      <c r="W78"/>
      <c r="X78"/>
      <c r="Y78"/>
    </row>
    <row r="79" spans="2:25" x14ac:dyDescent="0.25">
      <c r="B79" s="10" t="s">
        <v>3</v>
      </c>
      <c r="C79" s="28" t="s">
        <v>29</v>
      </c>
      <c r="D79" s="28" t="s">
        <v>107</v>
      </c>
      <c r="F79" s="66">
        <f>M79/$E$3</f>
      </c>
      <c r="G79" s="66">
        <f>IF(N79="","",N79/$E$3)</f>
      </c>
      <c r="H79" s="66">
        <f>IF(G79="","",G79-F79)</f>
      </c>
      <c r="M79" s="66">
        <f>SUMIFS('Détail fonctionnement'!$E$5:$E$500,'Détail fonctionnement'!$A$5:$A$500,$B79,'Détail fonctionnement'!$G$5:$G$500,"O",'Détail fonctionnement'!$B$5:$B$500,$C79,'Détail fonctionnement'!$C$5:$C$500,$D79)</f>
      </c>
      <c r="N79" s="66"/>
      <c r="O79" s="66">
        <f>IF(N79="","",N79-M79)</f>
      </c>
      <c r="Q79"/>
      <c r="R79"/>
      <c r="S79"/>
      <c r="T79"/>
      <c r="U79"/>
      <c r="V79"/>
      <c r="W79"/>
      <c r="X79"/>
      <c r="Y79"/>
    </row>
    <row r="80" spans="2:25" x14ac:dyDescent="0.25">
      <c r="B80" s="10" t="s">
        <v>3</v>
      </c>
      <c r="C80" s="28" t="s">
        <v>33</v>
      </c>
      <c r="D80" s="28" t="s">
        <v>104</v>
      </c>
      <c r="F80" s="66">
        <f>M80/$E$3</f>
      </c>
      <c r="G80" s="66">
        <f>IF(N80="","",N80/$E$3)</f>
      </c>
      <c r="H80" s="66">
        <f>IF(G80="","",G80-F80)</f>
      </c>
      <c r="M80" s="66">
        <f>SUMIFS('Détail fonctionnement'!$E$5:$E$500,'Détail fonctionnement'!$A$5:$A$500,$B80,'Détail fonctionnement'!$G$5:$G$500,"O",'Détail fonctionnement'!$B$5:$B$500,$C80,'Détail fonctionnement'!$C$5:$C$500,$D80)</f>
      </c>
      <c r="N80" s="66"/>
      <c r="O80" s="66">
        <f>IF(N80="","",N80-M80)</f>
      </c>
      <c r="Q80"/>
      <c r="R80"/>
      <c r="S80"/>
      <c r="T80"/>
      <c r="U80"/>
      <c r="V80"/>
      <c r="W80"/>
      <c r="X80"/>
      <c r="Y80"/>
    </row>
    <row r="81" spans="2:25" x14ac:dyDescent="0.25">
      <c r="B81" s="10" t="s">
        <v>3</v>
      </c>
      <c r="C81" s="28" t="s">
        <v>33</v>
      </c>
      <c r="D81" s="28" t="s">
        <v>105</v>
      </c>
      <c r="F81" s="66">
        <f>M81/$E$3</f>
      </c>
      <c r="G81" s="66">
        <f>IF(N81="","",N81/$E$3)</f>
      </c>
      <c r="H81" s="66">
        <f>IF(G81="","",G81-F81)</f>
      </c>
      <c r="M81" s="66">
        <f>SUMIFS('Détail fonctionnement'!$E$5:$E$500,'Détail fonctionnement'!$A$5:$A$500,$B81,'Détail fonctionnement'!$G$5:$G$500,"O",'Détail fonctionnement'!$B$5:$B$500,$C81,'Détail fonctionnement'!$C$5:$C$500,$D81)</f>
      </c>
      <c r="N81" s="66"/>
      <c r="O81" s="66">
        <f>IF(N81="","",N81-M81)</f>
      </c>
      <c r="Q81"/>
      <c r="R81"/>
      <c r="S81"/>
      <c r="T81"/>
      <c r="U81"/>
      <c r="V81"/>
      <c r="W81"/>
      <c r="X81"/>
      <c r="Y81"/>
    </row>
    <row r="82" spans="2:25" x14ac:dyDescent="0.25">
      <c r="B82" s="10" t="s">
        <v>3</v>
      </c>
      <c r="C82" s="28" t="s">
        <v>36</v>
      </c>
      <c r="D82" s="28" t="s">
        <v>104</v>
      </c>
      <c r="F82" s="66">
        <f>M82/$E$3</f>
      </c>
      <c r="G82" s="66">
        <f>IF(N82="","",N82/$E$3)</f>
      </c>
      <c r="H82" s="66">
        <f>IF(G82="","",G82-F82)</f>
      </c>
      <c r="M82" s="66">
        <f>SUMIFS('Détail fonctionnement'!$E$5:$E$500,'Détail fonctionnement'!$A$5:$A$500,$B82,'Détail fonctionnement'!$G$5:$G$500,"O",'Détail fonctionnement'!$B$5:$B$500,$C82,'Détail fonctionnement'!$C$5:$C$500,$D82)</f>
      </c>
      <c r="N82" s="66"/>
      <c r="O82" s="66">
        <f>IF(N82="","",N82-M82)</f>
      </c>
      <c r="Q82"/>
      <c r="R82"/>
      <c r="S82"/>
      <c r="T82"/>
      <c r="U82"/>
      <c r="V82"/>
      <c r="W82"/>
      <c r="X82"/>
      <c r="Y82"/>
    </row>
    <row r="83" spans="2:25" x14ac:dyDescent="0.25">
      <c r="B83" s="10" t="s">
        <v>3</v>
      </c>
      <c r="C83" s="28" t="s">
        <v>36</v>
      </c>
      <c r="D83" s="28" t="s">
        <v>105</v>
      </c>
      <c r="F83" s="66">
        <f>M83/$E$3</f>
      </c>
      <c r="G83" s="66">
        <f>IF(N83="","",N83/$E$3)</f>
      </c>
      <c r="H83" s="66">
        <f>IF(G83="","",G83-F83)</f>
      </c>
      <c r="M83" s="66">
        <f>SUMIFS('Détail fonctionnement'!$E$5:$E$500,'Détail fonctionnement'!$A$5:$A$500,$B83,'Détail fonctionnement'!$G$5:$G$500,"O",'Détail fonctionnement'!$B$5:$B$500,$C83,'Détail fonctionnement'!$C$5:$C$500,$D83)</f>
      </c>
      <c r="N83" s="66"/>
      <c r="O83" s="66">
        <f>IF(N83="","",N83-M83)</f>
      </c>
      <c r="Q83"/>
      <c r="R83"/>
      <c r="S83"/>
      <c r="T83"/>
      <c r="U83"/>
      <c r="V83"/>
      <c r="W83"/>
      <c r="X83"/>
      <c r="Y83"/>
    </row>
    <row r="84" spans="2:25" x14ac:dyDescent="0.25">
      <c r="B84" s="10" t="s">
        <v>3</v>
      </c>
      <c r="C84" s="28" t="s">
        <v>36</v>
      </c>
      <c r="D84" s="28" t="s">
        <v>106</v>
      </c>
      <c r="F84" s="66">
        <f>M84/$E$3</f>
      </c>
      <c r="G84" s="66">
        <f>IF(N84="","",N84/$E$3)</f>
      </c>
      <c r="H84" s="66">
        <f>IF(G84="","",G84-F84)</f>
      </c>
      <c r="M84" s="66">
        <f>SUMIFS('Détail fonctionnement'!$E$5:$E$500,'Détail fonctionnement'!$A$5:$A$500,$B84,'Détail fonctionnement'!$G$5:$G$500,"O",'Détail fonctionnement'!$B$5:$B$500,$C84,'Détail fonctionnement'!$C$5:$C$500,$D84)</f>
      </c>
      <c r="N84" s="66"/>
      <c r="O84" s="66">
        <f>IF(N84="","",N84-M84)</f>
      </c>
      <c r="Q84"/>
      <c r="R84"/>
      <c r="S84"/>
      <c r="T84"/>
      <c r="U84"/>
      <c r="V84"/>
      <c r="W84"/>
      <c r="X84"/>
      <c r="Y84"/>
    </row>
    <row r="85" spans="2:25" x14ac:dyDescent="0.25">
      <c r="B85" s="10" t="s">
        <v>3</v>
      </c>
      <c r="C85" s="28" t="s">
        <v>39</v>
      </c>
      <c r="D85" s="28" t="s">
        <v>104</v>
      </c>
      <c r="F85" s="66">
        <f>M85/$E$3</f>
      </c>
      <c r="G85" s="66">
        <f>IF(N85="","",N85/$E$3)</f>
      </c>
      <c r="H85" s="66">
        <f>IF(G85="","",G85-F85)</f>
      </c>
      <c r="M85" s="66">
        <f>SUMIFS('Détail fonctionnement'!$E$5:$E$500,'Détail fonctionnement'!$A$5:$A$500,$B85,'Détail fonctionnement'!$G$5:$G$500,"O",'Détail fonctionnement'!$B$5:$B$500,$C85,'Détail fonctionnement'!$C$5:$C$500,$D85)</f>
      </c>
      <c r="N85" s="66"/>
      <c r="O85" s="66">
        <f>IF(N85="","",N85-M85)</f>
      </c>
      <c r="Q85"/>
      <c r="R85"/>
      <c r="S85"/>
      <c r="T85"/>
      <c r="U85"/>
      <c r="V85"/>
      <c r="W85"/>
      <c r="X85"/>
      <c r="Y85"/>
    </row>
    <row r="86" spans="2:25" x14ac:dyDescent="0.25">
      <c r="B86" s="10" t="s">
        <v>3</v>
      </c>
      <c r="C86" s="28" t="s">
        <v>39</v>
      </c>
      <c r="D86" s="28" t="s">
        <v>108</v>
      </c>
      <c r="F86" s="66">
        <f>M86/$E$3</f>
      </c>
      <c r="G86" s="66">
        <f>IF(N86="","",N86/$E$3)</f>
      </c>
      <c r="H86" s="66">
        <f>IF(G86="","",G86-F86)</f>
      </c>
      <c r="M86" s="66">
        <f>SUMIFS('Détail fonctionnement'!$E$5:$E$500,'Détail fonctionnement'!$A$5:$A$500,$B86,'Détail fonctionnement'!$G$5:$G$500,"O",'Détail fonctionnement'!$B$5:$B$500,$C86,'Détail fonctionnement'!$C$5:$C$500,$D86)</f>
      </c>
      <c r="N86" s="66"/>
      <c r="O86" s="66">
        <f>IF(N86="","",N86-M86)</f>
      </c>
      <c r="Q86"/>
      <c r="R86"/>
      <c r="S86"/>
      <c r="T86"/>
      <c r="U86"/>
      <c r="V86"/>
      <c r="W86"/>
      <c r="X86"/>
      <c r="Y86"/>
    </row>
    <row r="87" spans="2:25" x14ac:dyDescent="0.25">
      <c r="B87" s="10" t="s">
        <v>3</v>
      </c>
      <c r="C87" s="28" t="s">
        <v>39</v>
      </c>
      <c r="D87" s="28" t="s">
        <v>105</v>
      </c>
      <c r="F87" s="66">
        <f>M87/$E$3</f>
      </c>
      <c r="G87" s="66">
        <f>IF(N87="","",N87/$E$3)</f>
      </c>
      <c r="H87" s="66">
        <f>IF(G87="","",G87-F87)</f>
      </c>
      <c r="M87" s="66">
        <f>SUMIFS('Détail fonctionnement'!$E$5:$E$500,'Détail fonctionnement'!$A$5:$A$500,$B87,'Détail fonctionnement'!$G$5:$G$500,"O",'Détail fonctionnement'!$B$5:$B$500,$C87,'Détail fonctionnement'!$C$5:$C$500,$D87)</f>
      </c>
      <c r="N87" s="66"/>
      <c r="O87" s="66">
        <f>IF(N87="","",N87-M87)</f>
      </c>
      <c r="Q87"/>
      <c r="R87"/>
      <c r="S87"/>
      <c r="T87"/>
      <c r="U87"/>
      <c r="V87"/>
      <c r="W87"/>
      <c r="X87"/>
      <c r="Y87"/>
    </row>
    <row r="88" spans="2:25" x14ac:dyDescent="0.25">
      <c r="B88" s="10" t="s">
        <v>3</v>
      </c>
      <c r="C88" s="28" t="s">
        <v>39</v>
      </c>
      <c r="D88" s="28" t="s">
        <v>106</v>
      </c>
      <c r="F88" s="66">
        <f>M88/$E$3</f>
      </c>
      <c r="G88" s="66">
        <f>IF(N88="","",N88/$E$3)</f>
      </c>
      <c r="H88" s="66">
        <f>IF(G88="","",G88-F88)</f>
      </c>
      <c r="M88" s="66">
        <f>SUMIFS('Détail fonctionnement'!$E$5:$E$500,'Détail fonctionnement'!$A$5:$A$500,$B88,'Détail fonctionnement'!$G$5:$G$500,"O",'Détail fonctionnement'!$B$5:$B$500,$C88,'Détail fonctionnement'!$C$5:$C$500,$D88)</f>
      </c>
      <c r="N88" s="66"/>
      <c r="O88" s="66">
        <f>IF(N88="","",N88-M88)</f>
      </c>
      <c r="Q88"/>
      <c r="R88"/>
      <c r="S88"/>
      <c r="T88"/>
      <c r="U88"/>
      <c r="V88"/>
      <c r="W88"/>
      <c r="X88"/>
      <c r="Y88"/>
    </row>
    <row r="89" spans="2:25" x14ac:dyDescent="0.25">
      <c r="B89" s="10" t="s">
        <v>3</v>
      </c>
      <c r="C89" s="28" t="s">
        <v>39</v>
      </c>
      <c r="D89" s="28" t="s">
        <v>109</v>
      </c>
      <c r="F89" s="66">
        <f>M89/$E$3</f>
      </c>
      <c r="G89" s="66">
        <f>IF(N89="","",N89/$E$3)</f>
      </c>
      <c r="H89" s="66">
        <f>IF(G89="","",G89-F89)</f>
      </c>
      <c r="M89" s="66">
        <f>SUMIFS('Détail fonctionnement'!$E$5:$E$500,'Détail fonctionnement'!$A$5:$A$500,$B89,'Détail fonctionnement'!$G$5:$G$500,"O",'Détail fonctionnement'!$B$5:$B$500,$C89,'Détail fonctionnement'!$C$5:$C$500,$D89)</f>
      </c>
      <c r="N89" s="66"/>
      <c r="O89" s="66">
        <f>IF(N89="","",N89-M89)</f>
      </c>
      <c r="Q89"/>
      <c r="R89"/>
      <c r="S89"/>
      <c r="T89"/>
      <c r="U89"/>
      <c r="V89"/>
      <c r="W89"/>
      <c r="X89"/>
      <c r="Y89"/>
    </row>
    <row r="90" spans="2:25" x14ac:dyDescent="0.25">
      <c r="B90" s="10" t="s">
        <v>3</v>
      </c>
      <c r="C90" s="28" t="s">
        <v>39</v>
      </c>
      <c r="D90" s="28" t="s">
        <v>110</v>
      </c>
      <c r="F90" s="66">
        <f>M90/$E$3</f>
      </c>
      <c r="G90" s="66">
        <f>IF(N90="","",N90/$E$3)</f>
      </c>
      <c r="H90" s="66">
        <f>IF(G90="","",G90-F90)</f>
      </c>
      <c r="M90" s="66">
        <f>SUMIFS('Détail fonctionnement'!$E$5:$E$500,'Détail fonctionnement'!$A$5:$A$500,$B90,'Détail fonctionnement'!$G$5:$G$500,"O",'Détail fonctionnement'!$B$5:$B$500,$C90,'Détail fonctionnement'!$C$5:$C$500,$D90)</f>
      </c>
      <c r="N90" s="66"/>
      <c r="O90" s="66">
        <f>IF(N90="","",N90-M90)</f>
      </c>
      <c r="Q90"/>
      <c r="R90"/>
      <c r="S90"/>
      <c r="T90"/>
      <c r="U90"/>
      <c r="V90"/>
      <c r="W90"/>
      <c r="X90"/>
      <c r="Y90"/>
    </row>
    <row r="91" spans="2:25" x14ac:dyDescent="0.25">
      <c r="B91" s="10" t="s">
        <v>3</v>
      </c>
      <c r="C91" s="28" t="s">
        <v>46</v>
      </c>
      <c r="D91" s="28" t="s">
        <v>104</v>
      </c>
      <c r="F91" s="66">
        <f>M91/$E$3</f>
      </c>
      <c r="G91" s="66">
        <f>IF(N91="","",N91/$E$3)</f>
      </c>
      <c r="H91" s="66">
        <f>IF(G91="","",G91-F91)</f>
      </c>
      <c r="M91" s="66">
        <f>SUMIFS('Détail fonctionnement'!$E$5:$E$500,'Détail fonctionnement'!$A$5:$A$500,$B91,'Détail fonctionnement'!$G$5:$G$500,"O",'Détail fonctionnement'!$B$5:$B$500,$C91,'Détail fonctionnement'!$C$5:$C$500,$D91)</f>
      </c>
      <c r="N91" s="66"/>
      <c r="O91" s="66">
        <f>IF(N91="","",N91-M91)</f>
      </c>
      <c r="Q91"/>
      <c r="R91"/>
      <c r="S91"/>
      <c r="T91"/>
      <c r="U91"/>
      <c r="V91"/>
      <c r="W91"/>
      <c r="X91"/>
      <c r="Y91"/>
    </row>
    <row r="92" spans="2:25" x14ac:dyDescent="0.25">
      <c r="B92" s="10" t="s">
        <v>3</v>
      </c>
      <c r="C92" s="28" t="s">
        <v>46</v>
      </c>
      <c r="D92" s="28" t="s">
        <v>105</v>
      </c>
      <c r="F92" s="66">
        <f>M92/$E$3</f>
      </c>
      <c r="G92" s="66">
        <f>IF(N92="","",N92/$E$3)</f>
      </c>
      <c r="H92" s="66">
        <f>IF(G92="","",G92-F92)</f>
      </c>
      <c r="M92" s="66">
        <f>SUMIFS('Détail fonctionnement'!$E$5:$E$500,'Détail fonctionnement'!$A$5:$A$500,$B92,'Détail fonctionnement'!$G$5:$G$500,"O",'Détail fonctionnement'!$B$5:$B$500,$C92,'Détail fonctionnement'!$C$5:$C$500,$D92)</f>
      </c>
      <c r="N92" s="66"/>
      <c r="O92" s="66">
        <f>IF(N92="","",N92-M92)</f>
      </c>
      <c r="Q92"/>
      <c r="R92"/>
      <c r="S92"/>
      <c r="T92"/>
      <c r="U92"/>
      <c r="V92"/>
      <c r="W92"/>
      <c r="X92"/>
      <c r="Y92"/>
    </row>
    <row r="93" spans="2:25" x14ac:dyDescent="0.25">
      <c r="B93" s="10" t="s">
        <v>3</v>
      </c>
      <c r="C93" s="28" t="s">
        <v>46</v>
      </c>
      <c r="D93" s="28" t="s">
        <v>106</v>
      </c>
      <c r="F93" s="66">
        <f>M93/$E$3</f>
      </c>
      <c r="G93" s="66">
        <f>IF(N93="","",N93/$E$3)</f>
      </c>
      <c r="H93" s="66">
        <f>IF(G93="","",G93-F93)</f>
      </c>
      <c r="M93" s="66">
        <f>SUMIFS('Détail fonctionnement'!$E$5:$E$500,'Détail fonctionnement'!$A$5:$A$500,$B93,'Détail fonctionnement'!$G$5:$G$500,"O",'Détail fonctionnement'!$B$5:$B$500,$C93,'Détail fonctionnement'!$C$5:$C$500,$D93)</f>
      </c>
      <c r="N93" s="66"/>
      <c r="O93" s="66">
        <f>IF(N93="","",N93-M93)</f>
      </c>
      <c r="Q93"/>
      <c r="R93"/>
      <c r="S93"/>
      <c r="T93"/>
      <c r="U93"/>
      <c r="V93"/>
      <c r="W93"/>
      <c r="X93"/>
      <c r="Y93"/>
    </row>
    <row r="94" spans="2:25" x14ac:dyDescent="0.25">
      <c r="B94" s="10" t="s">
        <v>3</v>
      </c>
      <c r="C94" s="28" t="s">
        <v>50</v>
      </c>
      <c r="D94" s="28" t="s">
        <v>104</v>
      </c>
      <c r="F94" s="66">
        <f>M94/$E$3</f>
      </c>
      <c r="G94" s="66">
        <f>IF(N94="","",N94/$E$3)</f>
      </c>
      <c r="H94" s="66">
        <f>IF(G94="","",G94-F94)</f>
      </c>
      <c r="M94" s="66">
        <f>SUMIFS('Détail fonctionnement'!$E$5:$E$500,'Détail fonctionnement'!$A$5:$A$500,$B94,'Détail fonctionnement'!$G$5:$G$500,"O",'Détail fonctionnement'!$B$5:$B$500,$C94,'Détail fonctionnement'!$C$5:$C$500,$D94)</f>
      </c>
      <c r="N94" s="66"/>
      <c r="O94" s="66">
        <f>IF(N94="","",N94-M94)</f>
      </c>
      <c r="Q94"/>
      <c r="R94"/>
      <c r="S94"/>
      <c r="T94"/>
      <c r="U94"/>
      <c r="V94"/>
      <c r="W94"/>
      <c r="X94"/>
      <c r="Y94"/>
    </row>
    <row r="95" spans="2:25" x14ac:dyDescent="0.25">
      <c r="B95" s="10" t="s">
        <v>3</v>
      </c>
      <c r="C95" s="28" t="s">
        <v>50</v>
      </c>
      <c r="D95" s="28" t="s">
        <v>105</v>
      </c>
      <c r="F95" s="66">
        <f>M95/$E$3</f>
      </c>
      <c r="G95" s="66">
        <f>IF(N95="","",N95/$E$3)</f>
      </c>
      <c r="H95" s="66">
        <f>IF(G95="","",G95-F95)</f>
      </c>
      <c r="M95" s="66">
        <f>SUMIFS('Détail fonctionnement'!$E$5:$E$500,'Détail fonctionnement'!$A$5:$A$500,$B95,'Détail fonctionnement'!$G$5:$G$500,"O",'Détail fonctionnement'!$B$5:$B$500,$C95,'Détail fonctionnement'!$C$5:$C$500,$D95)</f>
      </c>
      <c r="N95" s="66"/>
      <c r="O95" s="66">
        <f>IF(N95="","",N95-M95)</f>
      </c>
      <c r="Q95"/>
      <c r="R95"/>
      <c r="S95"/>
      <c r="T95"/>
      <c r="U95"/>
      <c r="V95"/>
      <c r="W95"/>
      <c r="X95"/>
      <c r="Y95"/>
    </row>
    <row r="96" spans="2:25" x14ac:dyDescent="0.25">
      <c r="B96" s="10" t="s">
        <v>3</v>
      </c>
      <c r="C96" s="28" t="s">
        <v>53</v>
      </c>
      <c r="D96" s="28" t="s">
        <v>104</v>
      </c>
      <c r="F96" s="66">
        <f>M96/$E$3</f>
      </c>
      <c r="G96" s="66">
        <f>IF(N96="","",N96/$E$3)</f>
      </c>
      <c r="H96" s="66">
        <f>IF(G96="","",G96-F96)</f>
      </c>
      <c r="M96" s="66">
        <f>SUMIFS('Détail fonctionnement'!$E$5:$E$500,'Détail fonctionnement'!$A$5:$A$500,$B96,'Détail fonctionnement'!$G$5:$G$500,"O",'Détail fonctionnement'!$B$5:$B$500,$C96,'Détail fonctionnement'!$C$5:$C$500,$D96)</f>
      </c>
      <c r="N96" s="66"/>
      <c r="O96" s="66">
        <f>IF(N96="","",N96-M96)</f>
      </c>
      <c r="Q96"/>
      <c r="R96"/>
      <c r="S96"/>
      <c r="T96"/>
      <c r="U96"/>
      <c r="V96"/>
      <c r="W96"/>
      <c r="X96"/>
      <c r="Y96"/>
    </row>
    <row r="97" spans="2:25" x14ac:dyDescent="0.25">
      <c r="B97" s="10" t="s">
        <v>3</v>
      </c>
      <c r="C97" s="28" t="s">
        <v>53</v>
      </c>
      <c r="D97" s="28" t="s">
        <v>105</v>
      </c>
      <c r="F97" s="66">
        <f>M97/$E$3</f>
      </c>
      <c r="G97" s="66">
        <f>IF(N97="","",N97/$E$3)</f>
      </c>
      <c r="H97" s="66">
        <f>IF(G97="","",G97-F97)</f>
      </c>
      <c r="M97" s="66">
        <f>SUMIFS('Détail fonctionnement'!$E$5:$E$500,'Détail fonctionnement'!$A$5:$A$500,$B97,'Détail fonctionnement'!$G$5:$G$500,"O",'Détail fonctionnement'!$B$5:$B$500,$C97,'Détail fonctionnement'!$C$5:$C$500,$D97)</f>
      </c>
      <c r="N97" s="66"/>
      <c r="O97" s="66">
        <f>IF(N97="","",N97-M97)</f>
      </c>
      <c r="Q97"/>
      <c r="R97"/>
      <c r="S97"/>
      <c r="T97"/>
      <c r="U97"/>
      <c r="V97"/>
      <c r="W97"/>
      <c r="X97"/>
      <c r="Y97"/>
    </row>
    <row r="98" spans="2:25" x14ac:dyDescent="0.25">
      <c r="B98" s="10" t="s">
        <v>3</v>
      </c>
      <c r="C98" s="28" t="s">
        <v>53</v>
      </c>
      <c r="D98" s="28" t="s">
        <v>106</v>
      </c>
      <c r="F98" s="66">
        <f>M98/$E$3</f>
      </c>
      <c r="G98" s="66">
        <f>IF(N98="","",N98/$E$3)</f>
      </c>
      <c r="H98" s="66">
        <f>IF(G98="","",G98-F98)</f>
      </c>
      <c r="M98" s="66">
        <f>SUMIFS('Détail fonctionnement'!$E$5:$E$500,'Détail fonctionnement'!$A$5:$A$500,$B98,'Détail fonctionnement'!$G$5:$G$500,"O",'Détail fonctionnement'!$B$5:$B$500,$C98,'Détail fonctionnement'!$C$5:$C$500,$D98)</f>
      </c>
      <c r="N98" s="66"/>
      <c r="O98" s="66">
        <f>IF(N98="","",N98-M98)</f>
      </c>
      <c r="Q98"/>
      <c r="R98"/>
      <c r="S98"/>
      <c r="T98"/>
      <c r="U98"/>
      <c r="V98"/>
      <c r="W98"/>
      <c r="X98"/>
      <c r="Y98"/>
    </row>
    <row r="99" spans="2:25" x14ac:dyDescent="0.25">
      <c r="B99" s="10" t="s">
        <v>3</v>
      </c>
      <c r="C99" s="28" t="s">
        <v>59</v>
      </c>
      <c r="D99" s="28" t="s">
        <v>104</v>
      </c>
      <c r="F99" s="66">
        <f>M99/$E$3</f>
      </c>
      <c r="G99" s="66">
        <f>IF(N99="","",N99/$E$3)</f>
      </c>
      <c r="H99" s="66">
        <f>IF(G99="","",G99-F99)</f>
      </c>
      <c r="M99" s="66">
        <f>SUMIFS('Détail fonctionnement'!$E$5:$E$500,'Détail fonctionnement'!$A$5:$A$500,$B99,'Détail fonctionnement'!$G$5:$G$500,"O",'Détail fonctionnement'!$B$5:$B$500,$C99,'Détail fonctionnement'!$C$5:$C$500,$D99)</f>
      </c>
      <c r="N99" s="66"/>
      <c r="O99" s="66">
        <f>IF(N99="","",N99-M99)</f>
      </c>
      <c r="Q99"/>
      <c r="R99"/>
      <c r="S99"/>
      <c r="T99"/>
      <c r="U99"/>
      <c r="V99"/>
      <c r="W99"/>
      <c r="X99"/>
      <c r="Y99"/>
    </row>
    <row r="100" spans="2:25" x14ac:dyDescent="0.25">
      <c r="B100" s="10" t="s">
        <v>3</v>
      </c>
      <c r="C100" s="28" t="s">
        <v>59</v>
      </c>
      <c r="D100" s="28" t="s">
        <v>105</v>
      </c>
      <c r="F100" s="66">
        <f>M100/$E$3</f>
      </c>
      <c r="G100" s="66">
        <f>IF(N100="","",N100/$E$3)</f>
      </c>
      <c r="H100" s="66">
        <f>IF(G100="","",G100-F100)</f>
      </c>
      <c r="M100" s="66">
        <f>SUMIFS('Détail fonctionnement'!$E$5:$E$500,'Détail fonctionnement'!$A$5:$A$500,$B100,'Détail fonctionnement'!$G$5:$G$500,"O",'Détail fonctionnement'!$B$5:$B$500,$C100,'Détail fonctionnement'!$C$5:$C$500,$D100)</f>
      </c>
      <c r="N100" s="66"/>
      <c r="O100" s="66">
        <f>IF(N100="","",N100-M100)</f>
      </c>
      <c r="Q100"/>
      <c r="R100"/>
      <c r="S100"/>
      <c r="T100"/>
      <c r="U100"/>
      <c r="V100"/>
      <c r="W100"/>
      <c r="X100"/>
      <c r="Y100"/>
    </row>
    <row r="101" spans="2:25" x14ac:dyDescent="0.25">
      <c r="B101" s="10" t="s">
        <v>3</v>
      </c>
      <c r="C101" s="28" t="s">
        <v>61</v>
      </c>
      <c r="D101" s="28" t="s">
        <v>105</v>
      </c>
      <c r="F101" s="66">
        <f>M101/$E$3</f>
      </c>
      <c r="G101" s="66">
        <f>IF(N101="","",N101/$E$3)</f>
      </c>
      <c r="H101" s="66">
        <f>IF(G101="","",G101-F101)</f>
      </c>
      <c r="M101" s="66">
        <f>SUMIFS('Détail fonctionnement'!$E$5:$E$500,'Détail fonctionnement'!$A$5:$A$500,$B101,'Détail fonctionnement'!$G$5:$G$500,"O",'Détail fonctionnement'!$B$5:$B$500,$C101,'Détail fonctionnement'!$C$5:$C$500,$D101)</f>
      </c>
      <c r="N101" s="66"/>
      <c r="O101" s="66">
        <f>IF(N101="","",N101-M101)</f>
      </c>
      <c r="Q101"/>
      <c r="R101"/>
      <c r="S101"/>
      <c r="T101"/>
      <c r="U101"/>
      <c r="V101"/>
      <c r="W101"/>
      <c r="X101"/>
      <c r="Y101"/>
    </row>
    <row r="102" spans="2:25" x14ac:dyDescent="0.25">
      <c r="B102" s="10" t="s">
        <v>3</v>
      </c>
      <c r="C102" s="28" t="s">
        <v>61</v>
      </c>
      <c r="D102" s="28" t="s">
        <v>106</v>
      </c>
      <c r="F102" s="66">
        <f>M102/$E$3</f>
      </c>
      <c r="G102" s="66">
        <f>IF(N102="","",N102/$E$3)</f>
      </c>
      <c r="H102" s="66">
        <f>IF(G102="","",G102-F102)</f>
      </c>
      <c r="M102" s="66">
        <f>SUMIFS('Détail fonctionnement'!$E$5:$E$500,'Détail fonctionnement'!$A$5:$A$500,$B102,'Détail fonctionnement'!$G$5:$G$500,"O",'Détail fonctionnement'!$B$5:$B$500,$C102,'Détail fonctionnement'!$C$5:$C$500,$D102)</f>
      </c>
      <c r="N102" s="66"/>
      <c r="O102" s="66">
        <f>IF(N102="","",N102-M102)</f>
      </c>
      <c r="Q102"/>
      <c r="R102"/>
      <c r="S102"/>
      <c r="T102"/>
      <c r="U102"/>
      <c r="V102"/>
      <c r="W102"/>
      <c r="X102"/>
      <c r="Y102"/>
    </row>
    <row r="103" spans="3:15" x14ac:dyDescent="0.25">
      <c r="C103" s="54" t="s">
        <v>111</v>
      </c>
      <c r="D103" s="50"/>
      <c r="F103" s="55">
        <f>SUM(F74:F102)</f>
      </c>
      <c r="G103" s="55">
        <f>SUM(G74:G102)</f>
      </c>
      <c r="H103" s="55">
        <f>SUM(H74:H102)</f>
      </c>
      <c r="M103" s="55">
        <f>SUM(M74:M102)</f>
      </c>
      <c r="N103" s="55">
        <f>SUM(N74:N102)</f>
      </c>
      <c r="O103" s="55">
        <f>SUM(O74:O102)</f>
      </c>
    </row>
    <row r="105" spans="3:4" x14ac:dyDescent="0.25">
      <c r="C105" s="65" t="s">
        <v>112</v>
      </c>
      <c r="D105" s="65" t="s">
        <v>18</v>
      </c>
    </row>
    <row r="106" spans="2:25" x14ac:dyDescent="0.25">
      <c r="B106" s="10" t="s">
        <v>4</v>
      </c>
      <c r="C106" s="28" t="s">
        <v>22</v>
      </c>
      <c r="D106" s="28" t="s">
        <v>105</v>
      </c>
      <c r="F106" s="66">
        <f>M106/$E$3</f>
      </c>
      <c r="G106" s="66">
        <f>IF(N106="","",N106/$E$3)</f>
      </c>
      <c r="H106" s="66">
        <f>IF(G106="","",G106-F106)</f>
      </c>
      <c r="M106" s="66">
        <f>SUMIFS('Détail fonctionnement'!$E$5:$E$500,'Détail fonctionnement'!$A$5:$A$500,$B106,'Détail fonctionnement'!$G$5:$G$500,"O",'Détail fonctionnement'!$B$5:$B$500,$C106,'Détail fonctionnement'!$C$5:$C$500,$D106)</f>
      </c>
      <c r="N106" s="66"/>
      <c r="O106" s="66">
        <f>IF(N106="","",N106-M106)</f>
      </c>
      <c r="Q106"/>
      <c r="R106"/>
      <c r="S106"/>
      <c r="T106"/>
      <c r="U106"/>
      <c r="V106"/>
      <c r="W106"/>
      <c r="X106"/>
      <c r="Y106"/>
    </row>
    <row r="107" spans="2:25" x14ac:dyDescent="0.25">
      <c r="B107" s="10" t="s">
        <v>4</v>
      </c>
      <c r="C107" s="28" t="s">
        <v>22</v>
      </c>
      <c r="D107" s="28" t="s">
        <v>106</v>
      </c>
      <c r="F107" s="66">
        <f>M107/$E$3</f>
      </c>
      <c r="G107" s="66">
        <f>IF(N107="","",N107/$E$3)</f>
      </c>
      <c r="H107" s="66">
        <f>IF(G107="","",G107-F107)</f>
      </c>
      <c r="M107" s="66">
        <f>SUMIFS('Détail fonctionnement'!$E$5:$E$500,'Détail fonctionnement'!$A$5:$A$500,$B107,'Détail fonctionnement'!$G$5:$G$500,"O",'Détail fonctionnement'!$B$5:$B$500,$C107,'Détail fonctionnement'!$C$5:$C$500,$D107)</f>
      </c>
      <c r="N107" s="66"/>
      <c r="O107" s="66">
        <f>IF(N107="","",N107-M107)</f>
      </c>
      <c r="Q107"/>
      <c r="R107"/>
      <c r="S107"/>
      <c r="T107"/>
      <c r="U107"/>
      <c r="V107"/>
      <c r="W107"/>
      <c r="X107"/>
      <c r="Y107"/>
    </row>
    <row r="108" spans="2:25" x14ac:dyDescent="0.25">
      <c r="B108" s="10" t="s">
        <v>4</v>
      </c>
      <c r="C108" s="28" t="s">
        <v>29</v>
      </c>
      <c r="D108" s="28" t="s">
        <v>104</v>
      </c>
      <c r="F108" s="66">
        <f>M108/$E$3</f>
      </c>
      <c r="G108" s="66">
        <f>IF(N108="","",N108/$E$3)</f>
      </c>
      <c r="H108" s="66">
        <f>IF(G108="","",G108-F108)</f>
      </c>
      <c r="M108" s="66">
        <f>SUMIFS('Détail fonctionnement'!$E$5:$E$500,'Détail fonctionnement'!$A$5:$A$500,$B108,'Détail fonctionnement'!$G$5:$G$500,"O",'Détail fonctionnement'!$B$5:$B$500,$C108,'Détail fonctionnement'!$C$5:$C$500,$D108)</f>
      </c>
      <c r="N108" s="66"/>
      <c r="O108" s="66">
        <f>IF(N108="","",N108-M108)</f>
      </c>
      <c r="Q108"/>
      <c r="R108"/>
      <c r="S108"/>
      <c r="T108"/>
      <c r="U108"/>
      <c r="V108"/>
      <c r="W108"/>
      <c r="X108"/>
      <c r="Y108"/>
    </row>
    <row r="109" spans="2:25" x14ac:dyDescent="0.25">
      <c r="B109" s="10" t="s">
        <v>4</v>
      </c>
      <c r="C109" s="28" t="s">
        <v>29</v>
      </c>
      <c r="D109" s="28" t="s">
        <v>110</v>
      </c>
      <c r="F109" s="66">
        <f>M109/$E$3</f>
      </c>
      <c r="G109" s="66">
        <f>IF(N109="","",N109/$E$3)</f>
      </c>
      <c r="H109" s="66">
        <f>IF(G109="","",G109-F109)</f>
      </c>
      <c r="M109" s="66">
        <f>SUMIFS('Détail fonctionnement'!$E$5:$E$500,'Détail fonctionnement'!$A$5:$A$500,$B109,'Détail fonctionnement'!$G$5:$G$500,"O",'Détail fonctionnement'!$B$5:$B$500,$C109,'Détail fonctionnement'!$C$5:$C$500,$D109)</f>
      </c>
      <c r="N109" s="66"/>
      <c r="O109" s="66">
        <f>IF(N109="","",N109-M109)</f>
      </c>
      <c r="Q109"/>
      <c r="R109"/>
      <c r="S109"/>
      <c r="T109"/>
      <c r="U109"/>
      <c r="V109"/>
      <c r="W109"/>
      <c r="X109"/>
      <c r="Y109"/>
    </row>
    <row r="110" spans="2:25" x14ac:dyDescent="0.25">
      <c r="B110" s="10" t="s">
        <v>4</v>
      </c>
      <c r="C110" s="28" t="s">
        <v>36</v>
      </c>
      <c r="D110" s="28" t="s">
        <v>105</v>
      </c>
      <c r="F110" s="66">
        <f>M110/$E$3</f>
      </c>
      <c r="G110" s="66">
        <f>IF(N110="","",N110/$E$3)</f>
      </c>
      <c r="H110" s="66">
        <f>IF(G110="","",G110-F110)</f>
      </c>
      <c r="M110" s="66">
        <f>SUMIFS('Détail fonctionnement'!$E$5:$E$500,'Détail fonctionnement'!$A$5:$A$500,$B110,'Détail fonctionnement'!$G$5:$G$500,"O",'Détail fonctionnement'!$B$5:$B$500,$C110,'Détail fonctionnement'!$C$5:$C$500,$D110)</f>
      </c>
      <c r="N110" s="66"/>
      <c r="O110" s="66">
        <f>IF(N110="","",N110-M110)</f>
      </c>
      <c r="Q110"/>
      <c r="R110"/>
      <c r="S110"/>
      <c r="T110"/>
      <c r="U110"/>
      <c r="V110"/>
      <c r="W110"/>
      <c r="X110"/>
      <c r="Y110"/>
    </row>
    <row r="111" spans="2:25" x14ac:dyDescent="0.25">
      <c r="B111" s="10" t="s">
        <v>4</v>
      </c>
      <c r="C111" s="28" t="s">
        <v>36</v>
      </c>
      <c r="D111" s="28" t="s">
        <v>106</v>
      </c>
      <c r="F111" s="66">
        <f>M111/$E$3</f>
      </c>
      <c r="G111" s="66">
        <f>IF(N111="","",N111/$E$3)</f>
      </c>
      <c r="H111" s="66">
        <f>IF(G111="","",G111-F111)</f>
      </c>
      <c r="M111" s="66">
        <f>SUMIFS('Détail fonctionnement'!$E$5:$E$500,'Détail fonctionnement'!$A$5:$A$500,$B111,'Détail fonctionnement'!$G$5:$G$500,"O",'Détail fonctionnement'!$B$5:$B$500,$C111,'Détail fonctionnement'!$C$5:$C$500,$D111)</f>
      </c>
      <c r="N111" s="66"/>
      <c r="O111" s="66">
        <f>IF(N111="","",N111-M111)</f>
      </c>
      <c r="Q111"/>
      <c r="R111"/>
      <c r="S111"/>
      <c r="T111"/>
      <c r="U111"/>
      <c r="V111"/>
      <c r="W111"/>
      <c r="X111"/>
      <c r="Y111"/>
    </row>
    <row r="112" spans="2:25" x14ac:dyDescent="0.25">
      <c r="B112" s="10" t="s">
        <v>4</v>
      </c>
      <c r="C112" s="28" t="s">
        <v>46</v>
      </c>
      <c r="D112" s="28" t="s">
        <v>105</v>
      </c>
      <c r="F112" s="66">
        <f>M112/$E$3</f>
      </c>
      <c r="G112" s="66">
        <f>IF(N112="","",N112/$E$3)</f>
      </c>
      <c r="H112" s="66">
        <f>IF(G112="","",G112-F112)</f>
      </c>
      <c r="M112" s="66">
        <f>SUMIFS('Détail fonctionnement'!$E$5:$E$500,'Détail fonctionnement'!$A$5:$A$500,$B112,'Détail fonctionnement'!$G$5:$G$500,"O",'Détail fonctionnement'!$B$5:$B$500,$C112,'Détail fonctionnement'!$C$5:$C$500,$D112)</f>
      </c>
      <c r="N112" s="66"/>
      <c r="O112" s="66">
        <f>IF(N112="","",N112-M112)</f>
      </c>
      <c r="Q112"/>
      <c r="R112"/>
      <c r="S112"/>
      <c r="T112"/>
      <c r="U112"/>
      <c r="V112"/>
      <c r="W112"/>
      <c r="X112"/>
      <c r="Y112"/>
    </row>
    <row r="113" spans="2:25" x14ac:dyDescent="0.25">
      <c r="B113" s="10" t="s">
        <v>4</v>
      </c>
      <c r="C113" s="28" t="s">
        <v>46</v>
      </c>
      <c r="D113" s="28" t="s">
        <v>106</v>
      </c>
      <c r="F113" s="66">
        <f>M113/$E$3</f>
      </c>
      <c r="G113" s="66">
        <f>IF(N113="","",N113/$E$3)</f>
      </c>
      <c r="H113" s="66">
        <f>IF(G113="","",G113-F113)</f>
      </c>
      <c r="M113" s="66">
        <f>SUMIFS('Détail fonctionnement'!$E$5:$E$500,'Détail fonctionnement'!$A$5:$A$500,$B113,'Détail fonctionnement'!$G$5:$G$500,"O",'Détail fonctionnement'!$B$5:$B$500,$C113,'Détail fonctionnement'!$C$5:$C$500,$D113)</f>
      </c>
      <c r="N113" s="66"/>
      <c r="O113" s="66">
        <f>IF(N113="","",N113-M113)</f>
      </c>
      <c r="Q113"/>
      <c r="R113"/>
      <c r="S113"/>
      <c r="T113"/>
      <c r="U113"/>
      <c r="V113"/>
      <c r="W113"/>
      <c r="X113"/>
      <c r="Y113"/>
    </row>
    <row r="114" spans="2:25" x14ac:dyDescent="0.25">
      <c r="B114" s="10" t="s">
        <v>4</v>
      </c>
      <c r="C114" s="28" t="s">
        <v>53</v>
      </c>
      <c r="D114" s="28" t="s">
        <v>105</v>
      </c>
      <c r="F114" s="66">
        <f>M114/$E$3</f>
      </c>
      <c r="G114" s="66">
        <f>IF(N114="","",N114/$E$3)</f>
      </c>
      <c r="H114" s="66">
        <f>IF(G114="","",G114-F114)</f>
      </c>
      <c r="M114" s="66">
        <f>SUMIFS('Détail fonctionnement'!$E$5:$E$500,'Détail fonctionnement'!$A$5:$A$500,$B114,'Détail fonctionnement'!$G$5:$G$500,"O",'Détail fonctionnement'!$B$5:$B$500,$C114,'Détail fonctionnement'!$C$5:$C$500,$D114)</f>
      </c>
      <c r="N114" s="66"/>
      <c r="O114" s="66">
        <f>IF(N114="","",N114-M114)</f>
      </c>
      <c r="Q114"/>
      <c r="R114"/>
      <c r="S114"/>
      <c r="T114"/>
      <c r="U114"/>
      <c r="V114"/>
      <c r="W114"/>
      <c r="X114"/>
      <c r="Y114"/>
    </row>
    <row r="115" spans="2:25" x14ac:dyDescent="0.25">
      <c r="B115" s="10" t="s">
        <v>4</v>
      </c>
      <c r="C115" s="28" t="s">
        <v>53</v>
      </c>
      <c r="D115" s="28" t="s">
        <v>106</v>
      </c>
      <c r="F115" s="66">
        <f>M115/$E$3</f>
      </c>
      <c r="G115" s="66">
        <f>IF(N115="","",N115/$E$3)</f>
      </c>
      <c r="H115" s="66">
        <f>IF(G115="","",G115-F115)</f>
      </c>
      <c r="M115" s="66">
        <f>SUMIFS('Détail fonctionnement'!$E$5:$E$500,'Détail fonctionnement'!$A$5:$A$500,$B115,'Détail fonctionnement'!$G$5:$G$500,"O",'Détail fonctionnement'!$B$5:$B$500,$C115,'Détail fonctionnement'!$C$5:$C$500,$D115)</f>
      </c>
      <c r="N115" s="66"/>
      <c r="O115" s="66">
        <f>IF(N115="","",N115-M115)</f>
      </c>
      <c r="Q115"/>
      <c r="R115"/>
      <c r="S115"/>
      <c r="T115"/>
      <c r="U115"/>
      <c r="V115"/>
      <c r="W115"/>
      <c r="X115"/>
      <c r="Y115"/>
    </row>
    <row r="116" spans="2:25" x14ac:dyDescent="0.25">
      <c r="B116" s="10" t="s">
        <v>4</v>
      </c>
      <c r="C116" s="28" t="s">
        <v>61</v>
      </c>
      <c r="D116" s="28" t="s">
        <v>105</v>
      </c>
      <c r="F116" s="66">
        <f>M116/$E$3</f>
      </c>
      <c r="G116" s="66">
        <f>IF(N116="","",N116/$E$3)</f>
      </c>
      <c r="H116" s="66">
        <f>IF(G116="","",G116-F116)</f>
      </c>
      <c r="M116" s="66">
        <f>SUMIFS('Détail fonctionnement'!$E$5:$E$500,'Détail fonctionnement'!$A$5:$A$500,$B116,'Détail fonctionnement'!$G$5:$G$500,"O",'Détail fonctionnement'!$B$5:$B$500,$C116,'Détail fonctionnement'!$C$5:$C$500,$D116)</f>
      </c>
      <c r="N116" s="66"/>
      <c r="O116" s="66">
        <f>IF(N116="","",N116-M116)</f>
      </c>
      <c r="Q116"/>
      <c r="R116"/>
      <c r="S116"/>
      <c r="T116"/>
      <c r="U116"/>
      <c r="V116"/>
      <c r="W116"/>
      <c r="X116"/>
      <c r="Y116"/>
    </row>
    <row r="117" spans="2:25" x14ac:dyDescent="0.25">
      <c r="B117" s="10" t="s">
        <v>4</v>
      </c>
      <c r="C117" s="28" t="s">
        <v>61</v>
      </c>
      <c r="D117" s="28" t="s">
        <v>106</v>
      </c>
      <c r="F117" s="66">
        <f>M117/$E$3</f>
      </c>
      <c r="G117" s="66">
        <f>IF(N117="","",N117/$E$3)</f>
      </c>
      <c r="H117" s="66">
        <f>IF(G117="","",G117-F117)</f>
      </c>
      <c r="M117" s="66">
        <f>SUMIFS('Détail fonctionnement'!$E$5:$E$500,'Détail fonctionnement'!$A$5:$A$500,$B117,'Détail fonctionnement'!$G$5:$G$500,"O",'Détail fonctionnement'!$B$5:$B$500,$C117,'Détail fonctionnement'!$C$5:$C$500,$D117)</f>
      </c>
      <c r="N117" s="66"/>
      <c r="O117" s="66">
        <f>IF(N117="","",N117-M117)</f>
      </c>
      <c r="Q117"/>
      <c r="R117"/>
      <c r="S117"/>
      <c r="T117"/>
      <c r="U117"/>
      <c r="V117"/>
      <c r="W117"/>
      <c r="X117"/>
      <c r="Y117"/>
    </row>
    <row r="118" spans="3:15" x14ac:dyDescent="0.25">
      <c r="C118" s="54" t="s">
        <v>113</v>
      </c>
      <c r="D118" s="50"/>
      <c r="F118" s="55">
        <f>SUM(F106:F117)</f>
      </c>
      <c r="G118" s="55">
        <f>SUM(G106:G117)</f>
      </c>
      <c r="H118" s="55">
        <f>SUM(H106:H117)</f>
      </c>
      <c r="M118" s="55">
        <f>SUM(M106:M117)</f>
      </c>
      <c r="N118" s="55">
        <f>SUM(N106:N117)</f>
      </c>
      <c r="O118" s="55">
        <f>SUM(O106:O117)</f>
      </c>
    </row>
    <row r="120" spans="3:4" x14ac:dyDescent="0.25">
      <c r="C120" s="65" t="s">
        <v>114</v>
      </c>
      <c r="D120" s="65" t="s">
        <v>18</v>
      </c>
    </row>
    <row r="121" spans="2:25" x14ac:dyDescent="0.25">
      <c r="B121" s="10" t="s">
        <v>5</v>
      </c>
      <c r="C121" s="28" t="s">
        <v>22</v>
      </c>
      <c r="D121" s="28" t="s">
        <v>106</v>
      </c>
      <c r="F121" s="66">
        <f>M121/$E$3</f>
      </c>
      <c r="G121" s="66">
        <f>IF(N121="","",N121/$E$3)</f>
      </c>
      <c r="H121" s="66">
        <f>IF(G121="","",G121-F121)</f>
      </c>
      <c r="M121" s="66">
        <f>SUMIFS('Détail fonctionnement'!$E$5:$E$500,'Détail fonctionnement'!$A$5:$A$500,$B121,'Détail fonctionnement'!$G$5:$G$500,"O",'Détail fonctionnement'!$B$5:$B$500,$C121,'Détail fonctionnement'!$C$5:$C$500,$D121)</f>
      </c>
      <c r="N121" s="66"/>
      <c r="O121" s="66">
        <f>IF(N121="","",N121-M121)</f>
      </c>
      <c r="Q121"/>
      <c r="R121"/>
      <c r="S121"/>
      <c r="T121"/>
      <c r="U121"/>
      <c r="V121"/>
      <c r="W121"/>
      <c r="X121"/>
      <c r="Y121"/>
    </row>
    <row r="122" spans="2:25" x14ac:dyDescent="0.25">
      <c r="B122" s="10" t="s">
        <v>5</v>
      </c>
      <c r="C122" s="28" t="s">
        <v>22</v>
      </c>
      <c r="D122" s="28" t="s">
        <v>115</v>
      </c>
      <c r="F122" s="66">
        <f>M122/$E$3</f>
      </c>
      <c r="G122" s="66">
        <f>IF(N122="","",N122/$E$3)</f>
      </c>
      <c r="H122" s="66">
        <f>IF(G122="","",G122-F122)</f>
      </c>
      <c r="M122" s="66">
        <f>SUMIFS('Détail fonctionnement'!$E$5:$E$500,'Détail fonctionnement'!$A$5:$A$500,$B122,'Détail fonctionnement'!$G$5:$G$500,"O",'Détail fonctionnement'!$B$5:$B$500,$C122,'Détail fonctionnement'!$C$5:$C$500,$D122)</f>
      </c>
      <c r="N122" s="66"/>
      <c r="O122" s="66">
        <f>IF(N122="","",N122-M122)</f>
      </c>
      <c r="Q122"/>
      <c r="R122"/>
      <c r="S122"/>
      <c r="T122"/>
      <c r="U122"/>
      <c r="V122"/>
      <c r="W122"/>
      <c r="X122"/>
      <c r="Y122"/>
    </row>
    <row r="123" spans="2:25" x14ac:dyDescent="0.25">
      <c r="B123" s="10" t="s">
        <v>5</v>
      </c>
      <c r="C123" s="28" t="s">
        <v>29</v>
      </c>
      <c r="D123" s="28" t="s">
        <v>107</v>
      </c>
      <c r="F123" s="66">
        <f>M123/$E$3</f>
      </c>
      <c r="G123" s="66">
        <f>IF(N123="","",N123/$E$3)</f>
      </c>
      <c r="H123" s="66">
        <f>IF(G123="","",G123-F123)</f>
      </c>
      <c r="M123" s="66">
        <f>SUMIFS('Détail fonctionnement'!$E$5:$E$500,'Détail fonctionnement'!$A$5:$A$500,$B123,'Détail fonctionnement'!$G$5:$G$500,"O",'Détail fonctionnement'!$B$5:$B$500,$C123,'Détail fonctionnement'!$C$5:$C$500,$D123)</f>
      </c>
      <c r="N123" s="66"/>
      <c r="O123" s="66">
        <f>IF(N123="","",N123-M123)</f>
      </c>
      <c r="Q123"/>
      <c r="R123"/>
      <c r="S123"/>
      <c r="T123"/>
      <c r="U123"/>
      <c r="V123"/>
      <c r="W123"/>
      <c r="X123"/>
      <c r="Y123"/>
    </row>
    <row r="124" spans="2:25" x14ac:dyDescent="0.25">
      <c r="B124" s="10" t="s">
        <v>5</v>
      </c>
      <c r="C124" s="28" t="s">
        <v>36</v>
      </c>
      <c r="D124" s="28" t="s">
        <v>106</v>
      </c>
      <c r="F124" s="66">
        <f>M124/$E$3</f>
      </c>
      <c r="G124" s="66">
        <f>IF(N124="","",N124/$E$3)</f>
      </c>
      <c r="H124" s="66">
        <f>IF(G124="","",G124-F124)</f>
      </c>
      <c r="M124" s="66">
        <f>SUMIFS('Détail fonctionnement'!$E$5:$E$500,'Détail fonctionnement'!$A$5:$A$500,$B124,'Détail fonctionnement'!$G$5:$G$500,"O",'Détail fonctionnement'!$B$5:$B$500,$C124,'Détail fonctionnement'!$C$5:$C$500,$D124)</f>
      </c>
      <c r="N124" s="66"/>
      <c r="O124" s="66">
        <f>IF(N124="","",N124-M124)</f>
      </c>
      <c r="Q124"/>
      <c r="R124"/>
      <c r="S124"/>
      <c r="T124"/>
      <c r="U124"/>
      <c r="V124"/>
      <c r="W124"/>
      <c r="X124"/>
      <c r="Y124"/>
    </row>
    <row r="125" spans="2:25" x14ac:dyDescent="0.25">
      <c r="B125" s="10" t="s">
        <v>5</v>
      </c>
      <c r="C125" s="28" t="s">
        <v>39</v>
      </c>
      <c r="D125" s="28" t="s">
        <v>115</v>
      </c>
      <c r="F125" s="66">
        <f>M125/$E$3</f>
      </c>
      <c r="G125" s="66">
        <f>IF(N125="","",N125/$E$3)</f>
      </c>
      <c r="H125" s="66">
        <f>IF(G125="","",G125-F125)</f>
      </c>
      <c r="M125" s="66">
        <f>SUMIFS('Détail fonctionnement'!$E$5:$E$500,'Détail fonctionnement'!$A$5:$A$500,$B125,'Détail fonctionnement'!$G$5:$G$500,"O",'Détail fonctionnement'!$B$5:$B$500,$C125,'Détail fonctionnement'!$C$5:$C$500,$D125)</f>
      </c>
      <c r="N125" s="66"/>
      <c r="O125" s="66">
        <f>IF(N125="","",N125-M125)</f>
      </c>
      <c r="Q125"/>
      <c r="R125"/>
      <c r="S125"/>
      <c r="T125"/>
      <c r="U125"/>
      <c r="V125"/>
      <c r="W125"/>
      <c r="X125"/>
      <c r="Y125"/>
    </row>
    <row r="126" spans="2:25" x14ac:dyDescent="0.25">
      <c r="B126" s="10" t="s">
        <v>5</v>
      </c>
      <c r="C126" s="28" t="s">
        <v>46</v>
      </c>
      <c r="D126" s="28" t="s">
        <v>106</v>
      </c>
      <c r="F126" s="66">
        <f>M126/$E$3</f>
      </c>
      <c r="G126" s="66">
        <f>IF(N126="","",N126/$E$3)</f>
      </c>
      <c r="H126" s="66">
        <f>IF(G126="","",G126-F126)</f>
      </c>
      <c r="M126" s="66">
        <f>SUMIFS('Détail fonctionnement'!$E$5:$E$500,'Détail fonctionnement'!$A$5:$A$500,$B126,'Détail fonctionnement'!$G$5:$G$500,"O",'Détail fonctionnement'!$B$5:$B$500,$C126,'Détail fonctionnement'!$C$5:$C$500,$D126)</f>
      </c>
      <c r="N126" s="66"/>
      <c r="O126" s="66">
        <f>IF(N126="","",N126-M126)</f>
      </c>
      <c r="Q126"/>
      <c r="R126"/>
      <c r="S126"/>
      <c r="T126"/>
      <c r="U126"/>
      <c r="V126"/>
      <c r="W126"/>
      <c r="X126"/>
      <c r="Y126"/>
    </row>
    <row r="127" spans="2:25" x14ac:dyDescent="0.25">
      <c r="B127" s="10" t="s">
        <v>5</v>
      </c>
      <c r="C127" s="28" t="s">
        <v>46</v>
      </c>
      <c r="D127" s="28" t="s">
        <v>115</v>
      </c>
      <c r="F127" s="66">
        <f>M127/$E$3</f>
      </c>
      <c r="G127" s="66">
        <f>IF(N127="","",N127/$E$3)</f>
      </c>
      <c r="H127" s="66">
        <f>IF(G127="","",G127-F127)</f>
      </c>
      <c r="M127" s="66">
        <f>SUMIFS('Détail fonctionnement'!$E$5:$E$500,'Détail fonctionnement'!$A$5:$A$500,$B127,'Détail fonctionnement'!$G$5:$G$500,"O",'Détail fonctionnement'!$B$5:$B$500,$C127,'Détail fonctionnement'!$C$5:$C$500,$D127)</f>
      </c>
      <c r="N127" s="66"/>
      <c r="O127" s="66">
        <f>IF(N127="","",N127-M127)</f>
      </c>
      <c r="Q127"/>
      <c r="R127"/>
      <c r="S127"/>
      <c r="T127"/>
      <c r="U127"/>
      <c r="V127"/>
      <c r="W127"/>
      <c r="X127"/>
      <c r="Y127"/>
    </row>
    <row r="128" spans="2:25" x14ac:dyDescent="0.25">
      <c r="B128" s="10" t="s">
        <v>5</v>
      </c>
      <c r="C128" s="28" t="s">
        <v>53</v>
      </c>
      <c r="D128" s="28" t="s">
        <v>106</v>
      </c>
      <c r="F128" s="66">
        <f>M128/$E$3</f>
      </c>
      <c r="G128" s="66">
        <f>IF(N128="","",N128/$E$3)</f>
      </c>
      <c r="H128" s="66">
        <f>IF(G128="","",G128-F128)</f>
      </c>
      <c r="M128" s="66">
        <f>SUMIFS('Détail fonctionnement'!$E$5:$E$500,'Détail fonctionnement'!$A$5:$A$500,$B128,'Détail fonctionnement'!$G$5:$G$500,"O",'Détail fonctionnement'!$B$5:$B$500,$C128,'Détail fonctionnement'!$C$5:$C$500,$D128)</f>
      </c>
      <c r="N128" s="66"/>
      <c r="O128" s="66">
        <f>IF(N128="","",N128-M128)</f>
      </c>
      <c r="Q128"/>
      <c r="R128"/>
      <c r="S128"/>
      <c r="T128"/>
      <c r="U128"/>
      <c r="V128"/>
      <c r="W128"/>
      <c r="X128"/>
      <c r="Y128"/>
    </row>
    <row r="129" spans="2:25" x14ac:dyDescent="0.25">
      <c r="B129" s="10" t="s">
        <v>5</v>
      </c>
      <c r="C129" s="28" t="s">
        <v>53</v>
      </c>
      <c r="D129" s="28" t="s">
        <v>115</v>
      </c>
      <c r="F129" s="66">
        <f>M129/$E$3</f>
      </c>
      <c r="G129" s="66">
        <f>IF(N129="","",N129/$E$3)</f>
      </c>
      <c r="H129" s="66">
        <f>IF(G129="","",G129-F129)</f>
      </c>
      <c r="M129" s="66">
        <f>SUMIFS('Détail fonctionnement'!$E$5:$E$500,'Détail fonctionnement'!$A$5:$A$500,$B129,'Détail fonctionnement'!$G$5:$G$500,"O",'Détail fonctionnement'!$B$5:$B$500,$C129,'Détail fonctionnement'!$C$5:$C$500,$D129)</f>
      </c>
      <c r="N129" s="66"/>
      <c r="O129" s="66">
        <f>IF(N129="","",N129-M129)</f>
      </c>
      <c r="Q129"/>
      <c r="R129"/>
      <c r="S129"/>
      <c r="T129"/>
      <c r="U129"/>
      <c r="V129"/>
      <c r="W129"/>
      <c r="X129"/>
      <c r="Y129"/>
    </row>
    <row r="130" spans="2:25" x14ac:dyDescent="0.25">
      <c r="B130" s="10" t="s">
        <v>5</v>
      </c>
      <c r="C130" s="28" t="s">
        <v>61</v>
      </c>
      <c r="D130" s="28" t="s">
        <v>106</v>
      </c>
      <c r="F130" s="66">
        <f>M130/$E$3</f>
      </c>
      <c r="G130" s="66">
        <f>IF(N130="","",N130/$E$3)</f>
      </c>
      <c r="H130" s="66">
        <f>IF(G130="","",G130-F130)</f>
      </c>
      <c r="M130" s="66">
        <f>SUMIFS('Détail fonctionnement'!$E$5:$E$500,'Détail fonctionnement'!$A$5:$A$500,$B130,'Détail fonctionnement'!$G$5:$G$500,"O",'Détail fonctionnement'!$B$5:$B$500,$C130,'Détail fonctionnement'!$C$5:$C$500,$D130)</f>
      </c>
      <c r="N130" s="66"/>
      <c r="O130" s="66">
        <f>IF(N130="","",N130-M130)</f>
      </c>
      <c r="Q130"/>
      <c r="R130"/>
      <c r="S130"/>
      <c r="T130"/>
      <c r="U130"/>
      <c r="V130"/>
      <c r="W130"/>
      <c r="X130"/>
      <c r="Y130"/>
    </row>
    <row r="131" spans="3:15" x14ac:dyDescent="0.25">
      <c r="C131" s="54" t="s">
        <v>116</v>
      </c>
      <c r="D131" s="50"/>
      <c r="F131" s="55">
        <f>SUM(F121:F130)</f>
      </c>
      <c r="G131" s="55">
        <f>SUM(G121:G130)</f>
      </c>
      <c r="H131" s="55">
        <f>SUM(H121:H130)</f>
      </c>
      <c r="M131" s="55">
        <f>SUM(M121:M130)</f>
      </c>
      <c r="N131" s="55">
        <f>SUM(N121:N130)</f>
      </c>
      <c r="O131" s="55">
        <f>SUM(O121:O130)</f>
      </c>
    </row>
    <row r="133" spans="3:4" x14ac:dyDescent="0.25">
      <c r="C133" s="65" t="s">
        <v>117</v>
      </c>
      <c r="D133" s="65" t="s">
        <v>18</v>
      </c>
    </row>
    <row r="134" spans="3:15" x14ac:dyDescent="0.25">
      <c r="C134" s="54" t="s">
        <v>118</v>
      </c>
      <c r="D134" s="50"/>
      <c r="F134" s="55">
        <v>0</v>
      </c>
      <c r="G134" s="55">
        <v>0</v>
      </c>
      <c r="H134" s="55">
        <v>0</v>
      </c>
      <c r="M134" s="55">
        <v>0</v>
      </c>
      <c r="N134" s="55">
        <v>0</v>
      </c>
      <c r="O134" s="55">
        <v>0</v>
      </c>
    </row>
    <row r="136" spans="3:4" x14ac:dyDescent="0.25">
      <c r="C136" s="65" t="s">
        <v>119</v>
      </c>
      <c r="D136" s="65" t="s">
        <v>18</v>
      </c>
    </row>
    <row r="137" spans="3:15" x14ac:dyDescent="0.25">
      <c r="C137" s="54" t="s">
        <v>120</v>
      </c>
      <c r="D137" s="50"/>
      <c r="F137" s="55">
        <v>0</v>
      </c>
      <c r="G137" s="55">
        <v>0</v>
      </c>
      <c r="H137" s="55">
        <v>0</v>
      </c>
      <c r="M137" s="55">
        <v>0</v>
      </c>
      <c r="N137" s="55">
        <v>0</v>
      </c>
      <c r="O137" s="55">
        <v>0</v>
      </c>
    </row>
    <row r="139" spans="1:4" x14ac:dyDescent="0.25">
      <c r="A139" s="60" t="s">
        <v>121</v>
      </c>
      <c r="B139" s="61"/>
      <c r="C139" s="61"/>
      <c r="D139" s="61"/>
    </row>
    <row r="140" ht="28.5" customHeight="1" spans="2:25" x14ac:dyDescent="0.25">
      <c r="B140" s="62" t="s">
        <v>2</v>
      </c>
      <c r="C140" s="62" t="s">
        <v>94</v>
      </c>
      <c r="D140" s="62" t="s">
        <v>95</v>
      </c>
      <c r="F140" s="63" t="s">
        <v>96</v>
      </c>
      <c r="G140" s="63" t="s">
        <v>97</v>
      </c>
      <c r="H140" s="63" t="s">
        <v>98</v>
      </c>
      <c r="M140" s="64" t="s">
        <v>99</v>
      </c>
      <c r="N140" s="64" t="s">
        <v>100</v>
      </c>
      <c r="O140" s="64" t="s">
        <v>101</v>
      </c>
      <c r="P140" s="64" t="s">
        <v>102</v>
      </c>
      <c r="Q140" s="64"/>
      <c r="R140" s="64"/>
      <c r="S140" s="64"/>
      <c r="T140" s="64"/>
      <c r="U140" s="64"/>
      <c r="V140" s="64"/>
      <c r="W140" s="64"/>
      <c r="X140" s="64"/>
      <c r="Y140" s="64"/>
    </row>
    <row r="141" spans="3:4" x14ac:dyDescent="0.25">
      <c r="C141" s="65" t="s">
        <v>103</v>
      </c>
      <c r="D141" s="65" t="s">
        <v>18</v>
      </c>
    </row>
    <row r="142" spans="2:25" x14ac:dyDescent="0.25">
      <c r="B142" s="10" t="s">
        <v>3</v>
      </c>
      <c r="C142" s="28" t="s">
        <v>33</v>
      </c>
      <c r="D142" s="28" t="s">
        <v>122</v>
      </c>
      <c r="F142" s="66">
        <f>M142/$E$3</f>
      </c>
      <c r="G142" s="66">
        <f>IF(N142="","",N142/$E$3)</f>
      </c>
      <c r="H142" s="66">
        <f>IF(G142="","",G142-F142)</f>
      </c>
      <c r="M142" s="66">
        <f>SUMIFS('Détail projets &amp; dettes'!$I$5:$I$500,'Détail projets &amp; dettes'!$A$5:$A$500,$B142,'Détail projets &amp; dettes'!$J$5:$J$500,"O",'Détail projets &amp; dettes'!$C$5:$C$500,$C142,'Détail projets &amp; dettes'!$D$5:$D$500,$D142)</f>
      </c>
      <c r="N142" s="66"/>
      <c r="O142" s="66">
        <f>IF(N142="","",N142-M142)</f>
      </c>
      <c r="Q142"/>
      <c r="R142"/>
      <c r="S142"/>
      <c r="T142"/>
      <c r="U142"/>
      <c r="V142"/>
      <c r="W142"/>
      <c r="X142"/>
      <c r="Y142"/>
    </row>
    <row r="143" spans="2:25" x14ac:dyDescent="0.25">
      <c r="B143" s="10" t="s">
        <v>3</v>
      </c>
      <c r="C143" s="28" t="s">
        <v>33</v>
      </c>
      <c r="D143" s="28" t="s">
        <v>123</v>
      </c>
      <c r="F143" s="66">
        <f>M143/$E$3</f>
      </c>
      <c r="G143" s="66">
        <f>IF(N143="","",N143/$E$3)</f>
      </c>
      <c r="H143" s="66">
        <f>IF(G143="","",G143-F143)</f>
      </c>
      <c r="M143" s="66">
        <f>SUMIFS('Détail projets &amp; dettes'!$I$5:$I$500,'Détail projets &amp; dettes'!$A$5:$A$500,$B143,'Détail projets &amp; dettes'!$J$5:$J$500,"O",'Détail projets &amp; dettes'!$C$5:$C$500,$C143,'Détail projets &amp; dettes'!$D$5:$D$500,$D143)</f>
      </c>
      <c r="N143" s="66"/>
      <c r="O143" s="66">
        <f>IF(N143="","",N143-M143)</f>
      </c>
      <c r="Q143"/>
      <c r="R143"/>
      <c r="S143"/>
      <c r="T143"/>
      <c r="U143"/>
      <c r="V143"/>
      <c r="W143"/>
      <c r="X143"/>
      <c r="Y143"/>
    </row>
    <row r="144" spans="2:25" x14ac:dyDescent="0.25">
      <c r="B144" s="10" t="s">
        <v>3</v>
      </c>
      <c r="C144" s="28" t="s">
        <v>33</v>
      </c>
      <c r="D144" s="28" t="s">
        <v>124</v>
      </c>
      <c r="F144" s="66">
        <f>M144/$E$3</f>
      </c>
      <c r="G144" s="66">
        <f>IF(N144="","",N144/$E$3)</f>
      </c>
      <c r="H144" s="66">
        <f>IF(G144="","",G144-F144)</f>
      </c>
      <c r="M144" s="66">
        <f>SUMIFS('Détail projets &amp; dettes'!$I$5:$I$500,'Détail projets &amp; dettes'!$A$5:$A$500,$B144,'Détail projets &amp; dettes'!$J$5:$J$500,"O",'Détail projets &amp; dettes'!$C$5:$C$500,$C144,'Détail projets &amp; dettes'!$D$5:$D$500,$D144)</f>
      </c>
      <c r="N144" s="66"/>
      <c r="O144" s="66">
        <f>IF(N144="","",N144-M144)</f>
      </c>
      <c r="Q144"/>
      <c r="R144"/>
      <c r="S144"/>
      <c r="T144"/>
      <c r="U144"/>
      <c r="V144"/>
      <c r="W144"/>
      <c r="X144"/>
      <c r="Y144"/>
    </row>
    <row r="145" spans="2:25" x14ac:dyDescent="0.25">
      <c r="B145" s="10" t="s">
        <v>3</v>
      </c>
      <c r="C145" s="28" t="s">
        <v>33</v>
      </c>
      <c r="D145" s="28" t="s">
        <v>125</v>
      </c>
      <c r="F145" s="66">
        <f>M145/$E$3</f>
      </c>
      <c r="G145" s="66">
        <f>IF(N145="","",N145/$E$3)</f>
      </c>
      <c r="H145" s="66">
        <f>IF(G145="","",G145-F145)</f>
      </c>
      <c r="M145" s="66">
        <f>SUMIFS('Détail projets &amp; dettes'!$I$5:$I$500,'Détail projets &amp; dettes'!$A$5:$A$500,$B145,'Détail projets &amp; dettes'!$J$5:$J$500,"O",'Détail projets &amp; dettes'!$C$5:$C$500,$C145,'Détail projets &amp; dettes'!$D$5:$D$500,$D145)</f>
      </c>
      <c r="N145" s="66"/>
      <c r="O145" s="66">
        <f>IF(N145="","",N145-M145)</f>
      </c>
      <c r="Q145"/>
      <c r="R145"/>
      <c r="S145"/>
      <c r="T145"/>
      <c r="U145"/>
      <c r="V145"/>
      <c r="W145"/>
      <c r="X145"/>
      <c r="Y145"/>
    </row>
    <row r="146" spans="2:25" x14ac:dyDescent="0.25">
      <c r="B146" s="10" t="s">
        <v>3</v>
      </c>
      <c r="C146" s="28" t="s">
        <v>33</v>
      </c>
      <c r="D146" s="28" t="s">
        <v>126</v>
      </c>
      <c r="F146" s="66">
        <f>M146/$E$3</f>
      </c>
      <c r="G146" s="66">
        <f>IF(N146="","",N146/$E$3)</f>
      </c>
      <c r="H146" s="66">
        <f>IF(G146="","",G146-F146)</f>
      </c>
      <c r="M146" s="66">
        <f>SUMIFS('Détail projets &amp; dettes'!$I$5:$I$500,'Détail projets &amp; dettes'!$A$5:$A$500,$B146,'Détail projets &amp; dettes'!$J$5:$J$500,"O",'Détail projets &amp; dettes'!$C$5:$C$500,$C146,'Détail projets &amp; dettes'!$D$5:$D$500,$D146)</f>
      </c>
      <c r="N146" s="66"/>
      <c r="O146" s="66">
        <f>IF(N146="","",N146-M146)</f>
      </c>
      <c r="Q146"/>
      <c r="R146"/>
      <c r="S146"/>
      <c r="T146"/>
      <c r="U146"/>
      <c r="V146"/>
      <c r="W146"/>
      <c r="X146"/>
      <c r="Y146"/>
    </row>
    <row r="147" spans="2:25" x14ac:dyDescent="0.25">
      <c r="B147" s="10" t="s">
        <v>3</v>
      </c>
      <c r="C147" s="28" t="s">
        <v>36</v>
      </c>
      <c r="D147" s="28" t="s">
        <v>122</v>
      </c>
      <c r="F147" s="66">
        <f>M147/$E$3</f>
      </c>
      <c r="G147" s="66">
        <f>IF(N147="","",N147/$E$3)</f>
      </c>
      <c r="H147" s="66">
        <f>IF(G147="","",G147-F147)</f>
      </c>
      <c r="M147" s="66">
        <f>SUMIFS('Détail projets &amp; dettes'!$I$5:$I$500,'Détail projets &amp; dettes'!$A$5:$A$500,$B147,'Détail projets &amp; dettes'!$J$5:$J$500,"O",'Détail projets &amp; dettes'!$C$5:$C$500,$C147,'Détail projets &amp; dettes'!$D$5:$D$500,$D147)</f>
      </c>
      <c r="N147" s="66"/>
      <c r="O147" s="66">
        <f>IF(N147="","",N147-M147)</f>
      </c>
      <c r="Q147"/>
      <c r="R147"/>
      <c r="S147"/>
      <c r="T147"/>
      <c r="U147"/>
      <c r="V147"/>
      <c r="W147"/>
      <c r="X147"/>
      <c r="Y147"/>
    </row>
    <row r="148" spans="2:25" x14ac:dyDescent="0.25">
      <c r="B148" s="10" t="s">
        <v>3</v>
      </c>
      <c r="C148" s="28" t="s">
        <v>36</v>
      </c>
      <c r="D148" s="28" t="s">
        <v>123</v>
      </c>
      <c r="F148" s="66">
        <f>M148/$E$3</f>
      </c>
      <c r="G148" s="66">
        <f>IF(N148="","",N148/$E$3)</f>
      </c>
      <c r="H148" s="66">
        <f>IF(G148="","",G148-F148)</f>
      </c>
      <c r="M148" s="66">
        <f>SUMIFS('Détail projets &amp; dettes'!$I$5:$I$500,'Détail projets &amp; dettes'!$A$5:$A$500,$B148,'Détail projets &amp; dettes'!$J$5:$J$500,"O",'Détail projets &amp; dettes'!$C$5:$C$500,$C148,'Détail projets &amp; dettes'!$D$5:$D$500,$D148)</f>
      </c>
      <c r="N148" s="66"/>
      <c r="O148" s="66">
        <f>IF(N148="","",N148-M148)</f>
      </c>
      <c r="Q148"/>
      <c r="R148"/>
      <c r="S148"/>
      <c r="T148"/>
      <c r="U148"/>
      <c r="V148"/>
      <c r="W148"/>
      <c r="X148"/>
      <c r="Y148"/>
    </row>
    <row r="149" spans="2:25" x14ac:dyDescent="0.25">
      <c r="B149" s="10" t="s">
        <v>3</v>
      </c>
      <c r="C149" s="28" t="s">
        <v>36</v>
      </c>
      <c r="D149" s="28" t="s">
        <v>124</v>
      </c>
      <c r="F149" s="66">
        <f>M149/$E$3</f>
      </c>
      <c r="G149" s="66">
        <f>IF(N149="","",N149/$E$3)</f>
      </c>
      <c r="H149" s="66">
        <f>IF(G149="","",G149-F149)</f>
      </c>
      <c r="M149" s="66">
        <f>SUMIFS('Détail projets &amp; dettes'!$I$5:$I$500,'Détail projets &amp; dettes'!$A$5:$A$500,$B149,'Détail projets &amp; dettes'!$J$5:$J$500,"O",'Détail projets &amp; dettes'!$C$5:$C$500,$C149,'Détail projets &amp; dettes'!$D$5:$D$500,$D149)</f>
      </c>
      <c r="N149" s="66"/>
      <c r="O149" s="66">
        <f>IF(N149="","",N149-M149)</f>
      </c>
      <c r="Q149"/>
      <c r="R149"/>
      <c r="S149"/>
      <c r="T149"/>
      <c r="U149"/>
      <c r="V149"/>
      <c r="W149"/>
      <c r="X149"/>
      <c r="Y149"/>
    </row>
    <row r="150" spans="2:25" x14ac:dyDescent="0.25">
      <c r="B150" s="10" t="s">
        <v>3</v>
      </c>
      <c r="C150" s="28" t="s">
        <v>36</v>
      </c>
      <c r="D150" s="28" t="s">
        <v>125</v>
      </c>
      <c r="F150" s="66">
        <f>M150/$E$3</f>
      </c>
      <c r="G150" s="66">
        <f>IF(N150="","",N150/$E$3)</f>
      </c>
      <c r="H150" s="66">
        <f>IF(G150="","",G150-F150)</f>
      </c>
      <c r="M150" s="66">
        <f>SUMIFS('Détail projets &amp; dettes'!$I$5:$I$500,'Détail projets &amp; dettes'!$A$5:$A$500,$B150,'Détail projets &amp; dettes'!$J$5:$J$500,"O",'Détail projets &amp; dettes'!$C$5:$C$500,$C150,'Détail projets &amp; dettes'!$D$5:$D$500,$D150)</f>
      </c>
      <c r="N150" s="66"/>
      <c r="O150" s="66">
        <f>IF(N150="","",N150-M150)</f>
      </c>
      <c r="Q150"/>
      <c r="R150"/>
      <c r="S150"/>
      <c r="T150"/>
      <c r="U150"/>
      <c r="V150"/>
      <c r="W150"/>
      <c r="X150"/>
      <c r="Y150"/>
    </row>
    <row r="151" spans="2:25" x14ac:dyDescent="0.25">
      <c r="B151" s="10" t="s">
        <v>3</v>
      </c>
      <c r="C151" s="28" t="s">
        <v>36</v>
      </c>
      <c r="D151" s="28" t="s">
        <v>126</v>
      </c>
      <c r="F151" s="66">
        <f>M151/$E$3</f>
      </c>
      <c r="G151" s="66">
        <f>IF(N151="","",N151/$E$3)</f>
      </c>
      <c r="H151" s="66">
        <f>IF(G151="","",G151-F151)</f>
      </c>
      <c r="M151" s="66">
        <f>SUMIFS('Détail projets &amp; dettes'!$I$5:$I$500,'Détail projets &amp; dettes'!$A$5:$A$500,$B151,'Détail projets &amp; dettes'!$J$5:$J$500,"O",'Détail projets &amp; dettes'!$C$5:$C$500,$C151,'Détail projets &amp; dettes'!$D$5:$D$500,$D151)</f>
      </c>
      <c r="N151" s="66"/>
      <c r="O151" s="66">
        <f>IF(N151="","",N151-M151)</f>
      </c>
      <c r="Q151"/>
      <c r="R151"/>
      <c r="S151"/>
      <c r="T151"/>
      <c r="U151"/>
      <c r="V151"/>
      <c r="W151"/>
      <c r="X151"/>
      <c r="Y151"/>
    </row>
    <row r="152" spans="3:15" x14ac:dyDescent="0.25">
      <c r="C152" s="54" t="s">
        <v>111</v>
      </c>
      <c r="D152" s="50"/>
      <c r="F152" s="55">
        <f>SUM(F142:F151)</f>
      </c>
      <c r="G152" s="55">
        <f>SUM(G142:G151)</f>
      </c>
      <c r="H152" s="55">
        <f>SUM(H142:H151)</f>
      </c>
      <c r="M152" s="55">
        <f>SUM(M142:M151)</f>
      </c>
      <c r="N152" s="55">
        <f>SUM(N142:N151)</f>
      </c>
      <c r="O152" s="55">
        <f>SUM(O142:O151)</f>
      </c>
    </row>
    <row r="154" spans="3:4" x14ac:dyDescent="0.25">
      <c r="C154" s="65" t="s">
        <v>112</v>
      </c>
      <c r="D154" s="65" t="s">
        <v>18</v>
      </c>
    </row>
    <row r="155" spans="2:25" x14ac:dyDescent="0.25">
      <c r="B155" s="10" t="s">
        <v>4</v>
      </c>
      <c r="C155" s="28" t="s">
        <v>33</v>
      </c>
      <c r="D155" s="28" t="s">
        <v>123</v>
      </c>
      <c r="F155" s="66">
        <f>M155/$E$3</f>
      </c>
      <c r="G155" s="66">
        <f>IF(N155="","",N155/$E$3)</f>
      </c>
      <c r="H155" s="66">
        <f>IF(G155="","",G155-F155)</f>
      </c>
      <c r="M155" s="66">
        <f>SUMIFS('Détail projets &amp; dettes'!$I$5:$I$500,'Détail projets &amp; dettes'!$A$5:$A$500,$B155,'Détail projets &amp; dettes'!$J$5:$J$500,"O",'Détail projets &amp; dettes'!$C$5:$C$500,$C155,'Détail projets &amp; dettes'!$D$5:$D$500,$D155)</f>
      </c>
      <c r="N155" s="66"/>
      <c r="O155" s="66">
        <f>IF(N155="","",N155-M155)</f>
      </c>
      <c r="Q155"/>
      <c r="R155"/>
      <c r="S155"/>
      <c r="T155"/>
      <c r="U155"/>
      <c r="V155"/>
      <c r="W155"/>
      <c r="X155"/>
      <c r="Y155"/>
    </row>
    <row r="156" spans="2:25" x14ac:dyDescent="0.25">
      <c r="B156" s="10" t="s">
        <v>4</v>
      </c>
      <c r="C156" s="28" t="s">
        <v>33</v>
      </c>
      <c r="D156" s="28" t="s">
        <v>124</v>
      </c>
      <c r="F156" s="66">
        <f>M156/$E$3</f>
      </c>
      <c r="G156" s="66">
        <f>IF(N156="","",N156/$E$3)</f>
      </c>
      <c r="H156" s="66">
        <f>IF(G156="","",G156-F156)</f>
      </c>
      <c r="M156" s="66">
        <f>SUMIFS('Détail projets &amp; dettes'!$I$5:$I$500,'Détail projets &amp; dettes'!$A$5:$A$500,$B156,'Détail projets &amp; dettes'!$J$5:$J$500,"O",'Détail projets &amp; dettes'!$C$5:$C$500,$C156,'Détail projets &amp; dettes'!$D$5:$D$500,$D156)</f>
      </c>
      <c r="N156" s="66"/>
      <c r="O156" s="66">
        <f>IF(N156="","",N156-M156)</f>
      </c>
      <c r="Q156"/>
      <c r="R156"/>
      <c r="S156"/>
      <c r="T156"/>
      <c r="U156"/>
      <c r="V156"/>
      <c r="W156"/>
      <c r="X156"/>
      <c r="Y156"/>
    </row>
    <row r="157" spans="2:25" x14ac:dyDescent="0.25">
      <c r="B157" s="10" t="s">
        <v>4</v>
      </c>
      <c r="C157" s="28" t="s">
        <v>33</v>
      </c>
      <c r="D157" s="28" t="s">
        <v>125</v>
      </c>
      <c r="F157" s="66">
        <f>M157/$E$3</f>
      </c>
      <c r="G157" s="66">
        <f>IF(N157="","",N157/$E$3)</f>
      </c>
      <c r="H157" s="66">
        <f>IF(G157="","",G157-F157)</f>
      </c>
      <c r="M157" s="66">
        <f>SUMIFS('Détail projets &amp; dettes'!$I$5:$I$500,'Détail projets &amp; dettes'!$A$5:$A$500,$B157,'Détail projets &amp; dettes'!$J$5:$J$500,"O",'Détail projets &amp; dettes'!$C$5:$C$500,$C157,'Détail projets &amp; dettes'!$D$5:$D$500,$D157)</f>
      </c>
      <c r="N157" s="66"/>
      <c r="O157" s="66">
        <f>IF(N157="","",N157-M157)</f>
      </c>
      <c r="Q157"/>
      <c r="R157"/>
      <c r="S157"/>
      <c r="T157"/>
      <c r="U157"/>
      <c r="V157"/>
      <c r="W157"/>
      <c r="X157"/>
      <c r="Y157"/>
    </row>
    <row r="158" spans="2:25" x14ac:dyDescent="0.25">
      <c r="B158" s="10" t="s">
        <v>4</v>
      </c>
      <c r="C158" s="28" t="s">
        <v>36</v>
      </c>
      <c r="D158" s="28" t="s">
        <v>122</v>
      </c>
      <c r="F158" s="66">
        <f>M158/$E$3</f>
      </c>
      <c r="G158" s="66">
        <f>IF(N158="","",N158/$E$3)</f>
      </c>
      <c r="H158" s="66">
        <f>IF(G158="","",G158-F158)</f>
      </c>
      <c r="M158" s="66">
        <f>SUMIFS('Détail projets &amp; dettes'!$I$5:$I$500,'Détail projets &amp; dettes'!$A$5:$A$500,$B158,'Détail projets &amp; dettes'!$J$5:$J$500,"O",'Détail projets &amp; dettes'!$C$5:$C$500,$C158,'Détail projets &amp; dettes'!$D$5:$D$500,$D158)</f>
      </c>
      <c r="N158" s="66"/>
      <c r="O158" s="66">
        <f>IF(N158="","",N158-M158)</f>
      </c>
      <c r="Q158"/>
      <c r="R158"/>
      <c r="S158"/>
      <c r="T158"/>
      <c r="U158"/>
      <c r="V158"/>
      <c r="W158"/>
      <c r="X158"/>
      <c r="Y158"/>
    </row>
    <row r="159" spans="2:25" x14ac:dyDescent="0.25">
      <c r="B159" s="10" t="s">
        <v>4</v>
      </c>
      <c r="C159" s="28" t="s">
        <v>36</v>
      </c>
      <c r="D159" s="28" t="s">
        <v>123</v>
      </c>
      <c r="F159" s="66">
        <f>M159/$E$3</f>
      </c>
      <c r="G159" s="66">
        <f>IF(N159="","",N159/$E$3)</f>
      </c>
      <c r="H159" s="66">
        <f>IF(G159="","",G159-F159)</f>
      </c>
      <c r="M159" s="66">
        <f>SUMIFS('Détail projets &amp; dettes'!$I$5:$I$500,'Détail projets &amp; dettes'!$A$5:$A$500,$B159,'Détail projets &amp; dettes'!$J$5:$J$500,"O",'Détail projets &amp; dettes'!$C$5:$C$500,$C159,'Détail projets &amp; dettes'!$D$5:$D$500,$D159)</f>
      </c>
      <c r="N159" s="66"/>
      <c r="O159" s="66">
        <f>IF(N159="","",N159-M159)</f>
      </c>
      <c r="Q159"/>
      <c r="R159"/>
      <c r="S159"/>
      <c r="T159"/>
      <c r="U159"/>
      <c r="V159"/>
      <c r="W159"/>
      <c r="X159"/>
      <c r="Y159"/>
    </row>
    <row r="160" spans="2:25" x14ac:dyDescent="0.25">
      <c r="B160" s="10" t="s">
        <v>4</v>
      </c>
      <c r="C160" s="28" t="s">
        <v>36</v>
      </c>
      <c r="D160" s="28" t="s">
        <v>124</v>
      </c>
      <c r="F160" s="66">
        <f>M160/$E$3</f>
      </c>
      <c r="G160" s="66">
        <f>IF(N160="","",N160/$E$3)</f>
      </c>
      <c r="H160" s="66">
        <f>IF(G160="","",G160-F160)</f>
      </c>
      <c r="M160" s="66">
        <f>SUMIFS('Détail projets &amp; dettes'!$I$5:$I$500,'Détail projets &amp; dettes'!$A$5:$A$500,$B160,'Détail projets &amp; dettes'!$J$5:$J$500,"O",'Détail projets &amp; dettes'!$C$5:$C$500,$C160,'Détail projets &amp; dettes'!$D$5:$D$500,$D160)</f>
      </c>
      <c r="N160" s="66"/>
      <c r="O160" s="66">
        <f>IF(N160="","",N160-M160)</f>
      </c>
      <c r="Q160"/>
      <c r="R160"/>
      <c r="S160"/>
      <c r="T160"/>
      <c r="U160"/>
      <c r="V160"/>
      <c r="W160"/>
      <c r="X160"/>
      <c r="Y160"/>
    </row>
    <row r="161" spans="2:25" x14ac:dyDescent="0.25">
      <c r="B161" s="10" t="s">
        <v>4</v>
      </c>
      <c r="C161" s="28" t="s">
        <v>36</v>
      </c>
      <c r="D161" s="28" t="s">
        <v>125</v>
      </c>
      <c r="F161" s="66">
        <f>M161/$E$3</f>
      </c>
      <c r="G161" s="66">
        <f>IF(N161="","",N161/$E$3)</f>
      </c>
      <c r="H161" s="66">
        <f>IF(G161="","",G161-F161)</f>
      </c>
      <c r="M161" s="66">
        <f>SUMIFS('Détail projets &amp; dettes'!$I$5:$I$500,'Détail projets &amp; dettes'!$A$5:$A$500,$B161,'Détail projets &amp; dettes'!$J$5:$J$500,"O",'Détail projets &amp; dettes'!$C$5:$C$500,$C161,'Détail projets &amp; dettes'!$D$5:$D$500,$D161)</f>
      </c>
      <c r="N161" s="66"/>
      <c r="O161" s="66">
        <f>IF(N161="","",N161-M161)</f>
      </c>
      <c r="Q161"/>
      <c r="R161"/>
      <c r="S161"/>
      <c r="T161"/>
      <c r="U161"/>
      <c r="V161"/>
      <c r="W161"/>
      <c r="X161"/>
      <c r="Y161"/>
    </row>
    <row r="162" spans="2:25" x14ac:dyDescent="0.25">
      <c r="B162" s="10" t="s">
        <v>4</v>
      </c>
      <c r="C162" s="28" t="s">
        <v>36</v>
      </c>
      <c r="D162" s="28" t="s">
        <v>126</v>
      </c>
      <c r="F162" s="66">
        <f>M162/$E$3</f>
      </c>
      <c r="G162" s="66">
        <f>IF(N162="","",N162/$E$3)</f>
      </c>
      <c r="H162" s="66">
        <f>IF(G162="","",G162-F162)</f>
      </c>
      <c r="M162" s="66">
        <f>SUMIFS('Détail projets &amp; dettes'!$I$5:$I$500,'Détail projets &amp; dettes'!$A$5:$A$500,$B162,'Détail projets &amp; dettes'!$J$5:$J$500,"O",'Détail projets &amp; dettes'!$C$5:$C$500,$C162,'Détail projets &amp; dettes'!$D$5:$D$500,$D162)</f>
      </c>
      <c r="N162" s="66"/>
      <c r="O162" s="66">
        <f>IF(N162="","",N162-M162)</f>
      </c>
      <c r="Q162"/>
      <c r="R162"/>
      <c r="S162"/>
      <c r="T162"/>
      <c r="U162"/>
      <c r="V162"/>
      <c r="W162"/>
      <c r="X162"/>
      <c r="Y162"/>
    </row>
    <row r="163" spans="3:15" x14ac:dyDescent="0.25">
      <c r="C163" s="54" t="s">
        <v>113</v>
      </c>
      <c r="D163" s="50"/>
      <c r="F163" s="55">
        <f>SUM(F155:F162)</f>
      </c>
      <c r="G163" s="55">
        <f>SUM(G155:G162)</f>
      </c>
      <c r="H163" s="55">
        <f>SUM(H155:H162)</f>
      </c>
      <c r="M163" s="55">
        <f>SUM(M155:M162)</f>
      </c>
      <c r="N163" s="55">
        <f>SUM(N155:N162)</f>
      </c>
      <c r="O163" s="55">
        <f>SUM(O155:O162)</f>
      </c>
    </row>
    <row r="165" spans="3:4" x14ac:dyDescent="0.25">
      <c r="C165" s="65" t="s">
        <v>114</v>
      </c>
      <c r="D165" s="65" t="s">
        <v>18</v>
      </c>
    </row>
    <row r="166" spans="3:15" x14ac:dyDescent="0.25">
      <c r="C166" s="54" t="s">
        <v>116</v>
      </c>
      <c r="D166" s="50"/>
      <c r="F166" s="55">
        <v>0</v>
      </c>
      <c r="G166" s="55">
        <v>0</v>
      </c>
      <c r="H166" s="55">
        <v>0</v>
      </c>
      <c r="M166" s="55">
        <v>0</v>
      </c>
      <c r="N166" s="55">
        <v>0</v>
      </c>
      <c r="O166" s="55">
        <v>0</v>
      </c>
    </row>
    <row r="168" spans="3:4" x14ac:dyDescent="0.25">
      <c r="C168" s="65" t="s">
        <v>117</v>
      </c>
      <c r="D168" s="65" t="s">
        <v>18</v>
      </c>
    </row>
    <row r="169" spans="2:25" x14ac:dyDescent="0.25">
      <c r="B169" s="10" t="s">
        <v>6</v>
      </c>
      <c r="C169" s="28" t="s">
        <v>33</v>
      </c>
      <c r="D169" s="28" t="s">
        <v>124</v>
      </c>
      <c r="F169" s="66">
        <f>M169/$E$3</f>
      </c>
      <c r="G169" s="66">
        <f>IF(N169="","",N169/$E$3)</f>
      </c>
      <c r="H169" s="66">
        <f>IF(G169="","",G169-F169)</f>
      </c>
      <c r="M169" s="66">
        <f>SUMIFS('Détail projets &amp; dettes'!$I$5:$I$500,'Détail projets &amp; dettes'!$A$5:$A$500,$B169,'Détail projets &amp; dettes'!$J$5:$J$500,"O",'Détail projets &amp; dettes'!$C$5:$C$500,$C169,'Détail projets &amp; dettes'!$D$5:$D$500,$D169)</f>
      </c>
      <c r="N169" s="66"/>
      <c r="O169" s="66">
        <f>IF(N169="","",N169-M169)</f>
      </c>
      <c r="Q169"/>
      <c r="R169"/>
      <c r="S169"/>
      <c r="T169"/>
      <c r="U169"/>
      <c r="V169"/>
      <c r="W169"/>
      <c r="X169"/>
      <c r="Y169"/>
    </row>
    <row r="170" spans="2:25" x14ac:dyDescent="0.25">
      <c r="B170" s="10" t="s">
        <v>6</v>
      </c>
      <c r="C170" s="28" t="s">
        <v>36</v>
      </c>
      <c r="D170" s="28" t="s">
        <v>124</v>
      </c>
      <c r="F170" s="66">
        <f>M170/$E$3</f>
      </c>
      <c r="G170" s="66">
        <f>IF(N170="","",N170/$E$3)</f>
      </c>
      <c r="H170" s="66">
        <f>IF(G170="","",G170-F170)</f>
      </c>
      <c r="M170" s="66">
        <f>SUMIFS('Détail projets &amp; dettes'!$I$5:$I$500,'Détail projets &amp; dettes'!$A$5:$A$500,$B170,'Détail projets &amp; dettes'!$J$5:$J$500,"O",'Détail projets &amp; dettes'!$C$5:$C$500,$C170,'Détail projets &amp; dettes'!$D$5:$D$500,$D170)</f>
      </c>
      <c r="N170" s="66"/>
      <c r="O170" s="66">
        <f>IF(N170="","",N170-M170)</f>
      </c>
      <c r="Q170"/>
      <c r="R170"/>
      <c r="S170"/>
      <c r="T170"/>
      <c r="U170"/>
      <c r="V170"/>
      <c r="W170"/>
      <c r="X170"/>
      <c r="Y170"/>
    </row>
    <row r="171" spans="3:15" x14ac:dyDescent="0.25">
      <c r="C171" s="54" t="s">
        <v>118</v>
      </c>
      <c r="D171" s="50"/>
      <c r="F171" s="55">
        <f>SUM(F169:F170)</f>
      </c>
      <c r="G171" s="55">
        <f>SUM(G169:G170)</f>
      </c>
      <c r="H171" s="55">
        <f>SUM(H169:H170)</f>
      </c>
      <c r="M171" s="55">
        <f>SUM(M169:M170)</f>
      </c>
      <c r="N171" s="55">
        <f>SUM(N169:N170)</f>
      </c>
      <c r="O171" s="55">
        <f>SUM(O169:O170)</f>
      </c>
    </row>
    <row r="173" spans="3:4" x14ac:dyDescent="0.25">
      <c r="C173" s="65" t="s">
        <v>119</v>
      </c>
      <c r="D173" s="65" t="s">
        <v>18</v>
      </c>
    </row>
    <row r="174" spans="3:15" x14ac:dyDescent="0.25">
      <c r="C174" s="54" t="s">
        <v>120</v>
      </c>
      <c r="D174" s="50"/>
      <c r="F174" s="55">
        <v>0</v>
      </c>
      <c r="G174" s="55">
        <v>0</v>
      </c>
      <c r="H174" s="55">
        <v>0</v>
      </c>
      <c r="M174" s="55">
        <v>0</v>
      </c>
      <c r="N174" s="55">
        <v>0</v>
      </c>
      <c r="O174" s="55">
        <v>0</v>
      </c>
    </row>
    <row r="176" spans="3:3" x14ac:dyDescent="0.25">
      <c r="C176" s="2" t="s">
        <v>127</v>
      </c>
    </row>
    <row r="177" spans="3:13" x14ac:dyDescent="0.25">
      <c r="C177" s="49" t="s">
        <v>36</v>
      </c>
      <c r="D177" s="49" t="s">
        <v>128</v>
      </c>
      <c r="F177" s="51">
        <f>M177/$E$3</f>
      </c>
      <c r="M177" s="51">
        <f>SUMIFS('Détail projets &amp; dettes'!$I$5:$I$500,'Détail projets &amp; dettes'!$A$5:$A$500,"Nov. 2026",'Détail projets &amp; dettes'!$J$5:$J$500,"O",'Détail projets &amp; dettes'!$C$5:$C$500,"RIVIERA")</f>
      </c>
    </row>
    <row r="178" spans="3:13" x14ac:dyDescent="0.25">
      <c r="C178" s="49" t="s">
        <v>33</v>
      </c>
      <c r="D178" s="49" t="s">
        <v>128</v>
      </c>
      <c r="F178" s="51">
        <f>M178/$E$3</f>
      </c>
      <c r="M178" s="51">
        <f>SUMIFS('Détail projets &amp; dettes'!$I$5:$I$500,'Détail projets &amp; dettes'!$A$5:$A$500,"Nov. 2026",'Détail projets &amp; dettes'!$J$5:$J$500,"O",'Détail projets &amp; dettes'!$C$5:$C$500,"TERASSON")</f>
      </c>
    </row>
  </sheetData>
  <mergeCells count="93">
    <mergeCell ref="N2:O2"/>
    <mergeCell ref="P2:Q2"/>
    <mergeCell ref="R2:S2"/>
    <mergeCell ref="T2:U2"/>
    <mergeCell ref="V2:W2"/>
    <mergeCell ref="N3:O3"/>
    <mergeCell ref="P3:Q3"/>
    <mergeCell ref="R3:S3"/>
    <mergeCell ref="T3:U3"/>
    <mergeCell ref="V3:W3"/>
    <mergeCell ref="N4:O4"/>
    <mergeCell ref="P4:Q4"/>
    <mergeCell ref="R4:S4"/>
    <mergeCell ref="T4:U4"/>
    <mergeCell ref="V4:W4"/>
    <mergeCell ref="N8:O8"/>
    <mergeCell ref="P8:Q8"/>
    <mergeCell ref="R8:S8"/>
    <mergeCell ref="T8:U8"/>
    <mergeCell ref="V8:W8"/>
    <mergeCell ref="P72:Y72"/>
    <mergeCell ref="P74:Y74"/>
    <mergeCell ref="P75:Y75"/>
    <mergeCell ref="P76:Y76"/>
    <mergeCell ref="P77:Y77"/>
    <mergeCell ref="P78:Y78"/>
    <mergeCell ref="P79:Y79"/>
    <mergeCell ref="P80:Y80"/>
    <mergeCell ref="P81:Y81"/>
    <mergeCell ref="P82:Y82"/>
    <mergeCell ref="P83:Y83"/>
    <mergeCell ref="P84:Y84"/>
    <mergeCell ref="P85:Y85"/>
    <mergeCell ref="P86:Y86"/>
    <mergeCell ref="P87:Y87"/>
    <mergeCell ref="P88:Y88"/>
    <mergeCell ref="P89:Y89"/>
    <mergeCell ref="P90:Y90"/>
    <mergeCell ref="P91:Y91"/>
    <mergeCell ref="P92:Y92"/>
    <mergeCell ref="P93:Y93"/>
    <mergeCell ref="P94:Y94"/>
    <mergeCell ref="P95:Y95"/>
    <mergeCell ref="P96:Y96"/>
    <mergeCell ref="P97:Y97"/>
    <mergeCell ref="P98:Y98"/>
    <mergeCell ref="P99:Y99"/>
    <mergeCell ref="P100:Y100"/>
    <mergeCell ref="P101:Y101"/>
    <mergeCell ref="P102:Y102"/>
    <mergeCell ref="P106:Y106"/>
    <mergeCell ref="P107:Y107"/>
    <mergeCell ref="P108:Y108"/>
    <mergeCell ref="P109:Y109"/>
    <mergeCell ref="P110:Y110"/>
    <mergeCell ref="P111:Y111"/>
    <mergeCell ref="P112:Y112"/>
    <mergeCell ref="P113:Y113"/>
    <mergeCell ref="P114:Y114"/>
    <mergeCell ref="P115:Y115"/>
    <mergeCell ref="P116:Y116"/>
    <mergeCell ref="P117:Y117"/>
    <mergeCell ref="P121:Y121"/>
    <mergeCell ref="P122:Y122"/>
    <mergeCell ref="P123:Y123"/>
    <mergeCell ref="P124:Y124"/>
    <mergeCell ref="P125:Y125"/>
    <mergeCell ref="P126:Y126"/>
    <mergeCell ref="P127:Y127"/>
    <mergeCell ref="P128:Y128"/>
    <mergeCell ref="P129:Y129"/>
    <mergeCell ref="P130:Y130"/>
    <mergeCell ref="P140:Y140"/>
    <mergeCell ref="P142:Y142"/>
    <mergeCell ref="P143:Y143"/>
    <mergeCell ref="P144:Y144"/>
    <mergeCell ref="P145:Y145"/>
    <mergeCell ref="P146:Y146"/>
    <mergeCell ref="P147:Y147"/>
    <mergeCell ref="P148:Y148"/>
    <mergeCell ref="P149:Y149"/>
    <mergeCell ref="P150:Y150"/>
    <mergeCell ref="P151:Y151"/>
    <mergeCell ref="P155:Y155"/>
    <mergeCell ref="P156:Y156"/>
    <mergeCell ref="P157:Y157"/>
    <mergeCell ref="P158:Y158"/>
    <mergeCell ref="P159:Y159"/>
    <mergeCell ref="P160:Y160"/>
    <mergeCell ref="P161:Y161"/>
    <mergeCell ref="P162:Y162"/>
    <mergeCell ref="P169:Y169"/>
    <mergeCell ref="P170:Y170"/>
  </mergeCells>
  <pageSetup orientation="landscape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B83"/>
  <sheetViews>
    <sheetView workbookViewId="0" showGridLines="0" zoomScale="90">
      <pane xSplit="1" ySplit="6" topLeftCell="B7" activePane="bottomRight" state="frozen"/>
      <selection pane="bottomRight"/>
    </sheetView>
  </sheetViews>
  <sheetFormatPr defaultRowHeight="15" outlineLevelRow="0" outlineLevelCol="0" x14ac:dyDescent="55"/>
  <cols>
    <col min="1" max="1" width="36" customWidth="1"/>
    <col min="2" max="27" width="14" customWidth="1"/>
    <col min="28" max="28" width="60" customWidth="1"/>
  </cols>
  <sheetData>
    <row r="1" spans="1:1" x14ac:dyDescent="0.25">
      <c r="A1" s="67" t="s">
        <v>129</v>
      </c>
    </row>
    <row r="2" spans="1:1" x14ac:dyDescent="0.25">
      <c r="A2" s="68" t="s">
        <v>130</v>
      </c>
    </row>
    <row r="4" spans="1:28" x14ac:dyDescent="0.25">
      <c r="A4" s="69" t="s">
        <v>131</v>
      </c>
      <c r="B4" s="69" t="s">
        <v>132</v>
      </c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  <c r="Q4" s="69"/>
      <c r="R4" s="69"/>
      <c r="S4" s="69"/>
      <c r="T4" s="69"/>
      <c r="U4" s="69"/>
      <c r="V4" s="69"/>
      <c r="W4" s="69"/>
      <c r="X4" s="69"/>
      <c r="Y4" s="69"/>
      <c r="Z4" s="69"/>
      <c r="AA4" s="69"/>
      <c r="AB4" s="69" t="s">
        <v>133</v>
      </c>
    </row>
    <row r="5" spans="1:28" x14ac:dyDescent="0.25">
      <c r="A5" s="69"/>
      <c r="B5" s="69" t="s">
        <v>33</v>
      </c>
      <c r="C5" s="69"/>
      <c r="D5" s="69"/>
      <c r="E5" s="69" t="s">
        <v>22</v>
      </c>
      <c r="F5" s="69"/>
      <c r="G5" s="69"/>
      <c r="H5" s="69" t="s">
        <v>134</v>
      </c>
      <c r="I5" s="69"/>
      <c r="J5" s="69" t="s">
        <v>37</v>
      </c>
      <c r="K5" s="69"/>
      <c r="L5" s="69"/>
      <c r="M5" s="69" t="s">
        <v>39</v>
      </c>
      <c r="N5" s="69"/>
      <c r="O5" s="69"/>
      <c r="P5" s="69"/>
      <c r="Q5" s="69"/>
      <c r="R5" s="69" t="s">
        <v>53</v>
      </c>
      <c r="S5" s="69"/>
      <c r="T5" s="69"/>
      <c r="U5" s="69" t="s">
        <v>46</v>
      </c>
      <c r="V5" s="69"/>
      <c r="W5" s="69" t="s">
        <v>135</v>
      </c>
      <c r="X5" s="69" t="s">
        <v>59</v>
      </c>
      <c r="Y5" s="69" t="s">
        <v>50</v>
      </c>
      <c r="Z5" s="69"/>
      <c r="AA5" s="69" t="s">
        <v>61</v>
      </c>
      <c r="AB5" s="70"/>
    </row>
    <row r="6" spans="1:28" x14ac:dyDescent="0.25">
      <c r="A6" s="69"/>
      <c r="B6" s="71" t="s">
        <v>136</v>
      </c>
      <c r="C6" s="71" t="s">
        <v>137</v>
      </c>
      <c r="D6" s="71" t="s">
        <v>138</v>
      </c>
      <c r="E6" s="71" t="s">
        <v>138</v>
      </c>
      <c r="F6" s="71" t="s">
        <v>139</v>
      </c>
      <c r="G6" s="71" t="s">
        <v>137</v>
      </c>
      <c r="H6" s="71" t="s">
        <v>139</v>
      </c>
      <c r="I6" s="71" t="s">
        <v>137</v>
      </c>
      <c r="J6" s="71" t="s">
        <v>136</v>
      </c>
      <c r="K6" s="71" t="s">
        <v>140</v>
      </c>
      <c r="L6" s="71" t="s">
        <v>137</v>
      </c>
      <c r="M6" s="71" t="s">
        <v>141</v>
      </c>
      <c r="N6" s="71" t="s">
        <v>142</v>
      </c>
      <c r="O6" s="71" t="s">
        <v>143</v>
      </c>
      <c r="P6" s="71" t="s">
        <v>144</v>
      </c>
      <c r="Q6" s="71" t="s">
        <v>138</v>
      </c>
      <c r="R6" s="71" t="s">
        <v>137</v>
      </c>
      <c r="S6" s="71" t="s">
        <v>145</v>
      </c>
      <c r="T6" s="71" t="s">
        <v>138</v>
      </c>
      <c r="U6" s="71" t="s">
        <v>137</v>
      </c>
      <c r="V6" s="71" t="s">
        <v>138</v>
      </c>
      <c r="W6" s="71" t="s">
        <v>146</v>
      </c>
      <c r="X6" s="71" t="s">
        <v>137</v>
      </c>
      <c r="Y6" s="71" t="s">
        <v>138</v>
      </c>
      <c r="Z6" s="71" t="s">
        <v>137</v>
      </c>
      <c r="AA6" s="71" t="s">
        <v>147</v>
      </c>
      <c r="AB6" s="70"/>
    </row>
    <row r="7" spans="1:28" x14ac:dyDescent="0.25">
      <c r="A7" s="49" t="s">
        <v>148</v>
      </c>
      <c r="B7" s="72">
        <f>SUMIFS($H$25:$H$55,$A$25:$A$55,"NIVELLEMENT VIA PICI",$E$25:$E$55,"TERASSON – BNI fonds projet")-SUMIFS($H$25:$H$55,$A$25:$A$55,"NIVELLEMENT VIA PICI",$C$25:$C$55,"TERASSON – BNI fonds projet")</f>
      </c>
      <c r="C7" s="72">
        <f>SUMIFS($H$25:$H$55,$A$25:$A$55,"NIVELLEMENT VIA PICI",$E$25:$E$55,"TERASSON – SG")-SUMIFS($H$25:$H$55,$A$25:$A$55,"NIVELLEMENT VIA PICI",$C$25:$C$55,"TERASSON – SG")</f>
      </c>
      <c r="D7" s="72">
        <f>SUMIFS($H$25:$H$55,$A$25:$A$55,"NIVELLEMENT VIA PICI",$E$25:$E$55,"TERASSON – ECO")-SUMIFS($H$25:$H$55,$A$25:$A$55,"NIVELLEMENT VIA PICI",$C$25:$C$55,"TERASSON – ECO")</f>
      </c>
      <c r="E7" s="72">
        <f>SUMIFS($H$25:$H$55,$A$25:$A$55,"NIVELLEMENT VIA PICI",$E$25:$E$55,"PICI – ECO")-SUMIFS($H$25:$H$55,$A$25:$A$55,"NIVELLEMENT VIA PICI",$C$25:$C$55,"PICI – ECO")</f>
      </c>
      <c r="F7" s="72">
        <f>SUMIFS($H$25:$H$55,$A$25:$A$55,"NIVELLEMENT VIA PICI",$E$25:$E$55,"PICI – STB")-SUMIFS($H$25:$H$55,$A$25:$A$55,"NIVELLEMENT VIA PICI",$C$25:$C$55,"PICI – STB")</f>
      </c>
      <c r="G7" s="72">
        <f>SUMIFS($H$25:$H$55,$A$25:$A$55,"NIVELLEMENT VIA PICI",$E$25:$E$55,"PICI – SG")-SUMIFS($H$25:$H$55,$A$25:$A$55,"NIVELLEMENT VIA PICI",$C$25:$C$55,"PICI – SG")</f>
      </c>
      <c r="H7" s="72">
        <f>SUMIFS($H$25:$H$55,$A$25:$A$55,"NIVELLEMENT VIA PICI",$E$25:$E$55,"SCI FIRST – STB")-SUMIFS($H$25:$H$55,$A$25:$A$55,"NIVELLEMENT VIA PICI",$C$25:$C$55,"SCI FIRST – STB")</f>
      </c>
      <c r="I7" s="72">
        <f>SUMIFS($H$25:$H$55,$A$25:$A$55,"NIVELLEMENT VIA PICI",$E$25:$E$55,"SCI FIRST – SG")-SUMIFS($H$25:$H$55,$A$25:$A$55,"NIVELLEMENT VIA PICI",$C$25:$C$55,"SCI FIRST – SG")</f>
      </c>
      <c r="J7" s="72">
        <f>SUMIFS($H$25:$H$55,$A$25:$A$55,"NIVELLEMENT VIA PICI",$E$25:$E$55,"RIVIERA PARK – BNI fonds projet")-SUMIFS($H$25:$H$55,$A$25:$A$55,"NIVELLEMENT VIA PICI",$C$25:$C$55,"RIVIERA PARK – BNI fonds projet")</f>
      </c>
      <c r="K7" s="72">
        <f>SUMIFS($H$25:$H$55,$A$25:$A$55,"NIVELLEMENT VIA PICI",$E$25:$E$55,"RIVIERA PARK – BNI courant")-SUMIFS($H$25:$H$55,$A$25:$A$55,"NIVELLEMENT VIA PICI",$C$25:$C$55,"RIVIERA PARK – BNI courant")</f>
      </c>
      <c r="L7" s="72">
        <f>SUMIFS($H$25:$H$55,$A$25:$A$55,"NIVELLEMENT VIA PICI",$E$25:$E$55,"RIVIERA PARK – SG")-SUMIFS($H$25:$H$55,$A$25:$A$55,"NIVELLEMENT VIA PICI",$C$25:$C$55,"RIVIERA PARK – SG")</f>
      </c>
      <c r="M7" s="72">
        <f>SUMIFS($H$25:$H$55,$A$25:$A$55,"NIVELLEMENT VIA PICI",$E$25:$E$55,"SCO AO – BACI Projet")-SUMIFS($H$25:$H$55,$A$25:$A$55,"NIVELLEMENT VIA PICI",$C$25:$C$55,"SCO AO – BACI Projet")</f>
      </c>
      <c r="N7" s="72">
        <f>SUMIFS($H$25:$H$55,$A$25:$A$55,"NIVELLEMENT VIA PICI",$E$25:$E$55,"SCO AO – BACI courant")-SUMIFS($H$25:$H$55,$A$25:$A$55,"NIVELLEMENT VIA PICI",$C$25:$C$55,"SCO AO – BACI courant")</f>
      </c>
      <c r="O7" s="72">
        <f>SUMIFS($H$25:$H$55,$A$25:$A$55,"NIVELLEMENT VIA PICI",$E$25:$E$55,"SCO AO – BOA")-SUMIFS($H$25:$H$55,$A$25:$A$55,"NIVELLEMENT VIA PICI",$C$25:$C$55,"SCO AO – BOA")</f>
      </c>
      <c r="P7" s="72">
        <f>SUMIFS($H$25:$H$55,$A$25:$A$55,"NIVELLEMENT VIA PICI",$E$25:$E$55,"SCO AO – BACI AGORA")-SUMIFS($H$25:$H$55,$A$25:$A$55,"NIVELLEMENT VIA PICI",$C$25:$C$55,"SCO AO – BACI AGORA")</f>
      </c>
      <c r="Q7" s="72">
        <f>SUMIFS($H$25:$H$55,$A$25:$A$55,"NIVELLEMENT VIA PICI",$E$25:$E$55,"SCO AO – ECO")-SUMIFS($H$25:$H$55,$A$25:$A$55,"NIVELLEMENT VIA PICI",$C$25:$C$55,"SCO AO – ECO")</f>
      </c>
      <c r="R7" s="72">
        <f>SUMIFS($H$25:$H$55,$A$25:$A$55,"NIVELLEMENT VIA PICI",$E$25:$E$55,"IMMONEUF – SG")-SUMIFS($H$25:$H$55,$A$25:$A$55,"NIVELLEMENT VIA PICI",$C$25:$C$55,"IMMONEUF – SG")</f>
      </c>
      <c r="S7" s="72">
        <f>SUMIFS($H$25:$H$55,$A$25:$A$55,"NIVELLEMENT VIA PICI",$E$25:$E$55,"IMMONEUF – BACI - IMMONEUF")-SUMIFS($H$25:$H$55,$A$25:$A$55,"NIVELLEMENT VIA PICI",$C$25:$C$55,"IMMONEUF – BACI - IMMONEUF")</f>
      </c>
      <c r="T7" s="72">
        <f>SUMIFS($H$25:$H$55,$A$25:$A$55,"NIVELLEMENT VIA PICI",$E$25:$E$55,"IMMONEUF – ECO")-SUMIFS($H$25:$H$55,$A$25:$A$55,"NIVELLEMENT VIA PICI",$C$25:$C$55,"IMMONEUF – ECO")</f>
      </c>
      <c r="U7" s="72">
        <f>SUMIFS($H$25:$H$55,$A$25:$A$55,"NIVELLEMENT VIA PICI",$E$25:$E$55,"FINAFRICA – SG")-SUMIFS($H$25:$H$55,$A$25:$A$55,"NIVELLEMENT VIA PICI",$C$25:$C$55,"FINAFRICA – SG")</f>
      </c>
      <c r="V7" s="72">
        <f>SUMIFS($H$25:$H$55,$A$25:$A$55,"NIVELLEMENT VIA PICI",$E$25:$E$55,"FINAFRICA – ECO")-SUMIFS($H$25:$H$55,$A$25:$A$55,"NIVELLEMENT VIA PICI",$C$25:$C$55,"FINAFRICA – ECO")</f>
      </c>
      <c r="W7" s="72">
        <f>SUMIFS($H$25:$H$55,$A$25:$A$55,"NIVELLEMENT VIA PICI",$E$25:$E$55,"INFI – SIB")-SUMIFS($H$25:$H$55,$A$25:$A$55,"NIVELLEMENT VIA PICI",$C$25:$C$55,"INFI – SIB")</f>
      </c>
      <c r="X7" s="72">
        <f>SUMIFS($H$25:$H$55,$A$25:$A$55,"NIVELLEMENT VIA PICI",$E$25:$E$55,"ODALYS CI – SG")-SUMIFS($H$25:$H$55,$A$25:$A$55,"NIVELLEMENT VIA PICI",$C$25:$C$55,"ODALYS CI – SG")</f>
      </c>
      <c r="Y7" s="72">
        <f>SUMIFS($H$25:$H$55,$A$25:$A$55,"NIVELLEMENT VIA PICI",$E$25:$E$55,"AB CENTER – ECO")-SUMIFS($H$25:$H$55,$A$25:$A$55,"NIVELLEMENT VIA PICI",$C$25:$C$55,"AB CENTER – ECO")</f>
      </c>
      <c r="Z7" s="72">
        <f>SUMIFS($H$25:$H$55,$A$25:$A$55,"NIVELLEMENT VIA PICI",$E$25:$E$55,"AB CENTER – SG")-SUMIFS($H$25:$H$55,$A$25:$A$55,"NIVELLEMENT VIA PICI",$C$25:$C$55,"AB CENTER – SG")</f>
      </c>
      <c r="AA7" s="72">
        <f>SUMIFS($H$25:$H$55,$A$25:$A$55,"NIVELLEMENT VIA PICI",$E$25:$E$55,"RHD CI – payé par PICI")-SUMIFS($H$25:$H$55,$A$25:$A$55,"NIVELLEMENT VIA PICI",$C$25:$C$55,"RHD CI – payé par PICI")</f>
      </c>
      <c r="AB7" s="73" t="s">
        <v>149</v>
      </c>
    </row>
    <row r="8" spans="1:28" x14ac:dyDescent="0.25">
      <c r="A8" s="49" t="s">
        <v>150</v>
      </c>
      <c r="B8" s="72">
        <f>SUMIFS($H$25:$H$55,$A$25:$A$55,"AUTRES NIVELLEMENTS",$E$25:$E$55,"TERASSON – BNI fonds projet")-SUMIFS($H$25:$H$55,$A$25:$A$55,"AUTRES NIVELLEMENTS",$C$25:$C$55,"TERASSON – BNI fonds projet")</f>
      </c>
      <c r="C8" s="72">
        <f>SUMIFS($H$25:$H$55,$A$25:$A$55,"AUTRES NIVELLEMENTS",$E$25:$E$55,"TERASSON – SG")-SUMIFS($H$25:$H$55,$A$25:$A$55,"AUTRES NIVELLEMENTS",$C$25:$C$55,"TERASSON – SG")</f>
      </c>
      <c r="D8" s="72">
        <f>SUMIFS($H$25:$H$55,$A$25:$A$55,"AUTRES NIVELLEMENTS",$E$25:$E$55,"TERASSON – ECO")-SUMIFS($H$25:$H$55,$A$25:$A$55,"AUTRES NIVELLEMENTS",$C$25:$C$55,"TERASSON – ECO")</f>
      </c>
      <c r="E8" s="72">
        <f>SUMIFS($H$25:$H$55,$A$25:$A$55,"AUTRES NIVELLEMENTS",$E$25:$E$55,"PICI – ECO")-SUMIFS($H$25:$H$55,$A$25:$A$55,"AUTRES NIVELLEMENTS",$C$25:$C$55,"PICI – ECO")</f>
      </c>
      <c r="F8" s="72">
        <f>SUMIFS($H$25:$H$55,$A$25:$A$55,"AUTRES NIVELLEMENTS",$E$25:$E$55,"PICI – STB")-SUMIFS($H$25:$H$55,$A$25:$A$55,"AUTRES NIVELLEMENTS",$C$25:$C$55,"PICI – STB")</f>
      </c>
      <c r="G8" s="72">
        <f>SUMIFS($H$25:$H$55,$A$25:$A$55,"AUTRES NIVELLEMENTS",$E$25:$E$55,"PICI – SG")-SUMIFS($H$25:$H$55,$A$25:$A$55,"AUTRES NIVELLEMENTS",$C$25:$C$55,"PICI – SG")</f>
      </c>
      <c r="H8" s="72">
        <f>SUMIFS($H$25:$H$55,$A$25:$A$55,"AUTRES NIVELLEMENTS",$E$25:$E$55,"SCI FIRST – STB")-SUMIFS($H$25:$H$55,$A$25:$A$55,"AUTRES NIVELLEMENTS",$C$25:$C$55,"SCI FIRST – STB")</f>
      </c>
      <c r="I8" s="72">
        <f>SUMIFS($H$25:$H$55,$A$25:$A$55,"AUTRES NIVELLEMENTS",$E$25:$E$55,"SCI FIRST – SG")-SUMIFS($H$25:$H$55,$A$25:$A$55,"AUTRES NIVELLEMENTS",$C$25:$C$55,"SCI FIRST – SG")</f>
      </c>
      <c r="J8" s="72">
        <f>SUMIFS($H$25:$H$55,$A$25:$A$55,"AUTRES NIVELLEMENTS",$E$25:$E$55,"RIVIERA PARK – BNI fonds projet")-SUMIFS($H$25:$H$55,$A$25:$A$55,"AUTRES NIVELLEMENTS",$C$25:$C$55,"RIVIERA PARK – BNI fonds projet")</f>
      </c>
      <c r="K8" s="72">
        <f>SUMIFS($H$25:$H$55,$A$25:$A$55,"AUTRES NIVELLEMENTS",$E$25:$E$55,"RIVIERA PARK – BNI courant")-SUMIFS($H$25:$H$55,$A$25:$A$55,"AUTRES NIVELLEMENTS",$C$25:$C$55,"RIVIERA PARK – BNI courant")</f>
      </c>
      <c r="L8" s="72">
        <f>SUMIFS($H$25:$H$55,$A$25:$A$55,"AUTRES NIVELLEMENTS",$E$25:$E$55,"RIVIERA PARK – SG")-SUMIFS($H$25:$H$55,$A$25:$A$55,"AUTRES NIVELLEMENTS",$C$25:$C$55,"RIVIERA PARK – SG")</f>
      </c>
      <c r="M8" s="72">
        <f>SUMIFS($H$25:$H$55,$A$25:$A$55,"AUTRES NIVELLEMENTS",$E$25:$E$55,"SCO AO – BACI Projet")-SUMIFS($H$25:$H$55,$A$25:$A$55,"AUTRES NIVELLEMENTS",$C$25:$C$55,"SCO AO – BACI Projet")</f>
      </c>
      <c r="N8" s="72">
        <f>SUMIFS($H$25:$H$55,$A$25:$A$55,"AUTRES NIVELLEMENTS",$E$25:$E$55,"SCO AO – BACI courant")-SUMIFS($H$25:$H$55,$A$25:$A$55,"AUTRES NIVELLEMENTS",$C$25:$C$55,"SCO AO – BACI courant")</f>
      </c>
      <c r="O8" s="72">
        <f>SUMIFS($H$25:$H$55,$A$25:$A$55,"AUTRES NIVELLEMENTS",$E$25:$E$55,"SCO AO – BOA")-SUMIFS($H$25:$H$55,$A$25:$A$55,"AUTRES NIVELLEMENTS",$C$25:$C$55,"SCO AO – BOA")</f>
      </c>
      <c r="P8" s="72">
        <f>SUMIFS($H$25:$H$55,$A$25:$A$55,"AUTRES NIVELLEMENTS",$E$25:$E$55,"SCO AO – BACI AGORA")-SUMIFS($H$25:$H$55,$A$25:$A$55,"AUTRES NIVELLEMENTS",$C$25:$C$55,"SCO AO – BACI AGORA")</f>
      </c>
      <c r="Q8" s="72">
        <f>SUMIFS($H$25:$H$55,$A$25:$A$55,"AUTRES NIVELLEMENTS",$E$25:$E$55,"SCO AO – ECO")-SUMIFS($H$25:$H$55,$A$25:$A$55,"AUTRES NIVELLEMENTS",$C$25:$C$55,"SCO AO – ECO")</f>
      </c>
      <c r="R8" s="72">
        <f>SUMIFS($H$25:$H$55,$A$25:$A$55,"AUTRES NIVELLEMENTS",$E$25:$E$55,"IMMONEUF – SG")-SUMIFS($H$25:$H$55,$A$25:$A$55,"AUTRES NIVELLEMENTS",$C$25:$C$55,"IMMONEUF – SG")</f>
      </c>
      <c r="S8" s="72">
        <f>SUMIFS($H$25:$H$55,$A$25:$A$55,"AUTRES NIVELLEMENTS",$E$25:$E$55,"IMMONEUF – BACI - IMMONEUF")-SUMIFS($H$25:$H$55,$A$25:$A$55,"AUTRES NIVELLEMENTS",$C$25:$C$55,"IMMONEUF – BACI - IMMONEUF")</f>
      </c>
      <c r="T8" s="72">
        <f>SUMIFS($H$25:$H$55,$A$25:$A$55,"AUTRES NIVELLEMENTS",$E$25:$E$55,"IMMONEUF – ECO")-SUMIFS($H$25:$H$55,$A$25:$A$55,"AUTRES NIVELLEMENTS",$C$25:$C$55,"IMMONEUF – ECO")</f>
      </c>
      <c r="U8" s="72">
        <f>SUMIFS($H$25:$H$55,$A$25:$A$55,"AUTRES NIVELLEMENTS",$E$25:$E$55,"FINAFRICA – SG")-SUMIFS($H$25:$H$55,$A$25:$A$55,"AUTRES NIVELLEMENTS",$C$25:$C$55,"FINAFRICA – SG")</f>
      </c>
      <c r="V8" s="72">
        <f>SUMIFS($H$25:$H$55,$A$25:$A$55,"AUTRES NIVELLEMENTS",$E$25:$E$55,"FINAFRICA – ECO")-SUMIFS($H$25:$H$55,$A$25:$A$55,"AUTRES NIVELLEMENTS",$C$25:$C$55,"FINAFRICA – ECO")</f>
      </c>
      <c r="W8" s="72">
        <f>SUMIFS($H$25:$H$55,$A$25:$A$55,"AUTRES NIVELLEMENTS",$E$25:$E$55,"INFI – SIB")-SUMIFS($H$25:$H$55,$A$25:$A$55,"AUTRES NIVELLEMENTS",$C$25:$C$55,"INFI – SIB")</f>
      </c>
      <c r="X8" s="72">
        <f>SUMIFS($H$25:$H$55,$A$25:$A$55,"AUTRES NIVELLEMENTS",$E$25:$E$55,"ODALYS CI – SG")-SUMIFS($H$25:$H$55,$A$25:$A$55,"AUTRES NIVELLEMENTS",$C$25:$C$55,"ODALYS CI – SG")</f>
      </c>
      <c r="Y8" s="72">
        <f>SUMIFS($H$25:$H$55,$A$25:$A$55,"AUTRES NIVELLEMENTS",$E$25:$E$55,"AB CENTER – ECO")-SUMIFS($H$25:$H$55,$A$25:$A$55,"AUTRES NIVELLEMENTS",$C$25:$C$55,"AB CENTER – ECO")</f>
      </c>
      <c r="Z8" s="72">
        <f>SUMIFS($H$25:$H$55,$A$25:$A$55,"AUTRES NIVELLEMENTS",$E$25:$E$55,"AB CENTER – SG")-SUMIFS($H$25:$H$55,$A$25:$A$55,"AUTRES NIVELLEMENTS",$C$25:$C$55,"AB CENTER – SG")</f>
      </c>
      <c r="AA8" s="72">
        <f>SUMIFS($H$25:$H$55,$A$25:$A$55,"AUTRES NIVELLEMENTS",$E$25:$E$55,"RHD CI – payé par PICI")-SUMIFS($H$25:$H$55,$A$25:$A$55,"AUTRES NIVELLEMENTS",$C$25:$C$55,"RHD CI – payé par PICI")</f>
      </c>
      <c r="AB8" s="73" t="s">
        <v>151</v>
      </c>
    </row>
    <row r="9" spans="1:28" x14ac:dyDescent="0.25">
      <c r="A9" s="49" t="s">
        <v>152</v>
      </c>
      <c r="B9" s="72">
        <f>SUMIFS('Détail projets &amp; dettes'!$I$5:$I$500,'Détail projets &amp; dettes'!$A$5:$A$500,"S1",'Détail projets &amp; dettes'!$B$5:$B$500,"TERASSON-PROJET",'Détail projets &amp; dettes'!$J$5:$J$500,"O")</f>
      </c>
      <c r="C9" s="72">
        <f>SUMIFS('Détail fonctionnement'!$E$5:$E$500,'Détail fonctionnement'!$A$5:$A$500,"S1",'Détail fonctionnement'!$B$5:$B$500,"TERASSON",'Détail fonctionnement'!$C$5:$C$500,"FOURNISSEURS - PROJET",'Détail fonctionnement'!$G$5:$G$500,"O")</f>
      </c>
      <c r="D9" s="72"/>
      <c r="E9" s="72">
        <f>SUMIFS('Détail fonctionnement'!$E$5:$E$500,'Détail fonctionnement'!$A$5:$A$500,"S1",'Détail fonctionnement'!$B$5:$B$500,"PICI",'Détail fonctionnement'!$C$5:$C$500,"FOURNISSEURS - PROJET",'Détail fonctionnement'!$G$5:$G$500,"O")</f>
      </c>
      <c r="F9" s="72"/>
      <c r="G9" s="72"/>
      <c r="H9" s="72">
        <f>SUMIFS('Détail fonctionnement'!$E$5:$E$500,'Détail fonctionnement'!$A$5:$A$500,"S1",'Détail fonctionnement'!$B$5:$B$500,"FIRST",'Détail fonctionnement'!$C$5:$C$500,"FOURNISSEURS - PROJET",'Détail fonctionnement'!$G$5:$G$500,"O")</f>
      </c>
      <c r="I9" s="72"/>
      <c r="J9" s="72">
        <f>SUMIFS('Détail projets &amp; dettes'!$I$5:$I$500,'Détail projets &amp; dettes'!$A$5:$A$500,"S1",'Détail projets &amp; dettes'!$B$5:$B$500,"RIVIERA-PROJET",'Détail projets &amp; dettes'!$J$5:$J$500,"O")</f>
      </c>
      <c r="K9" s="72"/>
      <c r="L9" s="72">
        <f>SUMIFS('Détail fonctionnement'!$E$5:$E$500,'Détail fonctionnement'!$A$5:$A$500,"S1",'Détail fonctionnement'!$B$5:$B$500,"RIVIERA",'Détail fonctionnement'!$C$5:$C$500,"FOURNISSEURS - PROJET",'Détail fonctionnement'!$G$5:$G$500,"O")</f>
      </c>
      <c r="M9" s="72">
        <f>SUMIFS('Détail fonctionnement'!$E$5:$E$500,'Détail fonctionnement'!$A$5:$A$500,"S1",'Détail fonctionnement'!$B$5:$B$500,"SCO AO",'Détail fonctionnement'!$C$5:$C$500,"FOURNISSEURS - PROJET",'Détail fonctionnement'!$G$5:$G$500,"O")</f>
      </c>
      <c r="N9" s="72"/>
      <c r="O9" s="72"/>
      <c r="P9" s="72"/>
      <c r="Q9" s="72"/>
      <c r="R9" s="72">
        <f>SUMIFS('Détail fonctionnement'!$E$5:$E$500,'Détail fonctionnement'!$A$5:$A$500,"S1",'Détail fonctionnement'!$B$5:$B$500,"IMMONEUF",'Détail fonctionnement'!$C$5:$C$500,"FOURNISSEURS - PROJET",'Détail fonctionnement'!$G$5:$G$500,"O")</f>
      </c>
      <c r="S9" s="72"/>
      <c r="T9" s="72"/>
      <c r="U9" s="72">
        <f>SUMIFS('Détail fonctionnement'!$E$5:$E$500,'Détail fonctionnement'!$A$5:$A$500,"S1",'Détail fonctionnement'!$B$5:$B$500,"FINAFRICA",'Détail fonctionnement'!$C$5:$C$500,"FOURNISSEURS - PROJET",'Détail fonctionnement'!$G$5:$G$500,"O")</f>
      </c>
      <c r="V9" s="72"/>
      <c r="W9" s="72">
        <f>SUMIFS('Détail fonctionnement'!$E$5:$E$500,'Détail fonctionnement'!$A$5:$A$500,"S1",'Détail fonctionnement'!$B$5:$B$500,"INFI SOFT",'Détail fonctionnement'!$C$5:$C$500,"FOURNISSEURS - PROJET",'Détail fonctionnement'!$G$5:$G$500,"O")</f>
      </c>
      <c r="X9" s="72">
        <f>SUMIFS('Détail fonctionnement'!$E$5:$E$500,'Détail fonctionnement'!$A$5:$A$500,"S1",'Détail fonctionnement'!$B$5:$B$500,"ODALYS CI",'Détail fonctionnement'!$C$5:$C$500,"FOURNISSEURS - PROJET",'Détail fonctionnement'!$G$5:$G$500,"O")</f>
      </c>
      <c r="Y9" s="72">
        <f>SUMIFS('Détail fonctionnement'!$E$5:$E$500,'Détail fonctionnement'!$A$5:$A$500,"S1",'Détail fonctionnement'!$B$5:$B$500,"AB CENTER",'Détail fonctionnement'!$C$5:$C$500,"FOURNISSEURS - PROJET",'Détail fonctionnement'!$G$5:$G$500,"O")</f>
      </c>
      <c r="Z9" s="72"/>
      <c r="AA9" s="72">
        <f>SUMIFS('Détail fonctionnement'!$E$5:$E$500,'Détail fonctionnement'!$A$5:$A$500,"S1",'Détail fonctionnement'!$B$5:$B$500,"RHD CI",'Détail fonctionnement'!$C$5:$C$500,"FOURNISSEURS - PROJET",'Détail fonctionnement'!$G$5:$G$500,"O")</f>
      </c>
      <c r="AB9" s="73" t="s">
        <v>153</v>
      </c>
    </row>
    <row r="10" spans="1:28" x14ac:dyDescent="0.25">
      <c r="A10" s="49" t="s">
        <v>154</v>
      </c>
      <c r="B10" s="72"/>
      <c r="C10" s="72">
        <f>SUMIFS('Détail fonctionnement'!$E$5:$E$500,'Détail fonctionnement'!$A$5:$A$500,"S1",'Détail fonctionnement'!$B$5:$B$500,"TERASSON",'Détail fonctionnement'!$C$5:$C$500,"FOURNISSEURS - FGX",'Détail fonctionnement'!$G$5:$G$500,"O")</f>
      </c>
      <c r="D10" s="72"/>
      <c r="E10" s="72">
        <f>SUMIFS('Détail fonctionnement'!$E$5:$E$500,'Détail fonctionnement'!$A$5:$A$500,"S1",'Détail fonctionnement'!$B$5:$B$500,"PICI",'Détail fonctionnement'!$C$5:$C$500,"FOURNISSEURS - FGX",'Détail fonctionnement'!$G$5:$G$500,"O")</f>
      </c>
      <c r="F10" s="72"/>
      <c r="G10" s="72"/>
      <c r="H10" s="72">
        <f>SUMIFS('Détail fonctionnement'!$E$5:$E$500,'Détail fonctionnement'!$A$5:$A$500,"S1",'Détail fonctionnement'!$B$5:$B$500,"FIRST",'Détail fonctionnement'!$C$5:$C$500,"FOURNISSEURS - FGX",'Détail fonctionnement'!$G$5:$G$500,"O")</f>
      </c>
      <c r="I10" s="72"/>
      <c r="J10" s="72"/>
      <c r="K10" s="72"/>
      <c r="L10" s="72">
        <f>SUMIFS('Détail fonctionnement'!$E$5:$E$500,'Détail fonctionnement'!$A$5:$A$500,"S1",'Détail fonctionnement'!$B$5:$B$500,"RIVIERA",'Détail fonctionnement'!$C$5:$C$500,"FOURNISSEURS - FGX",'Détail fonctionnement'!$G$5:$G$500,"O")</f>
      </c>
      <c r="M10" s="72"/>
      <c r="N10" s="72">
        <f>SUMIFS('Détail fonctionnement'!$E$5:$E$500,'Détail fonctionnement'!$A$5:$A$500,"S1",'Détail fonctionnement'!$B$5:$B$500,"SCO AO",'Détail fonctionnement'!$C$5:$C$500,"FOURNISSEURS - FGX",'Détail fonctionnement'!$G$5:$G$500,"O")</f>
      </c>
      <c r="O10" s="72"/>
      <c r="P10" s="72"/>
      <c r="Q10" s="72"/>
      <c r="R10" s="72">
        <f>SUMIFS('Détail fonctionnement'!$E$5:$E$500,'Détail fonctionnement'!$A$5:$A$500,"S1",'Détail fonctionnement'!$B$5:$B$500,"IMMONEUF",'Détail fonctionnement'!$C$5:$C$500,"FOURNISSEURS - FGX",'Détail fonctionnement'!$G$5:$G$500,"O")</f>
      </c>
      <c r="S10" s="72"/>
      <c r="T10" s="72"/>
      <c r="U10" s="72">
        <f>SUMIFS('Détail fonctionnement'!$E$5:$E$500,'Détail fonctionnement'!$A$5:$A$500,"S1",'Détail fonctionnement'!$B$5:$B$500,"FINAFRICA",'Détail fonctionnement'!$C$5:$C$500,"FOURNISSEURS - FGX",'Détail fonctionnement'!$G$5:$G$500,"O")</f>
      </c>
      <c r="V10" s="72"/>
      <c r="W10" s="72">
        <f>SUMIFS('Détail fonctionnement'!$E$5:$E$500,'Détail fonctionnement'!$A$5:$A$500,"S1",'Détail fonctionnement'!$B$5:$B$500,"INFI SOFT",'Détail fonctionnement'!$C$5:$C$500,"FOURNISSEURS - FGX",'Détail fonctionnement'!$G$5:$G$500,"O")</f>
      </c>
      <c r="X10" s="72">
        <f>SUMIFS('Détail fonctionnement'!$E$5:$E$500,'Détail fonctionnement'!$A$5:$A$500,"S1",'Détail fonctionnement'!$B$5:$B$500,"ODALYS CI",'Détail fonctionnement'!$C$5:$C$500,"FOURNISSEURS - FGX",'Détail fonctionnement'!$G$5:$G$500,"O")</f>
      </c>
      <c r="Y10" s="72">
        <f>SUMIFS('Détail fonctionnement'!$E$5:$E$500,'Détail fonctionnement'!$A$5:$A$500,"S1",'Détail fonctionnement'!$B$5:$B$500,"AB CENTER",'Détail fonctionnement'!$C$5:$C$500,"FOURNISSEURS - FGX",'Détail fonctionnement'!$G$5:$G$500,"O")</f>
      </c>
      <c r="Z10" s="72"/>
      <c r="AA10" s="72">
        <f>SUMIFS('Détail fonctionnement'!$E$5:$E$500,'Détail fonctionnement'!$A$5:$A$500,"S1",'Détail fonctionnement'!$B$5:$B$500,"RHD CI",'Détail fonctionnement'!$C$5:$C$500,"FOURNISSEURS - FGX",'Détail fonctionnement'!$G$5:$G$500,"O")</f>
      </c>
      <c r="AB10" s="73" t="s">
        <v>18</v>
      </c>
    </row>
    <row r="11" spans="1:28" x14ac:dyDescent="0.25">
      <c r="A11" s="49" t="s">
        <v>155</v>
      </c>
      <c r="B11" s="74"/>
      <c r="C11" s="74">
        <f>SUMIFS('Détail fonctionnement'!$E$5:$E$500,'Détail fonctionnement'!$A$5:$A$500,"S1",'Détail fonctionnement'!$B$5:$B$500,"TERASSON",'Détail fonctionnement'!$C$5:$C$500,"IMPÔTS ET TAXES",'Détail fonctionnement'!$G$5:$G$500,"O")</f>
      </c>
      <c r="D11" s="74"/>
      <c r="E11" s="74">
        <f>SUMIFS('Détail fonctionnement'!$E$5:$E$500,'Détail fonctionnement'!$A$5:$A$500,"S1",'Détail fonctionnement'!$B$5:$B$500,"PICI",'Détail fonctionnement'!$C$5:$C$500,"IMPÔTS ET TAXES",'Détail fonctionnement'!$G$5:$G$500,"O")</f>
      </c>
      <c r="F11" s="74"/>
      <c r="G11" s="74"/>
      <c r="H11" s="74">
        <f>SUMIFS('Détail fonctionnement'!$E$5:$E$500,'Détail fonctionnement'!$A$5:$A$500,"S1",'Détail fonctionnement'!$B$5:$B$500,"FIRST",'Détail fonctionnement'!$C$5:$C$500,"IMPÔTS ET TAXES",'Détail fonctionnement'!$G$5:$G$500,"O")</f>
      </c>
      <c r="I11" s="74"/>
      <c r="J11" s="74"/>
      <c r="K11" s="74"/>
      <c r="L11" s="74">
        <f>SUMIFS('Détail fonctionnement'!$E$5:$E$500,'Détail fonctionnement'!$A$5:$A$500,"S1",'Détail fonctionnement'!$B$5:$B$500,"RIVIERA",'Détail fonctionnement'!$C$5:$C$500,"IMPÔTS ET TAXES",'Détail fonctionnement'!$G$5:$G$500,"O")</f>
      </c>
      <c r="M11" s="74"/>
      <c r="N11" s="74">
        <f>SUMIFS('Détail fonctionnement'!$E$5:$E$500,'Détail fonctionnement'!$A$5:$A$500,"S1",'Détail fonctionnement'!$B$5:$B$500,"SCO AO",'Détail fonctionnement'!$C$5:$C$500,"IMPÔTS ET TAXES",'Détail fonctionnement'!$G$5:$G$500,"O")</f>
      </c>
      <c r="O11" s="74"/>
      <c r="P11" s="74"/>
      <c r="Q11" s="74"/>
      <c r="R11" s="74">
        <f>SUMIFS('Détail fonctionnement'!$E$5:$E$500,'Détail fonctionnement'!$A$5:$A$500,"S1",'Détail fonctionnement'!$B$5:$B$500,"IMMONEUF",'Détail fonctionnement'!$C$5:$C$500,"IMPÔTS ET TAXES",'Détail fonctionnement'!$G$5:$G$500,"O")</f>
      </c>
      <c r="S11" s="74"/>
      <c r="T11" s="74"/>
      <c r="U11" s="74">
        <f>SUMIFS('Détail fonctionnement'!$E$5:$E$500,'Détail fonctionnement'!$A$5:$A$500,"S1",'Détail fonctionnement'!$B$5:$B$500,"FINAFRICA",'Détail fonctionnement'!$C$5:$C$500,"IMPÔTS ET TAXES",'Détail fonctionnement'!$G$5:$G$500,"O")</f>
      </c>
      <c r="V11" s="74"/>
      <c r="W11" s="74">
        <f>SUMIFS('Détail fonctionnement'!$E$5:$E$500,'Détail fonctionnement'!$A$5:$A$500,"S1",'Détail fonctionnement'!$B$5:$B$500,"INFI SOFT",'Détail fonctionnement'!$C$5:$C$500,"IMPÔTS ET TAXES",'Détail fonctionnement'!$G$5:$G$500,"O")</f>
      </c>
      <c r="X11" s="74">
        <f>SUMIFS('Détail fonctionnement'!$E$5:$E$500,'Détail fonctionnement'!$A$5:$A$500,"S1",'Détail fonctionnement'!$B$5:$B$500,"ODALYS CI",'Détail fonctionnement'!$C$5:$C$500,"IMPÔTS ET TAXES",'Détail fonctionnement'!$G$5:$G$500,"O")</f>
      </c>
      <c r="Y11" s="74">
        <f>SUMIFS('Détail fonctionnement'!$E$5:$E$500,'Détail fonctionnement'!$A$5:$A$500,"S1",'Détail fonctionnement'!$B$5:$B$500,"AB CENTER",'Détail fonctionnement'!$C$5:$C$500,"IMPÔTS ET TAXES",'Détail fonctionnement'!$G$5:$G$500,"O")</f>
      </c>
      <c r="Z11" s="74"/>
      <c r="AA11" s="74">
        <f>SUMIFS('Détail fonctionnement'!$E$5:$E$500,'Détail fonctionnement'!$A$5:$A$500,"S1",'Détail fonctionnement'!$B$5:$B$500,"RHD CI",'Détail fonctionnement'!$C$5:$C$500,"IMPÔTS ET TAXES",'Détail fonctionnement'!$G$5:$G$500,"O")</f>
      </c>
      <c r="AB11" s="73" t="s">
        <v>18</v>
      </c>
    </row>
    <row r="12" spans="1:28" x14ac:dyDescent="0.25">
      <c r="A12" s="49" t="s">
        <v>106</v>
      </c>
      <c r="B12" s="74"/>
      <c r="C12" s="74">
        <f>SUMIFS('Détail fonctionnement'!$E$5:$E$500,'Détail fonctionnement'!$A$5:$A$500,"S1",'Détail fonctionnement'!$B$5:$B$500,"TERASSON",'Détail fonctionnement'!$C$5:$C$500,"CHARGES SOCIALES",'Détail fonctionnement'!$G$5:$G$500,"O")</f>
      </c>
      <c r="D12" s="74"/>
      <c r="E12" s="74">
        <f>SUMIFS('Détail fonctionnement'!$E$5:$E$500,'Détail fonctionnement'!$A$5:$A$500,"S1",'Détail fonctionnement'!$B$5:$B$500,"PICI",'Détail fonctionnement'!$C$5:$C$500,"CHARGES SOCIALES",'Détail fonctionnement'!$G$5:$G$500,"O")</f>
      </c>
      <c r="F12" s="74"/>
      <c r="G12" s="74"/>
      <c r="H12" s="74">
        <f>SUMIFS('Détail fonctionnement'!$E$5:$E$500,'Détail fonctionnement'!$A$5:$A$500,"S1",'Détail fonctionnement'!$B$5:$B$500,"FIRST",'Détail fonctionnement'!$C$5:$C$500,"CHARGES SOCIALES",'Détail fonctionnement'!$G$5:$G$500,"O")</f>
      </c>
      <c r="I12" s="74"/>
      <c r="J12" s="74"/>
      <c r="K12" s="74"/>
      <c r="L12" s="74">
        <f>SUMIFS('Détail fonctionnement'!$E$5:$E$500,'Détail fonctionnement'!$A$5:$A$500,"S1",'Détail fonctionnement'!$B$5:$B$500,"RIVIERA",'Détail fonctionnement'!$C$5:$C$500,"CHARGES SOCIALES",'Détail fonctionnement'!$G$5:$G$500,"O")</f>
      </c>
      <c r="M12" s="74"/>
      <c r="N12" s="74">
        <f>SUMIFS('Détail fonctionnement'!$E$5:$E$500,'Détail fonctionnement'!$A$5:$A$500,"S1",'Détail fonctionnement'!$B$5:$B$500,"SCO AO",'Détail fonctionnement'!$C$5:$C$500,"CHARGES SOCIALES",'Détail fonctionnement'!$G$5:$G$500,"O")</f>
      </c>
      <c r="O12" s="74"/>
      <c r="P12" s="74"/>
      <c r="Q12" s="74"/>
      <c r="R12" s="74">
        <f>SUMIFS('Détail fonctionnement'!$E$5:$E$500,'Détail fonctionnement'!$A$5:$A$500,"S1",'Détail fonctionnement'!$B$5:$B$500,"IMMONEUF",'Détail fonctionnement'!$C$5:$C$500,"CHARGES SOCIALES",'Détail fonctionnement'!$G$5:$G$500,"O")</f>
      </c>
      <c r="S12" s="74"/>
      <c r="T12" s="74"/>
      <c r="U12" s="74">
        <f>SUMIFS('Détail fonctionnement'!$E$5:$E$500,'Détail fonctionnement'!$A$5:$A$500,"S1",'Détail fonctionnement'!$B$5:$B$500,"FINAFRICA",'Détail fonctionnement'!$C$5:$C$500,"CHARGES SOCIALES",'Détail fonctionnement'!$G$5:$G$500,"O")</f>
      </c>
      <c r="V12" s="74"/>
      <c r="W12" s="74">
        <f>SUMIFS('Détail fonctionnement'!$E$5:$E$500,'Détail fonctionnement'!$A$5:$A$500,"S1",'Détail fonctionnement'!$B$5:$B$500,"INFI SOFT",'Détail fonctionnement'!$C$5:$C$500,"CHARGES SOCIALES",'Détail fonctionnement'!$G$5:$G$500,"O")</f>
      </c>
      <c r="X12" s="74">
        <f>SUMIFS('Détail fonctionnement'!$E$5:$E$500,'Détail fonctionnement'!$A$5:$A$500,"S1",'Détail fonctionnement'!$B$5:$B$500,"ODALYS CI",'Détail fonctionnement'!$C$5:$C$500,"CHARGES SOCIALES",'Détail fonctionnement'!$G$5:$G$500,"O")</f>
      </c>
      <c r="Y12" s="74">
        <f>SUMIFS('Détail fonctionnement'!$E$5:$E$500,'Détail fonctionnement'!$A$5:$A$500,"S1",'Détail fonctionnement'!$B$5:$B$500,"AB CENTER",'Détail fonctionnement'!$C$5:$C$500,"CHARGES SOCIALES",'Détail fonctionnement'!$G$5:$G$500,"O")</f>
      </c>
      <c r="Z12" s="74"/>
      <c r="AA12" s="74">
        <f>SUMIFS('Détail fonctionnement'!$E$5:$E$500,'Détail fonctionnement'!$A$5:$A$500,"S1",'Détail fonctionnement'!$B$5:$B$500,"RHD CI",'Détail fonctionnement'!$C$5:$C$500,"CHARGES SOCIALES",'Détail fonctionnement'!$G$5:$G$500,"O")</f>
      </c>
      <c r="AB12" s="73" t="s">
        <v>18</v>
      </c>
    </row>
    <row r="13" spans="1:28" x14ac:dyDescent="0.25">
      <c r="A13" s="49" t="s">
        <v>115</v>
      </c>
      <c r="B13" s="74"/>
      <c r="C13" s="74">
        <f>SUMIFS('Détail fonctionnement'!$E$5:$E$500,'Détail fonctionnement'!$A$5:$A$500,"S1",'Détail fonctionnement'!$B$5:$B$500,"TERASSON",'Détail fonctionnement'!$C$5:$C$500,"SALAIRES",'Détail fonctionnement'!$G$5:$G$500,"O")</f>
      </c>
      <c r="D13" s="74"/>
      <c r="E13" s="74">
        <f>SUMIFS('Détail fonctionnement'!$E$5:$E$500,'Détail fonctionnement'!$A$5:$A$500,"S1",'Détail fonctionnement'!$B$5:$B$500,"PICI",'Détail fonctionnement'!$C$5:$C$500,"SALAIRES",'Détail fonctionnement'!$G$5:$G$500,"O")</f>
      </c>
      <c r="F13" s="74"/>
      <c r="G13" s="74"/>
      <c r="H13" s="74">
        <f>SUMIFS('Détail fonctionnement'!$E$5:$E$500,'Détail fonctionnement'!$A$5:$A$500,"S1",'Détail fonctionnement'!$B$5:$B$500,"FIRST",'Détail fonctionnement'!$C$5:$C$500,"SALAIRES",'Détail fonctionnement'!$G$5:$G$500,"O")</f>
      </c>
      <c r="I13" s="74"/>
      <c r="J13" s="74"/>
      <c r="K13" s="74"/>
      <c r="L13" s="74">
        <f>SUMIFS('Détail fonctionnement'!$E$5:$E$500,'Détail fonctionnement'!$A$5:$A$500,"S1",'Détail fonctionnement'!$B$5:$B$500,"RIVIERA",'Détail fonctionnement'!$C$5:$C$500,"SALAIRES",'Détail fonctionnement'!$G$5:$G$500,"O")</f>
      </c>
      <c r="M13" s="74"/>
      <c r="N13" s="74">
        <f>SUMIFS('Détail fonctionnement'!$E$5:$E$500,'Détail fonctionnement'!$A$5:$A$500,"S1",'Détail fonctionnement'!$B$5:$B$500,"SCO AO",'Détail fonctionnement'!$C$5:$C$500,"SALAIRES",'Détail fonctionnement'!$G$5:$G$500,"O")</f>
      </c>
      <c r="O13" s="74"/>
      <c r="P13" s="74"/>
      <c r="Q13" s="74"/>
      <c r="R13" s="74">
        <f>SUMIFS('Détail fonctionnement'!$E$5:$E$500,'Détail fonctionnement'!$A$5:$A$500,"S1",'Détail fonctionnement'!$B$5:$B$500,"IMMONEUF",'Détail fonctionnement'!$C$5:$C$500,"SALAIRES",'Détail fonctionnement'!$G$5:$G$500,"O")</f>
      </c>
      <c r="S13" s="74"/>
      <c r="T13" s="74"/>
      <c r="U13" s="74">
        <f>SUMIFS('Détail fonctionnement'!$E$5:$E$500,'Détail fonctionnement'!$A$5:$A$500,"S1",'Détail fonctionnement'!$B$5:$B$500,"FINAFRICA",'Détail fonctionnement'!$C$5:$C$500,"SALAIRES",'Détail fonctionnement'!$G$5:$G$500,"O")</f>
      </c>
      <c r="V13" s="74"/>
      <c r="W13" s="74">
        <f>SUMIFS('Détail fonctionnement'!$E$5:$E$500,'Détail fonctionnement'!$A$5:$A$500,"S1",'Détail fonctionnement'!$B$5:$B$500,"INFI SOFT",'Détail fonctionnement'!$C$5:$C$500,"SALAIRES",'Détail fonctionnement'!$G$5:$G$500,"O")</f>
      </c>
      <c r="X13" s="74">
        <f>SUMIFS('Détail fonctionnement'!$E$5:$E$500,'Détail fonctionnement'!$A$5:$A$500,"S1",'Détail fonctionnement'!$B$5:$B$500,"ODALYS CI",'Détail fonctionnement'!$C$5:$C$500,"SALAIRES",'Détail fonctionnement'!$G$5:$G$500,"O")</f>
      </c>
      <c r="Y13" s="74">
        <f>SUMIFS('Détail fonctionnement'!$E$5:$E$500,'Détail fonctionnement'!$A$5:$A$500,"S1",'Détail fonctionnement'!$B$5:$B$500,"AB CENTER",'Détail fonctionnement'!$C$5:$C$500,"SALAIRES",'Détail fonctionnement'!$G$5:$G$500,"O")</f>
      </c>
      <c r="Z13" s="74"/>
      <c r="AA13" s="74">
        <f>SUMIFS('Détail fonctionnement'!$E$5:$E$500,'Détail fonctionnement'!$A$5:$A$500,"S1",'Détail fonctionnement'!$B$5:$B$500,"RHD CI",'Détail fonctionnement'!$C$5:$C$500,"SALAIRES",'Détail fonctionnement'!$G$5:$G$500,"O")</f>
      </c>
      <c r="AB13" s="73" t="s">
        <v>18</v>
      </c>
    </row>
    <row r="14" spans="1:28" x14ac:dyDescent="0.25">
      <c r="A14" s="49" t="s">
        <v>156</v>
      </c>
      <c r="B14" s="72"/>
      <c r="C14" s="72">
        <f>SUMIFS('Détail fonctionnement'!$E$5:$E$500,'Détail fonctionnement'!$A$5:$A$500,"S1",'Détail fonctionnement'!$B$5:$B$500,"TERASSON",'Détail fonctionnement'!$C$5:$C$500,"REMBOURSEMENT DE PRÊTS",'Détail fonctionnement'!$G$5:$G$500,"O")</f>
      </c>
      <c r="D14" s="72"/>
      <c r="E14" s="72">
        <f>SUMIFS('Détail fonctionnement'!$E$5:$E$500,'Détail fonctionnement'!$A$5:$A$500,"S1",'Détail fonctionnement'!$B$5:$B$500,"PICI",'Détail fonctionnement'!$C$5:$C$500,"REMBOURSEMENT DE PRÊTS",'Détail fonctionnement'!$G$5:$G$500,"O")</f>
      </c>
      <c r="F14" s="72"/>
      <c r="G14" s="72"/>
      <c r="H14" s="72">
        <f>SUMIFS('Détail fonctionnement'!$E$5:$E$500,'Détail fonctionnement'!$A$5:$A$500,"S1",'Détail fonctionnement'!$B$5:$B$500,"FIRST",'Détail fonctionnement'!$C$5:$C$500,"REMBOURSEMENT DE PRÊTS",'Détail fonctionnement'!$G$5:$G$500,"O")</f>
      </c>
      <c r="I14" s="72"/>
      <c r="J14" s="72"/>
      <c r="K14" s="72"/>
      <c r="L14" s="72">
        <f>SUMIFS('Détail fonctionnement'!$E$5:$E$500,'Détail fonctionnement'!$A$5:$A$500,"S1",'Détail fonctionnement'!$B$5:$B$500,"RIVIERA",'Détail fonctionnement'!$C$5:$C$500,"REMBOURSEMENT DE PRÊTS",'Détail fonctionnement'!$G$5:$G$500,"O")</f>
      </c>
      <c r="M14" s="72"/>
      <c r="N14" s="72">
        <f>SUMIFS('Détail fonctionnement'!$E$5:$E$500,'Détail fonctionnement'!$A$5:$A$500,"S1",'Détail fonctionnement'!$B$5:$B$500,"SCO AO",'Détail fonctionnement'!$C$5:$C$500,"REMBOURSEMENT DE PRÊTS",'Détail fonctionnement'!$G$5:$G$500,"O")</f>
      </c>
      <c r="O14" s="72"/>
      <c r="P14" s="72"/>
      <c r="Q14" s="72"/>
      <c r="R14" s="72">
        <f>SUMIFS('Détail fonctionnement'!$E$5:$E$500,'Détail fonctionnement'!$A$5:$A$500,"S1",'Détail fonctionnement'!$B$5:$B$500,"IMMONEUF",'Détail fonctionnement'!$C$5:$C$500,"REMBOURSEMENT DE PRÊTS",'Détail fonctionnement'!$G$5:$G$500,"O")</f>
      </c>
      <c r="S14" s="72"/>
      <c r="T14" s="72"/>
      <c r="U14" s="72">
        <f>SUMIFS('Détail fonctionnement'!$E$5:$E$500,'Détail fonctionnement'!$A$5:$A$500,"S1",'Détail fonctionnement'!$B$5:$B$500,"FINAFRICA",'Détail fonctionnement'!$C$5:$C$500,"REMBOURSEMENT DE PRÊTS",'Détail fonctionnement'!$G$5:$G$500,"O")</f>
      </c>
      <c r="V14" s="72"/>
      <c r="W14" s="72">
        <f>SUMIFS('Détail fonctionnement'!$E$5:$E$500,'Détail fonctionnement'!$A$5:$A$500,"S1",'Détail fonctionnement'!$B$5:$B$500,"INFI SOFT",'Détail fonctionnement'!$C$5:$C$500,"REMBOURSEMENT DE PRÊTS",'Détail fonctionnement'!$G$5:$G$500,"O")</f>
      </c>
      <c r="X14" s="72">
        <f>SUMIFS('Détail fonctionnement'!$E$5:$E$500,'Détail fonctionnement'!$A$5:$A$500,"S1",'Détail fonctionnement'!$B$5:$B$500,"ODALYS CI",'Détail fonctionnement'!$C$5:$C$500,"REMBOURSEMENT DE PRÊTS",'Détail fonctionnement'!$G$5:$G$500,"O")</f>
      </c>
      <c r="Y14" s="72">
        <f>SUMIFS('Détail fonctionnement'!$E$5:$E$500,'Détail fonctionnement'!$A$5:$A$500,"S1",'Détail fonctionnement'!$B$5:$B$500,"AB CENTER",'Détail fonctionnement'!$C$5:$C$500,"REMBOURSEMENT DE PRÊTS",'Détail fonctionnement'!$G$5:$G$500,"O")</f>
      </c>
      <c r="Z14" s="72"/>
      <c r="AA14" s="72">
        <f>SUMIFS('Détail fonctionnement'!$E$5:$E$500,'Détail fonctionnement'!$A$5:$A$500,"S1",'Détail fonctionnement'!$B$5:$B$500,"RHD CI",'Détail fonctionnement'!$C$5:$C$500,"REMBOURSEMENT DE PRÊTS",'Détail fonctionnement'!$G$5:$G$500,"O")</f>
      </c>
      <c r="AB14" s="73" t="s">
        <v>157</v>
      </c>
    </row>
    <row r="15" spans="1:28" x14ac:dyDescent="0.25">
      <c r="A15" s="49" t="s">
        <v>158</v>
      </c>
      <c r="B15" s="72"/>
      <c r="C15" s="72">
        <f>SUMIFS('Détail fonctionnement'!$E$5:$E$500,'Détail fonctionnement'!$A$5:$A$500,"S1",'Détail fonctionnement'!$B$5:$B$500,"TERASSON",'Détail fonctionnement'!$C$5:$C$500,"AUTRES DÉCAISSEMENTS",'Détail fonctionnement'!$G$5:$G$500,"O")+SUMIFS('Détail fonctionnement'!$E$5:$E$500,'Détail fonctionnement'!$A$5:$A$500,"S1",'Détail fonctionnement'!$B$5:$B$500,"TERASSON",'Détail fonctionnement'!$C$5:$C$500,"ENCAISSEMENTS",'Détail fonctionnement'!$G$5:$G$500,"O")</f>
      </c>
      <c r="D15" s="72"/>
      <c r="E15" s="72">
        <f>SUMIFS('Détail fonctionnement'!$E$5:$E$500,'Détail fonctionnement'!$A$5:$A$500,"S1",'Détail fonctionnement'!$B$5:$B$500,"PICI",'Détail fonctionnement'!$C$5:$C$500,"AUTRES DÉCAISSEMENTS",'Détail fonctionnement'!$G$5:$G$500,"O")+SUMIFS('Détail fonctionnement'!$E$5:$E$500,'Détail fonctionnement'!$A$5:$A$500,"S1",'Détail fonctionnement'!$B$5:$B$500,"PICI",'Détail fonctionnement'!$C$5:$C$500,"ENCAISSEMENTS",'Détail fonctionnement'!$G$5:$G$500,"O")</f>
      </c>
      <c r="F15" s="72"/>
      <c r="G15" s="72"/>
      <c r="H15" s="72">
        <f>SUMIFS('Détail fonctionnement'!$E$5:$E$500,'Détail fonctionnement'!$A$5:$A$500,"S1",'Détail fonctionnement'!$B$5:$B$500,"FIRST",'Détail fonctionnement'!$C$5:$C$500,"AUTRES DÉCAISSEMENTS",'Détail fonctionnement'!$G$5:$G$500,"O")+SUMIFS('Détail fonctionnement'!$E$5:$E$500,'Détail fonctionnement'!$A$5:$A$500,"S1",'Détail fonctionnement'!$B$5:$B$500,"FIRST",'Détail fonctionnement'!$C$5:$C$500,"ENCAISSEMENTS",'Détail fonctionnement'!$G$5:$G$500,"O")</f>
      </c>
      <c r="I15" s="72"/>
      <c r="J15" s="72"/>
      <c r="K15" s="72"/>
      <c r="L15" s="72">
        <f>SUMIFS('Détail fonctionnement'!$E$5:$E$500,'Détail fonctionnement'!$A$5:$A$500,"S1",'Détail fonctionnement'!$B$5:$B$500,"RIVIERA",'Détail fonctionnement'!$C$5:$C$500,"AUTRES DÉCAISSEMENTS",'Détail fonctionnement'!$G$5:$G$500,"O")+SUMIFS('Détail fonctionnement'!$E$5:$E$500,'Détail fonctionnement'!$A$5:$A$500,"S1",'Détail fonctionnement'!$B$5:$B$500,"RIVIERA",'Détail fonctionnement'!$C$5:$C$500,"ENCAISSEMENTS",'Détail fonctionnement'!$G$5:$G$500,"O")</f>
      </c>
      <c r="M15" s="72"/>
      <c r="N15" s="72">
        <f>SUMIFS('Détail fonctionnement'!$E$5:$E$500,'Détail fonctionnement'!$A$5:$A$500,"S1",'Détail fonctionnement'!$B$5:$B$500,"SCO AO",'Détail fonctionnement'!$C$5:$C$500,"AUTRES DÉCAISSEMENTS",'Détail fonctionnement'!$G$5:$G$500,"O")+SUMIFS('Détail fonctionnement'!$E$5:$E$500,'Détail fonctionnement'!$A$5:$A$500,"S1",'Détail fonctionnement'!$B$5:$B$500,"SCO AO",'Détail fonctionnement'!$C$5:$C$500,"ENCAISSEMENTS",'Détail fonctionnement'!$G$5:$G$500,"O")</f>
      </c>
      <c r="O15" s="72"/>
      <c r="P15" s="72"/>
      <c r="Q15" s="72"/>
      <c r="R15" s="72">
        <f>SUMIFS('Détail fonctionnement'!$E$5:$E$500,'Détail fonctionnement'!$A$5:$A$500,"S1",'Détail fonctionnement'!$B$5:$B$500,"IMMONEUF",'Détail fonctionnement'!$C$5:$C$500,"AUTRES DÉCAISSEMENTS",'Détail fonctionnement'!$G$5:$G$500,"O")+SUMIFS('Détail fonctionnement'!$E$5:$E$500,'Détail fonctionnement'!$A$5:$A$500,"S1",'Détail fonctionnement'!$B$5:$B$500,"IMMONEUF",'Détail fonctionnement'!$C$5:$C$500,"ENCAISSEMENTS",'Détail fonctionnement'!$G$5:$G$500,"O")</f>
      </c>
      <c r="S15" s="72"/>
      <c r="T15" s="72"/>
      <c r="U15" s="72">
        <f>SUMIFS('Détail fonctionnement'!$E$5:$E$500,'Détail fonctionnement'!$A$5:$A$500,"S1",'Détail fonctionnement'!$B$5:$B$500,"FINAFRICA",'Détail fonctionnement'!$C$5:$C$500,"AUTRES DÉCAISSEMENTS",'Détail fonctionnement'!$G$5:$G$500,"O")+SUMIFS('Détail fonctionnement'!$E$5:$E$500,'Détail fonctionnement'!$A$5:$A$500,"S1",'Détail fonctionnement'!$B$5:$B$500,"FINAFRICA",'Détail fonctionnement'!$C$5:$C$500,"ENCAISSEMENTS",'Détail fonctionnement'!$G$5:$G$500,"O")</f>
      </c>
      <c r="V15" s="72"/>
      <c r="W15" s="72">
        <f>SUMIFS('Détail fonctionnement'!$E$5:$E$500,'Détail fonctionnement'!$A$5:$A$500,"S1",'Détail fonctionnement'!$B$5:$B$500,"INFI SOFT",'Détail fonctionnement'!$C$5:$C$500,"AUTRES DÉCAISSEMENTS",'Détail fonctionnement'!$G$5:$G$500,"O")+SUMIFS('Détail fonctionnement'!$E$5:$E$500,'Détail fonctionnement'!$A$5:$A$500,"S1",'Détail fonctionnement'!$B$5:$B$500,"INFI SOFT",'Détail fonctionnement'!$C$5:$C$500,"ENCAISSEMENTS",'Détail fonctionnement'!$G$5:$G$500,"O")</f>
      </c>
      <c r="X15" s="72">
        <f>SUMIFS('Détail fonctionnement'!$E$5:$E$500,'Détail fonctionnement'!$A$5:$A$500,"S1",'Détail fonctionnement'!$B$5:$B$500,"ODALYS CI",'Détail fonctionnement'!$C$5:$C$500,"AUTRES DÉCAISSEMENTS",'Détail fonctionnement'!$G$5:$G$500,"O")+SUMIFS('Détail fonctionnement'!$E$5:$E$500,'Détail fonctionnement'!$A$5:$A$500,"S1",'Détail fonctionnement'!$B$5:$B$500,"ODALYS CI",'Détail fonctionnement'!$C$5:$C$500,"ENCAISSEMENTS",'Détail fonctionnement'!$G$5:$G$500,"O")</f>
      </c>
      <c r="Y15" s="72">
        <f>SUMIFS('Détail fonctionnement'!$E$5:$E$500,'Détail fonctionnement'!$A$5:$A$500,"S1",'Détail fonctionnement'!$B$5:$B$500,"AB CENTER",'Détail fonctionnement'!$C$5:$C$500,"AUTRES DÉCAISSEMENTS",'Détail fonctionnement'!$G$5:$G$500,"O")+SUMIFS('Détail fonctionnement'!$E$5:$E$500,'Détail fonctionnement'!$A$5:$A$500,"S1",'Détail fonctionnement'!$B$5:$B$500,"AB CENTER",'Détail fonctionnement'!$C$5:$C$500,"ENCAISSEMENTS",'Détail fonctionnement'!$G$5:$G$500,"O")</f>
      </c>
      <c r="Z15" s="72"/>
      <c r="AA15" s="72">
        <f>SUMIFS('Détail fonctionnement'!$E$5:$E$500,'Détail fonctionnement'!$A$5:$A$500,"S1",'Détail fonctionnement'!$B$5:$B$500,"RHD CI",'Détail fonctionnement'!$C$5:$C$500,"AUTRES DÉCAISSEMENTS",'Détail fonctionnement'!$G$5:$G$500,"O")+SUMIFS('Détail fonctionnement'!$E$5:$E$500,'Détail fonctionnement'!$A$5:$A$500,"S1",'Détail fonctionnement'!$B$5:$B$500,"RHD CI",'Détail fonctionnement'!$C$5:$C$500,"ENCAISSEMENTS",'Détail fonctionnement'!$G$5:$G$500,"O")</f>
      </c>
      <c r="AB15" s="73" t="s">
        <v>18</v>
      </c>
    </row>
    <row r="16" spans="1:28" x14ac:dyDescent="0.25">
      <c r="A16" s="49" t="s">
        <v>159</v>
      </c>
      <c r="B16" s="72"/>
      <c r="C16" s="72">
        <f>SUMIFS('Détail fonctionnement'!$E$5:$E$500,'Détail fonctionnement'!$A$5:$A$500,"S1",'Détail fonctionnement'!$B$5:$B$500,"TERASSON",'Détail fonctionnement'!$C$5:$C$500,"ENREGISTREMENTS",'Détail fonctionnement'!$G$5:$G$500,"O")</f>
      </c>
      <c r="D16" s="72"/>
      <c r="E16" s="72">
        <f>SUMIFS('Détail fonctionnement'!$E$5:$E$500,'Détail fonctionnement'!$A$5:$A$500,"S1",'Détail fonctionnement'!$B$5:$B$500,"PICI",'Détail fonctionnement'!$C$5:$C$500,"ENREGISTREMENTS",'Détail fonctionnement'!$G$5:$G$500,"O")</f>
      </c>
      <c r="F16" s="72"/>
      <c r="G16" s="72"/>
      <c r="H16" s="72">
        <f>SUMIFS('Détail fonctionnement'!$E$5:$E$500,'Détail fonctionnement'!$A$5:$A$500,"S1",'Détail fonctionnement'!$B$5:$B$500,"FIRST",'Détail fonctionnement'!$C$5:$C$500,"ENREGISTREMENTS",'Détail fonctionnement'!$G$5:$G$500,"O")</f>
      </c>
      <c r="I16" s="72"/>
      <c r="J16" s="72"/>
      <c r="K16" s="72"/>
      <c r="L16" s="72">
        <f>SUMIFS('Détail fonctionnement'!$E$5:$E$500,'Détail fonctionnement'!$A$5:$A$500,"S1",'Détail fonctionnement'!$B$5:$B$500,"RIVIERA",'Détail fonctionnement'!$C$5:$C$500,"ENREGISTREMENTS",'Détail fonctionnement'!$G$5:$G$500,"O")</f>
      </c>
      <c r="M16" s="72"/>
      <c r="N16" s="72">
        <f>SUMIFS('Détail fonctionnement'!$E$5:$E$500,'Détail fonctionnement'!$A$5:$A$500,"S1",'Détail fonctionnement'!$B$5:$B$500,"SCO AO",'Détail fonctionnement'!$C$5:$C$500,"ENREGISTREMENTS",'Détail fonctionnement'!$G$5:$G$500,"O")</f>
      </c>
      <c r="O16" s="72"/>
      <c r="P16" s="72"/>
      <c r="Q16" s="72"/>
      <c r="R16" s="72">
        <f>SUMIFS('Détail fonctionnement'!$E$5:$E$500,'Détail fonctionnement'!$A$5:$A$500,"S1",'Détail fonctionnement'!$B$5:$B$500,"IMMONEUF",'Détail fonctionnement'!$C$5:$C$500,"ENREGISTREMENTS",'Détail fonctionnement'!$G$5:$G$500,"O")</f>
      </c>
      <c r="S16" s="72"/>
      <c r="T16" s="72"/>
      <c r="U16" s="72">
        <f>SUMIFS('Détail fonctionnement'!$E$5:$E$500,'Détail fonctionnement'!$A$5:$A$500,"S1",'Détail fonctionnement'!$B$5:$B$500,"FINAFRICA",'Détail fonctionnement'!$C$5:$C$500,"ENREGISTREMENTS",'Détail fonctionnement'!$G$5:$G$500,"O")</f>
      </c>
      <c r="V16" s="72"/>
      <c r="W16" s="72">
        <f>SUMIFS('Détail fonctionnement'!$E$5:$E$500,'Détail fonctionnement'!$A$5:$A$500,"S1",'Détail fonctionnement'!$B$5:$B$500,"INFI SOFT",'Détail fonctionnement'!$C$5:$C$500,"ENREGISTREMENTS",'Détail fonctionnement'!$G$5:$G$500,"O")</f>
      </c>
      <c r="X16" s="72">
        <f>SUMIFS('Détail fonctionnement'!$E$5:$E$500,'Détail fonctionnement'!$A$5:$A$500,"S1",'Détail fonctionnement'!$B$5:$B$500,"ODALYS CI",'Détail fonctionnement'!$C$5:$C$500,"ENREGISTREMENTS",'Détail fonctionnement'!$G$5:$G$500,"O")</f>
      </c>
      <c r="Y16" s="72">
        <f>SUMIFS('Détail fonctionnement'!$E$5:$E$500,'Détail fonctionnement'!$A$5:$A$500,"S1",'Détail fonctionnement'!$B$5:$B$500,"AB CENTER",'Détail fonctionnement'!$C$5:$C$500,"ENREGISTREMENTS",'Détail fonctionnement'!$G$5:$G$500,"O")</f>
      </c>
      <c r="Z16" s="72"/>
      <c r="AA16" s="72">
        <f>SUMIFS('Détail fonctionnement'!$E$5:$E$500,'Détail fonctionnement'!$A$5:$A$500,"S1",'Détail fonctionnement'!$B$5:$B$500,"RHD CI",'Détail fonctionnement'!$C$5:$C$500,"ENREGISTREMENTS",'Détail fonctionnement'!$G$5:$G$500,"O")</f>
      </c>
      <c r="AB16" s="73" t="s">
        <v>160</v>
      </c>
    </row>
    <row r="17" spans="1:27" x14ac:dyDescent="0.25">
      <c r="A17" s="75" t="s">
        <v>161</v>
      </c>
      <c r="B17" s="76">
        <f>SUM(B7:B16)</f>
      </c>
      <c r="C17" s="76">
        <f>SUM(C7:C16)</f>
      </c>
      <c r="D17" s="76">
        <f>SUM(D7:D16)</f>
      </c>
      <c r="E17" s="76">
        <f>SUM(E7:E16)</f>
      </c>
      <c r="F17" s="76">
        <f>SUM(F7:F16)</f>
      </c>
      <c r="G17" s="76">
        <f>SUM(G7:G16)</f>
      </c>
      <c r="H17" s="76">
        <f>SUM(H7:H16)</f>
      </c>
      <c r="I17" s="76">
        <f>SUM(I7:I16)</f>
      </c>
      <c r="J17" s="76">
        <f>SUM(J7:J16)</f>
      </c>
      <c r="K17" s="76">
        <f>SUM(K7:K16)</f>
      </c>
      <c r="L17" s="76">
        <f>SUM(L7:L16)</f>
      </c>
      <c r="M17" s="76">
        <f>SUM(M7:M16)</f>
      </c>
      <c r="N17" s="76">
        <f>SUM(N7:N16)</f>
      </c>
      <c r="O17" s="76">
        <f>SUM(O7:O16)</f>
      </c>
      <c r="P17" s="76">
        <f>SUM(P7:P16)</f>
      </c>
      <c r="Q17" s="76">
        <f>SUM(Q7:Q16)</f>
      </c>
      <c r="R17" s="76">
        <f>SUM(R7:R16)</f>
      </c>
      <c r="S17" s="76">
        <f>SUM(S7:S16)</f>
      </c>
      <c r="T17" s="76">
        <f>SUM(T7:T16)</f>
      </c>
      <c r="U17" s="76">
        <f>SUM(U7:U16)</f>
      </c>
      <c r="V17" s="76">
        <f>SUM(V7:V16)</f>
      </c>
      <c r="W17" s="76">
        <f>SUM(W7:W16)</f>
      </c>
      <c r="X17" s="76">
        <f>SUM(X7:X16)</f>
      </c>
      <c r="Y17" s="76">
        <f>SUM(Y7:Y16)</f>
      </c>
      <c r="Z17" s="76">
        <f>SUM(Z7:Z16)</f>
      </c>
      <c r="AA17" s="76">
        <f>SUM(AA7:AA16)</f>
      </c>
    </row>
    <row r="18" spans="1:27" x14ac:dyDescent="0.25">
      <c r="A18" s="77" t="s">
        <v>162</v>
      </c>
      <c r="B18" s="78">
        <f>'Position CI 30-09'!F29</f>
      </c>
      <c r="C18" s="78">
        <f>'Position CI 30-09'!F10</f>
      </c>
      <c r="D18" s="78">
        <f>'Position CI 30-09'!F11</f>
      </c>
      <c r="E18" s="78">
        <f>'Position CI 30-09'!F7</f>
      </c>
      <c r="F18" s="78">
        <f>'Position CI 30-09'!F6</f>
      </c>
      <c r="G18" s="78">
        <f>'Position CI 30-09'!F5</f>
      </c>
      <c r="H18" s="78">
        <f>'Position CI 30-09'!F9</f>
      </c>
      <c r="I18" s="78">
        <f>'Position CI 30-09'!F8</f>
      </c>
      <c r="J18" s="78">
        <f>'Position CI 30-09'!F28</f>
      </c>
      <c r="K18" s="78">
        <f>'Position CI 30-09'!F13</f>
      </c>
      <c r="L18" s="78">
        <f>'Position CI 30-09'!F12</f>
      </c>
      <c r="M18" s="78">
        <f>'Position CI 30-09'!F16</f>
      </c>
      <c r="N18" s="78">
        <f>'Position CI 30-09'!F15</f>
      </c>
      <c r="O18" s="78">
        <f>'Position CI 30-09'!F14</f>
      </c>
      <c r="P18" s="78">
        <f>'Position CI 30-09'!F17</f>
      </c>
      <c r="Q18" s="78">
        <f>'Position CI 30-09'!F18</f>
      </c>
      <c r="R18" s="78">
        <f>'Position CI 30-09'!F23</f>
      </c>
      <c r="S18" s="78">
        <f>'Position CI 30-09'!F25</f>
      </c>
      <c r="T18" s="78">
        <f>'Position CI 30-09'!F24</f>
      </c>
      <c r="U18" s="78">
        <f>'Position CI 30-09'!F19</f>
      </c>
      <c r="V18" s="78">
        <f>'Position CI 30-09'!F20</f>
      </c>
      <c r="W18" s="78">
        <f>'Position CI 30-09'!F26</f>
      </c>
      <c r="X18" s="78">
        <f>'Position CI 30-09'!F27</f>
      </c>
      <c r="Y18" s="78">
        <f>'Position CI 30-09'!F22</f>
      </c>
      <c r="Z18" s="78">
        <f>'Position CI 30-09'!F21</f>
      </c>
      <c r="AA18" s="78">
        <v>0</v>
      </c>
    </row>
    <row r="19" spans="1:27" x14ac:dyDescent="0.25">
      <c r="A19" s="75" t="s">
        <v>163</v>
      </c>
      <c r="B19" s="76">
        <f>B17+B18</f>
      </c>
      <c r="C19" s="76">
        <f>C17+C18</f>
      </c>
      <c r="D19" s="76">
        <f>D17+D18</f>
      </c>
      <c r="E19" s="76">
        <f>E17+E18</f>
      </c>
      <c r="F19" s="76">
        <f>F17+F18</f>
      </c>
      <c r="G19" s="76">
        <f>G17+G18</f>
      </c>
      <c r="H19" s="76">
        <f>H17+H18</f>
      </c>
      <c r="I19" s="76">
        <f>I17+I18</f>
      </c>
      <c r="J19" s="76">
        <f>J17+J18</f>
      </c>
      <c r="K19" s="76">
        <f>K17+K18</f>
      </c>
      <c r="L19" s="76">
        <f>L17+L18</f>
      </c>
      <c r="M19" s="76">
        <f>M17+M18</f>
      </c>
      <c r="N19" s="76">
        <f>N17+N18</f>
      </c>
      <c r="O19" s="76">
        <f>O17+O18</f>
      </c>
      <c r="P19" s="76">
        <f>P17+P18</f>
      </c>
      <c r="Q19" s="76">
        <f>Q17+Q18</f>
      </c>
      <c r="R19" s="76">
        <f>R17+R18</f>
      </c>
      <c r="S19" s="76">
        <f>S17+S18</f>
      </c>
      <c r="T19" s="76">
        <f>T17+T18</f>
      </c>
      <c r="U19" s="76">
        <f>U17+U18</f>
      </c>
      <c r="V19" s="76">
        <f>V17+V18</f>
      </c>
      <c r="W19" s="76">
        <f>W17+W18</f>
      </c>
      <c r="X19" s="76">
        <f>X17+X18</f>
      </c>
      <c r="Y19" s="76">
        <f>Y17+Y18</f>
      </c>
      <c r="Z19" s="76">
        <f>Z17+Z18</f>
      </c>
      <c r="AA19" s="76">
        <f>AA17+AA18</f>
      </c>
    </row>
    <row r="20" spans="1:28" x14ac:dyDescent="0.25">
      <c r="A20" s="75" t="s">
        <v>164</v>
      </c>
      <c r="B20" s="76">
        <f>IF(B19&lt;0,-B19,0)</f>
      </c>
      <c r="C20" s="76">
        <f>IF(C19&lt;0,-C19,0)</f>
      </c>
      <c r="D20" s="76">
        <f>IF(D19&lt;0,-D19,0)</f>
      </c>
      <c r="E20" s="76">
        <f>IF(E19&lt;0,-E19,0)</f>
      </c>
      <c r="F20" s="76">
        <f>IF(F19&lt;0,-F19,0)</f>
      </c>
      <c r="G20" s="76">
        <f>IF(G19&lt;0,-G19,0)</f>
      </c>
      <c r="H20" s="76">
        <f>IF(H19&lt;0,-H19,0)</f>
      </c>
      <c r="I20" s="76">
        <f>IF(I19&lt;0,-I19,0)</f>
      </c>
      <c r="J20" s="76">
        <f>IF(J19&lt;0,-J19,0)</f>
      </c>
      <c r="K20" s="76">
        <f>IF(K19&lt;0,-K19,0)</f>
      </c>
      <c r="L20" s="76">
        <f>IF(L19&lt;0,-L19,0)</f>
      </c>
      <c r="M20" s="76">
        <f>IF(M19&lt;0,-M19,0)</f>
      </c>
      <c r="N20" s="76">
        <f>IF(N19&lt;0,-N19,0)</f>
      </c>
      <c r="O20" s="76">
        <f>IF(O19&lt;0,-O19,0)</f>
      </c>
      <c r="P20" s="76">
        <f>IF(P19&lt;0,-P19,0)</f>
      </c>
      <c r="Q20" s="76">
        <f>IF(Q19&lt;0,-Q19,0)</f>
      </c>
      <c r="R20" s="76">
        <f>IF(R19&lt;0,-R19,0)</f>
      </c>
      <c r="S20" s="76">
        <f>IF(S19&lt;0,-S19,0)</f>
      </c>
      <c r="T20" s="76">
        <f>IF(T19&lt;0,-T19,0)</f>
      </c>
      <c r="U20" s="76">
        <f>IF(U19&lt;0,-U19,0)</f>
      </c>
      <c r="V20" s="76">
        <f>IF(V19&lt;0,-V19,0)</f>
      </c>
      <c r="W20" s="76">
        <f>IF(W19&lt;0,-W19,0)</f>
      </c>
      <c r="X20" s="76">
        <f>IF(X19&lt;0,-X19,0)</f>
      </c>
      <c r="Y20" s="76">
        <f>IF(Y19&lt;0,-Y19,0)</f>
      </c>
      <c r="Z20" s="76">
        <f>IF(Z19&lt;0,-Z19,0)</f>
      </c>
      <c r="AA20" s="76">
        <f>IF(AA19&lt;0,-AA19,0)</f>
      </c>
      <c r="AB20" s="79">
        <f>SUM(B20:AA20)</f>
      </c>
    </row>
    <row r="23" spans="1:1" x14ac:dyDescent="0.25">
      <c r="A23" s="2" t="s">
        <v>165</v>
      </c>
    </row>
    <row r="24" spans="1:12" x14ac:dyDescent="0.25">
      <c r="A24" s="80" t="s">
        <v>166</v>
      </c>
      <c r="B24" s="80" t="s">
        <v>167</v>
      </c>
      <c r="C24" s="80" t="s">
        <v>168</v>
      </c>
      <c r="D24" s="80"/>
      <c r="E24" s="80" t="s">
        <v>169</v>
      </c>
      <c r="F24" s="80"/>
      <c r="G24" s="81"/>
      <c r="H24" s="82" t="s">
        <v>170</v>
      </c>
      <c r="I24" s="80" t="s">
        <v>171</v>
      </c>
      <c r="J24" s="80"/>
      <c r="K24" s="80"/>
      <c r="L24" s="80"/>
    </row>
    <row r="25" spans="1:12" x14ac:dyDescent="0.25">
      <c r="A25" s="49" t="s">
        <v>150</v>
      </c>
      <c r="B25" s="49">
        <v>1</v>
      </c>
      <c r="C25" s="49" t="s">
        <v>172</v>
      </c>
      <c r="D25" s="49"/>
      <c r="E25" s="49" t="s">
        <v>173</v>
      </c>
      <c r="F25" s="49"/>
      <c r="G25" s="83"/>
      <c r="H25" s="84">
        <v>500000000</v>
      </c>
      <c r="I25" s="49"/>
      <c r="J25" s="49"/>
      <c r="K25" s="49"/>
      <c r="L25" s="49"/>
    </row>
    <row r="26" spans="1:12" x14ac:dyDescent="0.25">
      <c r="A26" s="49"/>
      <c r="B26" s="49"/>
      <c r="C26" s="49"/>
      <c r="D26" s="49"/>
      <c r="E26" s="49"/>
      <c r="F26" s="49"/>
      <c r="G26" s="83"/>
      <c r="H26" s="84"/>
      <c r="I26" s="49"/>
      <c r="J26" s="49"/>
      <c r="K26" s="49"/>
      <c r="L26" s="49"/>
    </row>
    <row r="27" spans="1:12" x14ac:dyDescent="0.25">
      <c r="A27" s="49"/>
      <c r="B27" s="49"/>
      <c r="C27" s="49"/>
      <c r="D27" s="49"/>
      <c r="E27" s="49"/>
      <c r="F27" s="49"/>
      <c r="G27" s="83"/>
      <c r="H27" s="84"/>
      <c r="I27" s="49"/>
      <c r="J27" s="49"/>
      <c r="K27" s="49"/>
      <c r="L27" s="49"/>
    </row>
    <row r="28" spans="1:12" x14ac:dyDescent="0.25">
      <c r="A28" s="49"/>
      <c r="B28" s="49"/>
      <c r="C28" s="49"/>
      <c r="D28" s="49"/>
      <c r="E28" s="49"/>
      <c r="F28" s="49"/>
      <c r="G28" s="83"/>
      <c r="H28" s="84"/>
      <c r="I28" s="49"/>
      <c r="J28" s="49"/>
      <c r="K28" s="49"/>
      <c r="L28" s="49"/>
    </row>
    <row r="29" spans="1:12" x14ac:dyDescent="0.25">
      <c r="A29" s="49"/>
      <c r="B29" s="49"/>
      <c r="C29" s="49"/>
      <c r="D29" s="49"/>
      <c r="E29" s="49"/>
      <c r="F29" s="49"/>
      <c r="G29" s="83"/>
      <c r="H29" s="84"/>
      <c r="I29" s="49"/>
      <c r="J29" s="49"/>
      <c r="K29" s="49"/>
      <c r="L29" s="49"/>
    </row>
    <row r="30" spans="1:12" x14ac:dyDescent="0.25">
      <c r="A30" s="49"/>
      <c r="B30" s="49"/>
      <c r="C30" s="49"/>
      <c r="D30" s="49"/>
      <c r="E30" s="49"/>
      <c r="F30" s="49"/>
      <c r="G30" s="83"/>
      <c r="H30" s="84"/>
      <c r="I30" s="49"/>
      <c r="J30" s="49"/>
      <c r="K30" s="49"/>
      <c r="L30" s="49"/>
    </row>
    <row r="31" spans="1:12" x14ac:dyDescent="0.25">
      <c r="A31" s="49"/>
      <c r="B31" s="49"/>
      <c r="C31" s="49"/>
      <c r="D31" s="49"/>
      <c r="E31" s="49"/>
      <c r="F31" s="49"/>
      <c r="G31" s="83"/>
      <c r="H31" s="84"/>
      <c r="I31" s="49"/>
      <c r="J31" s="49"/>
      <c r="K31" s="49"/>
      <c r="L31" s="49"/>
    </row>
    <row r="32" spans="1:12" x14ac:dyDescent="0.25">
      <c r="A32" s="49"/>
      <c r="B32" s="49"/>
      <c r="C32" s="49"/>
      <c r="D32" s="49"/>
      <c r="E32" s="49"/>
      <c r="F32" s="49"/>
      <c r="G32" s="83"/>
      <c r="H32" s="84"/>
      <c r="I32" s="49"/>
      <c r="J32" s="49"/>
      <c r="K32" s="49"/>
      <c r="L32" s="49"/>
    </row>
    <row r="33" spans="1:12" x14ac:dyDescent="0.25">
      <c r="A33" s="49"/>
      <c r="B33" s="49"/>
      <c r="C33" s="49"/>
      <c r="D33" s="49"/>
      <c r="E33" s="49"/>
      <c r="F33" s="49"/>
      <c r="G33" s="83"/>
      <c r="H33" s="84"/>
      <c r="I33" s="49"/>
      <c r="J33" s="49"/>
      <c r="K33" s="49"/>
      <c r="L33" s="49"/>
    </row>
    <row r="34" spans="1:12" x14ac:dyDescent="0.25">
      <c r="A34" s="49"/>
      <c r="B34" s="49"/>
      <c r="C34" s="49"/>
      <c r="D34" s="49"/>
      <c r="E34" s="49"/>
      <c r="F34" s="49"/>
      <c r="G34" s="83"/>
      <c r="H34" s="84"/>
      <c r="I34" s="49"/>
      <c r="J34" s="49"/>
      <c r="K34" s="49"/>
      <c r="L34" s="49"/>
    </row>
    <row r="35" spans="1:12" x14ac:dyDescent="0.25">
      <c r="A35" s="49"/>
      <c r="B35" s="49"/>
      <c r="C35" s="49"/>
      <c r="D35" s="49"/>
      <c r="E35" s="49"/>
      <c r="F35" s="49"/>
      <c r="G35" s="83"/>
      <c r="H35" s="84"/>
      <c r="I35" s="49"/>
      <c r="J35" s="49"/>
      <c r="K35" s="49"/>
      <c r="L35" s="49"/>
    </row>
    <row r="36" spans="1:12" x14ac:dyDescent="0.25">
      <c r="A36" s="49"/>
      <c r="B36" s="49"/>
      <c r="C36" s="49"/>
      <c r="D36" s="49"/>
      <c r="E36" s="49"/>
      <c r="F36" s="49"/>
      <c r="G36" s="83"/>
      <c r="H36" s="84"/>
      <c r="I36" s="49"/>
      <c r="J36" s="49"/>
      <c r="K36" s="49"/>
      <c r="L36" s="49"/>
    </row>
    <row r="37" spans="1:12" x14ac:dyDescent="0.25">
      <c r="A37" s="49"/>
      <c r="B37" s="49"/>
      <c r="C37" s="49"/>
      <c r="D37" s="49"/>
      <c r="E37" s="49"/>
      <c r="F37" s="49"/>
      <c r="G37" s="83"/>
      <c r="H37" s="84"/>
      <c r="I37" s="49"/>
      <c r="J37" s="49"/>
      <c r="K37" s="49"/>
      <c r="L37" s="49"/>
    </row>
    <row r="38" spans="1:12" x14ac:dyDescent="0.25">
      <c r="A38" s="49"/>
      <c r="B38" s="49"/>
      <c r="C38" s="49"/>
      <c r="D38" s="49"/>
      <c r="E38" s="49"/>
      <c r="F38" s="49"/>
      <c r="G38" s="83"/>
      <c r="H38" s="84"/>
      <c r="I38" s="49"/>
      <c r="J38" s="49"/>
      <c r="K38" s="49"/>
      <c r="L38" s="49"/>
    </row>
    <row r="39" spans="1:12" x14ac:dyDescent="0.25">
      <c r="A39" s="49"/>
      <c r="B39" s="49"/>
      <c r="C39" s="49"/>
      <c r="D39" s="49"/>
      <c r="E39" s="49"/>
      <c r="F39" s="49"/>
      <c r="G39" s="83"/>
      <c r="H39" s="84"/>
      <c r="I39" s="49"/>
      <c r="J39" s="49"/>
      <c r="K39" s="49"/>
      <c r="L39" s="49"/>
    </row>
    <row r="40" spans="1:12" x14ac:dyDescent="0.25">
      <c r="A40" s="49"/>
      <c r="B40" s="49"/>
      <c r="C40" s="49"/>
      <c r="D40" s="49"/>
      <c r="E40" s="49"/>
      <c r="F40" s="49"/>
      <c r="G40" s="83"/>
      <c r="H40" s="84"/>
      <c r="I40" s="49"/>
      <c r="J40" s="49"/>
      <c r="K40" s="49"/>
      <c r="L40" s="49"/>
    </row>
    <row r="41" spans="1:12" x14ac:dyDescent="0.25">
      <c r="A41" s="49"/>
      <c r="B41" s="49"/>
      <c r="C41" s="49"/>
      <c r="D41" s="49"/>
      <c r="E41" s="49"/>
      <c r="F41" s="49"/>
      <c r="G41" s="83"/>
      <c r="H41" s="84"/>
      <c r="I41" s="49"/>
      <c r="J41" s="49"/>
      <c r="K41" s="49"/>
      <c r="L41" s="49"/>
    </row>
    <row r="42" spans="1:12" x14ac:dyDescent="0.25">
      <c r="A42" s="49"/>
      <c r="B42" s="49"/>
      <c r="C42" s="49"/>
      <c r="D42" s="49"/>
      <c r="E42" s="49"/>
      <c r="F42" s="49"/>
      <c r="G42" s="83"/>
      <c r="H42" s="84"/>
      <c r="I42" s="49"/>
      <c r="J42" s="49"/>
      <c r="K42" s="49"/>
      <c r="L42" s="49"/>
    </row>
    <row r="43" spans="1:12" x14ac:dyDescent="0.25">
      <c r="A43" s="49"/>
      <c r="B43" s="49"/>
      <c r="C43" s="49"/>
      <c r="D43" s="49"/>
      <c r="E43" s="49"/>
      <c r="F43" s="49"/>
      <c r="G43" s="83"/>
      <c r="H43" s="84"/>
      <c r="I43" s="49"/>
      <c r="J43" s="49"/>
      <c r="K43" s="49"/>
      <c r="L43" s="49"/>
    </row>
    <row r="44" spans="1:12" x14ac:dyDescent="0.25">
      <c r="A44" s="49"/>
      <c r="B44" s="49"/>
      <c r="C44" s="49"/>
      <c r="D44" s="49"/>
      <c r="E44" s="49"/>
      <c r="F44" s="49"/>
      <c r="G44" s="83"/>
      <c r="H44" s="84"/>
      <c r="I44" s="49"/>
      <c r="J44" s="49"/>
      <c r="K44" s="49"/>
      <c r="L44" s="49"/>
    </row>
    <row r="45" spans="1:12" x14ac:dyDescent="0.25">
      <c r="A45" s="49"/>
      <c r="B45" s="49"/>
      <c r="C45" s="49"/>
      <c r="D45" s="49"/>
      <c r="E45" s="49"/>
      <c r="F45" s="49"/>
      <c r="G45" s="83"/>
      <c r="H45" s="84"/>
      <c r="I45" s="49"/>
      <c r="J45" s="49"/>
      <c r="K45" s="49"/>
      <c r="L45" s="49"/>
    </row>
    <row r="46" spans="1:12" x14ac:dyDescent="0.25">
      <c r="A46" s="49"/>
      <c r="B46" s="49"/>
      <c r="C46" s="49"/>
      <c r="D46" s="49"/>
      <c r="E46" s="49"/>
      <c r="F46" s="49"/>
      <c r="G46" s="83"/>
      <c r="H46" s="84"/>
      <c r="I46" s="49"/>
      <c r="J46" s="49"/>
      <c r="K46" s="49"/>
      <c r="L46" s="49"/>
    </row>
    <row r="47" spans="1:12" x14ac:dyDescent="0.25">
      <c r="A47" s="49"/>
      <c r="B47" s="49"/>
      <c r="C47" s="49"/>
      <c r="D47" s="49"/>
      <c r="E47" s="49"/>
      <c r="F47" s="49"/>
      <c r="G47" s="83"/>
      <c r="H47" s="84"/>
      <c r="I47" s="49"/>
      <c r="J47" s="49"/>
      <c r="K47" s="49"/>
      <c r="L47" s="49"/>
    </row>
    <row r="48" spans="1:12" x14ac:dyDescent="0.25">
      <c r="A48" s="49"/>
      <c r="B48" s="49"/>
      <c r="C48" s="49"/>
      <c r="D48" s="49"/>
      <c r="E48" s="49"/>
      <c r="F48" s="49"/>
      <c r="G48" s="83"/>
      <c r="H48" s="84"/>
      <c r="I48" s="49"/>
      <c r="J48" s="49"/>
      <c r="K48" s="49"/>
      <c r="L48" s="49"/>
    </row>
    <row r="49" spans="1:12" x14ac:dyDescent="0.25">
      <c r="A49" s="49"/>
      <c r="B49" s="49"/>
      <c r="C49" s="49"/>
      <c r="D49" s="49"/>
      <c r="E49" s="49"/>
      <c r="F49" s="49"/>
      <c r="G49" s="83"/>
      <c r="H49" s="84"/>
      <c r="I49" s="49"/>
      <c r="J49" s="49"/>
      <c r="K49" s="49"/>
      <c r="L49" s="49"/>
    </row>
    <row r="50" spans="1:12" x14ac:dyDescent="0.25">
      <c r="A50" s="49"/>
      <c r="B50" s="49"/>
      <c r="C50" s="49"/>
      <c r="D50" s="49"/>
      <c r="E50" s="49"/>
      <c r="F50" s="49"/>
      <c r="G50" s="83"/>
      <c r="H50" s="84"/>
      <c r="I50" s="49"/>
      <c r="J50" s="49"/>
      <c r="K50" s="49"/>
      <c r="L50" s="49"/>
    </row>
    <row r="51" spans="1:12" x14ac:dyDescent="0.25">
      <c r="A51" s="49"/>
      <c r="B51" s="49"/>
      <c r="C51" s="49"/>
      <c r="D51" s="49"/>
      <c r="E51" s="49"/>
      <c r="F51" s="49"/>
      <c r="G51" s="83"/>
      <c r="H51" s="84"/>
      <c r="I51" s="49"/>
      <c r="J51" s="49"/>
      <c r="K51" s="49"/>
      <c r="L51" s="49"/>
    </row>
    <row r="52" spans="1:12" x14ac:dyDescent="0.25">
      <c r="A52" s="49"/>
      <c r="B52" s="49"/>
      <c r="C52" s="49"/>
      <c r="D52" s="49"/>
      <c r="E52" s="49"/>
      <c r="F52" s="49"/>
      <c r="G52" s="83"/>
      <c r="H52" s="84"/>
      <c r="I52" s="49"/>
      <c r="J52" s="49"/>
      <c r="K52" s="49"/>
      <c r="L52" s="49"/>
    </row>
    <row r="53" spans="1:12" x14ac:dyDescent="0.25">
      <c r="A53" s="49"/>
      <c r="B53" s="49"/>
      <c r="C53" s="49"/>
      <c r="D53" s="49"/>
      <c r="E53" s="49"/>
      <c r="F53" s="49"/>
      <c r="G53" s="83"/>
      <c r="H53" s="84"/>
      <c r="I53" s="49"/>
      <c r="J53" s="49"/>
      <c r="K53" s="49"/>
      <c r="L53" s="49"/>
    </row>
    <row r="54" spans="1:12" x14ac:dyDescent="0.25">
      <c r="A54" s="49"/>
      <c r="B54" s="49"/>
      <c r="C54" s="49"/>
      <c r="D54" s="49"/>
      <c r="E54" s="49"/>
      <c r="F54" s="49"/>
      <c r="G54" s="83"/>
      <c r="H54" s="84"/>
      <c r="I54" s="49"/>
      <c r="J54" s="49"/>
      <c r="K54" s="49"/>
      <c r="L54" s="49"/>
    </row>
    <row r="55" spans="1:12" x14ac:dyDescent="0.25">
      <c r="A55" s="49"/>
      <c r="B55" s="49"/>
      <c r="C55" s="49"/>
      <c r="D55" s="49"/>
      <c r="E55" s="49"/>
      <c r="F55" s="49"/>
      <c r="G55" s="83"/>
      <c r="H55" s="84"/>
      <c r="I55" s="49"/>
      <c r="J55" s="49"/>
      <c r="K55" s="49"/>
      <c r="L55" s="49"/>
    </row>
    <row r="56" spans="5:8" x14ac:dyDescent="0.25">
      <c r="E56" s="2" t="s">
        <v>174</v>
      </c>
      <c r="H56" s="85">
        <f>SUM(H25:H55)</f>
      </c>
    </row>
    <row r="57" spans="1:1" x14ac:dyDescent="0.25">
      <c r="A57" s="68" t="s">
        <v>175</v>
      </c>
    </row>
    <row r="58" spans="1:1" x14ac:dyDescent="0.25">
      <c r="A58" s="86" t="s">
        <v>176</v>
      </c>
    </row>
    <row r="59" spans="1:1" x14ac:dyDescent="0.25">
      <c r="A59" s="86" t="s">
        <v>177</v>
      </c>
    </row>
    <row r="60" spans="1:1" x14ac:dyDescent="0.25">
      <c r="A60" s="86" t="s">
        <v>178</v>
      </c>
    </row>
    <row r="61" spans="1:1" x14ac:dyDescent="0.25">
      <c r="A61" s="86" t="s">
        <v>179</v>
      </c>
    </row>
    <row r="62" spans="1:1" x14ac:dyDescent="0.25">
      <c r="A62" s="86" t="s">
        <v>180</v>
      </c>
    </row>
    <row r="63" spans="1:1" x14ac:dyDescent="0.25">
      <c r="A63" s="86" t="s">
        <v>181</v>
      </c>
    </row>
    <row r="64" spans="1:1" x14ac:dyDescent="0.25">
      <c r="A64" s="86" t="s">
        <v>182</v>
      </c>
    </row>
    <row r="65" spans="1:1" x14ac:dyDescent="0.25">
      <c r="A65" s="86" t="s">
        <v>183</v>
      </c>
    </row>
    <row r="66" spans="1:1" x14ac:dyDescent="0.25">
      <c r="A66" s="86" t="s">
        <v>184</v>
      </c>
    </row>
    <row r="67" spans="1:1" x14ac:dyDescent="0.25">
      <c r="A67" s="86" t="s">
        <v>172</v>
      </c>
    </row>
    <row r="68" spans="1:1" x14ac:dyDescent="0.25">
      <c r="A68" s="86" t="s">
        <v>173</v>
      </c>
    </row>
    <row r="69" spans="1:1" x14ac:dyDescent="0.25">
      <c r="A69" s="86" t="s">
        <v>185</v>
      </c>
    </row>
    <row r="70" spans="1:1" x14ac:dyDescent="0.25">
      <c r="A70" s="86" t="s">
        <v>186</v>
      </c>
    </row>
    <row r="71" spans="1:1" x14ac:dyDescent="0.25">
      <c r="A71" s="86" t="s">
        <v>187</v>
      </c>
    </row>
    <row r="72" spans="1:1" x14ac:dyDescent="0.25">
      <c r="A72" s="86" t="s">
        <v>188</v>
      </c>
    </row>
    <row r="73" spans="1:1" x14ac:dyDescent="0.25">
      <c r="A73" s="86" t="s">
        <v>189</v>
      </c>
    </row>
    <row r="74" spans="1:1" x14ac:dyDescent="0.25">
      <c r="A74" s="86" t="s">
        <v>190</v>
      </c>
    </row>
    <row r="75" spans="1:1" x14ac:dyDescent="0.25">
      <c r="A75" s="86" t="s">
        <v>191</v>
      </c>
    </row>
    <row r="76" spans="1:1" x14ac:dyDescent="0.25">
      <c r="A76" s="86" t="s">
        <v>192</v>
      </c>
    </row>
    <row r="77" spans="1:1" x14ac:dyDescent="0.25">
      <c r="A77" s="86" t="s">
        <v>193</v>
      </c>
    </row>
    <row r="78" spans="1:1" x14ac:dyDescent="0.25">
      <c r="A78" s="86" t="s">
        <v>194</v>
      </c>
    </row>
    <row r="79" spans="1:1" x14ac:dyDescent="0.25">
      <c r="A79" s="86" t="s">
        <v>195</v>
      </c>
    </row>
    <row r="80" spans="1:1" x14ac:dyDescent="0.25">
      <c r="A80" s="86" t="s">
        <v>196</v>
      </c>
    </row>
    <row r="81" spans="1:1" x14ac:dyDescent="0.25">
      <c r="A81" s="86" t="s">
        <v>197</v>
      </c>
    </row>
    <row r="82" spans="1:1" x14ac:dyDescent="0.25">
      <c r="A82" s="86" t="s">
        <v>198</v>
      </c>
    </row>
    <row r="83" spans="1:1" x14ac:dyDescent="0.25">
      <c r="A83" s="86" t="s">
        <v>199</v>
      </c>
    </row>
  </sheetData>
  <mergeCells count="106">
    <mergeCell ref="B4:AA4"/>
    <mergeCell ref="A4:A6"/>
    <mergeCell ref="B5:D5"/>
    <mergeCell ref="E5:G5"/>
    <mergeCell ref="H5:I5"/>
    <mergeCell ref="J5:L5"/>
    <mergeCell ref="M5:Q5"/>
    <mergeCell ref="R5:T5"/>
    <mergeCell ref="U5:V5"/>
    <mergeCell ref="Y5:Z5"/>
    <mergeCell ref="C24:D24"/>
    <mergeCell ref="E24:F24"/>
    <mergeCell ref="I24:L24"/>
    <mergeCell ref="C25:D25"/>
    <mergeCell ref="E25:F25"/>
    <mergeCell ref="I25:L25"/>
    <mergeCell ref="C26:D26"/>
    <mergeCell ref="E26:F26"/>
    <mergeCell ref="I26:L26"/>
    <mergeCell ref="C27:D27"/>
    <mergeCell ref="E27:F27"/>
    <mergeCell ref="I27:L27"/>
    <mergeCell ref="C28:D28"/>
    <mergeCell ref="E28:F28"/>
    <mergeCell ref="I28:L28"/>
    <mergeCell ref="C29:D29"/>
    <mergeCell ref="E29:F29"/>
    <mergeCell ref="I29:L29"/>
    <mergeCell ref="C30:D30"/>
    <mergeCell ref="E30:F30"/>
    <mergeCell ref="I30:L30"/>
    <mergeCell ref="C31:D31"/>
    <mergeCell ref="E31:F31"/>
    <mergeCell ref="I31:L31"/>
    <mergeCell ref="C32:D32"/>
    <mergeCell ref="E32:F32"/>
    <mergeCell ref="I32:L32"/>
    <mergeCell ref="C33:D33"/>
    <mergeCell ref="E33:F33"/>
    <mergeCell ref="I33:L33"/>
    <mergeCell ref="C34:D34"/>
    <mergeCell ref="E34:F34"/>
    <mergeCell ref="I34:L34"/>
    <mergeCell ref="C35:D35"/>
    <mergeCell ref="E35:F35"/>
    <mergeCell ref="I35:L35"/>
    <mergeCell ref="C36:D36"/>
    <mergeCell ref="E36:F36"/>
    <mergeCell ref="I36:L36"/>
    <mergeCell ref="C37:D37"/>
    <mergeCell ref="E37:F37"/>
    <mergeCell ref="I37:L37"/>
    <mergeCell ref="C38:D38"/>
    <mergeCell ref="E38:F38"/>
    <mergeCell ref="I38:L38"/>
    <mergeCell ref="C39:D39"/>
    <mergeCell ref="E39:F39"/>
    <mergeCell ref="I39:L39"/>
    <mergeCell ref="C40:D40"/>
    <mergeCell ref="E40:F40"/>
    <mergeCell ref="I40:L40"/>
    <mergeCell ref="C41:D41"/>
    <mergeCell ref="E41:F41"/>
    <mergeCell ref="I41:L41"/>
    <mergeCell ref="C42:D42"/>
    <mergeCell ref="E42:F42"/>
    <mergeCell ref="I42:L42"/>
    <mergeCell ref="C43:D43"/>
    <mergeCell ref="E43:F43"/>
    <mergeCell ref="I43:L43"/>
    <mergeCell ref="C44:D44"/>
    <mergeCell ref="E44:F44"/>
    <mergeCell ref="I44:L44"/>
    <mergeCell ref="C45:D45"/>
    <mergeCell ref="E45:F45"/>
    <mergeCell ref="I45:L45"/>
    <mergeCell ref="C46:D46"/>
    <mergeCell ref="E46:F46"/>
    <mergeCell ref="I46:L46"/>
    <mergeCell ref="C47:D47"/>
    <mergeCell ref="E47:F47"/>
    <mergeCell ref="I47:L47"/>
    <mergeCell ref="C48:D48"/>
    <mergeCell ref="E48:F48"/>
    <mergeCell ref="I48:L48"/>
    <mergeCell ref="C49:D49"/>
    <mergeCell ref="E49:F49"/>
    <mergeCell ref="I49:L49"/>
    <mergeCell ref="C50:D50"/>
    <mergeCell ref="E50:F50"/>
    <mergeCell ref="I50:L50"/>
    <mergeCell ref="C51:D51"/>
    <mergeCell ref="E51:F51"/>
    <mergeCell ref="I51:L51"/>
    <mergeCell ref="C52:D52"/>
    <mergeCell ref="E52:F52"/>
    <mergeCell ref="I52:L52"/>
    <mergeCell ref="C53:D53"/>
    <mergeCell ref="E53:F53"/>
    <mergeCell ref="I53:L53"/>
    <mergeCell ref="C54:D54"/>
    <mergeCell ref="E54:F54"/>
    <mergeCell ref="I54:L54"/>
    <mergeCell ref="C55:D55"/>
    <mergeCell ref="E55:F55"/>
    <mergeCell ref="I55:L55"/>
  </mergeCells>
  <conditionalFormatting sqref="B19:AA19">
    <cfRule type="cellIs" dxfId="0" priority="1" operator="lessThan">
      <formula>-0.5</formula>
    </cfRule>
    <cfRule type="cellIs" dxfId="1" priority="2" operator="greaterThanOrEqual">
      <formula>-0.5</formula>
    </cfRule>
  </conditionalFormatting>
  <dataValidations count="3">
    <dataValidation type="list" allowBlank="1" sqref="A25:A55">
      <formula1>"NIVELLEMENT VIA PICI,AUTRES NIVELLEMENTS"</formula1>
    </dataValidation>
    <dataValidation type="list" allowBlank="1" sqref="C25:C55">
      <formula1>$A$58:$A$83</formula1>
    </dataValidation>
    <dataValidation type="list" allowBlank="1" sqref="E25:E55">
      <formula1>$A$58:$A$83</formula1>
    </dataValidation>
  </dataValidations>
  <pageSetup orientation="landscape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91"/>
  <sheetViews>
    <sheetView workbookViewId="0" showGridLines="0">
      <pane xSplit="4" ySplit="4" topLeftCell="E5" activePane="bottomRight" state="frozen"/>
      <selection pane="bottomRight"/>
    </sheetView>
  </sheetViews>
  <sheetFormatPr defaultRowHeight="15" outlineLevelRow="0" outlineLevelCol="0" x14ac:dyDescent="55"/>
  <cols>
    <col min="1" max="1" width="10" customWidth="1"/>
    <col min="2" max="2" width="12" customWidth="1"/>
    <col min="3" max="3" width="24" customWidth="1"/>
    <col min="4" max="4" width="52" customWidth="1"/>
    <col min="5" max="5" width="16" customWidth="1"/>
    <col min="6" max="6" width="13" customWidth="1"/>
    <col min="7" max="7" width="10" customWidth="1"/>
  </cols>
  <sheetData>
    <row r="1" spans="1:1" x14ac:dyDescent="0.25">
      <c r="A1" s="1" t="s">
        <v>200</v>
      </c>
    </row>
    <row r="4" spans="1:7" x14ac:dyDescent="0.25">
      <c r="A4" s="87" t="s">
        <v>2</v>
      </c>
      <c r="B4" s="87" t="s">
        <v>94</v>
      </c>
      <c r="C4" s="87" t="s">
        <v>201</v>
      </c>
      <c r="D4" s="87" t="s">
        <v>202</v>
      </c>
      <c r="E4" s="87" t="s">
        <v>170</v>
      </c>
      <c r="F4" s="87" t="s">
        <v>203</v>
      </c>
      <c r="G4" s="87" t="s">
        <v>204</v>
      </c>
    </row>
    <row r="5" spans="1:7" x14ac:dyDescent="0.25">
      <c r="A5" s="88" t="s">
        <v>3</v>
      </c>
      <c r="B5" s="49" t="s">
        <v>22</v>
      </c>
      <c r="C5" s="49" t="s">
        <v>104</v>
      </c>
      <c r="D5" s="49" t="s">
        <v>205</v>
      </c>
      <c r="E5" s="51">
        <v>-628015</v>
      </c>
      <c r="F5" s="51">
        <f>E5/'Reporting Hebdo'!$E$3</f>
      </c>
      <c r="G5" s="88" t="s">
        <v>206</v>
      </c>
    </row>
    <row r="6" spans="1:7" x14ac:dyDescent="0.25">
      <c r="A6" s="88" t="s">
        <v>3</v>
      </c>
      <c r="B6" s="49" t="s">
        <v>22</v>
      </c>
      <c r="C6" s="49" t="s">
        <v>104</v>
      </c>
      <c r="D6" s="49" t="s">
        <v>207</v>
      </c>
      <c r="E6" s="51">
        <v>-5947200</v>
      </c>
      <c r="F6" s="51">
        <f>E6/'Reporting Hebdo'!$E$3</f>
      </c>
      <c r="G6" s="88" t="s">
        <v>206</v>
      </c>
    </row>
    <row r="7" spans="1:7" x14ac:dyDescent="0.25">
      <c r="A7" s="88" t="s">
        <v>3</v>
      </c>
      <c r="B7" s="49" t="s">
        <v>22</v>
      </c>
      <c r="C7" s="49" t="s">
        <v>104</v>
      </c>
      <c r="D7" s="49" t="s">
        <v>208</v>
      </c>
      <c r="E7" s="51">
        <v>-50</v>
      </c>
      <c r="F7" s="51">
        <f>E7/'Reporting Hebdo'!$E$3</f>
      </c>
      <c r="G7" s="88" t="s">
        <v>206</v>
      </c>
    </row>
    <row r="8" spans="1:7" x14ac:dyDescent="0.25">
      <c r="A8" s="88" t="s">
        <v>3</v>
      </c>
      <c r="B8" s="49" t="s">
        <v>22</v>
      </c>
      <c r="C8" s="49" t="s">
        <v>104</v>
      </c>
      <c r="D8" s="49" t="s">
        <v>209</v>
      </c>
      <c r="E8" s="51">
        <v>-157910</v>
      </c>
      <c r="F8" s="51">
        <f>E8/'Reporting Hebdo'!$E$3</f>
      </c>
      <c r="G8" s="88" t="s">
        <v>206</v>
      </c>
    </row>
    <row r="9" spans="1:7" x14ac:dyDescent="0.25">
      <c r="A9" s="88" t="s">
        <v>3</v>
      </c>
      <c r="B9" s="49" t="s">
        <v>22</v>
      </c>
      <c r="C9" s="49" t="s">
        <v>104</v>
      </c>
      <c r="D9" s="49" t="s">
        <v>210</v>
      </c>
      <c r="E9" s="51">
        <v>-7734197</v>
      </c>
      <c r="F9" s="51">
        <f>E9/'Reporting Hebdo'!$E$3</f>
      </c>
      <c r="G9" s="88" t="s">
        <v>206</v>
      </c>
    </row>
    <row r="10" spans="1:7" x14ac:dyDescent="0.25">
      <c r="A10" s="88" t="s">
        <v>3</v>
      </c>
      <c r="B10" s="49" t="s">
        <v>22</v>
      </c>
      <c r="C10" s="49" t="s">
        <v>104</v>
      </c>
      <c r="D10" s="49" t="s">
        <v>211</v>
      </c>
      <c r="E10" s="51">
        <v>-324500</v>
      </c>
      <c r="F10" s="51">
        <f>E10/'Reporting Hebdo'!$E$3</f>
      </c>
      <c r="G10" s="88" t="s">
        <v>206</v>
      </c>
    </row>
    <row r="11" spans="1:7" x14ac:dyDescent="0.25">
      <c r="A11" s="88" t="s">
        <v>3</v>
      </c>
      <c r="B11" s="49" t="s">
        <v>22</v>
      </c>
      <c r="C11" s="49" t="s">
        <v>104</v>
      </c>
      <c r="D11" s="49" t="s">
        <v>211</v>
      </c>
      <c r="E11" s="51">
        <v>-324500</v>
      </c>
      <c r="F11" s="51">
        <f>E11/'Reporting Hebdo'!$E$3</f>
      </c>
      <c r="G11" s="88" t="s">
        <v>206</v>
      </c>
    </row>
    <row r="12" spans="1:7" x14ac:dyDescent="0.25">
      <c r="A12" s="88" t="s">
        <v>3</v>
      </c>
      <c r="B12" s="49" t="s">
        <v>22</v>
      </c>
      <c r="C12" s="49" t="s">
        <v>104</v>
      </c>
      <c r="D12" s="49" t="s">
        <v>212</v>
      </c>
      <c r="E12" s="51">
        <v>-5443898</v>
      </c>
      <c r="F12" s="51">
        <f>E12/'Reporting Hebdo'!$E$3</f>
      </c>
      <c r="G12" s="88" t="s">
        <v>206</v>
      </c>
    </row>
    <row r="13" spans="1:7" x14ac:dyDescent="0.25">
      <c r="A13" s="88" t="s">
        <v>3</v>
      </c>
      <c r="B13" s="49" t="s">
        <v>22</v>
      </c>
      <c r="C13" s="49" t="s">
        <v>104</v>
      </c>
      <c r="D13" s="49" t="s">
        <v>213</v>
      </c>
      <c r="E13" s="51">
        <v>-342735</v>
      </c>
      <c r="F13" s="51">
        <f>E13/'Reporting Hebdo'!$E$3</f>
      </c>
      <c r="G13" s="88" t="s">
        <v>206</v>
      </c>
    </row>
    <row r="14" spans="1:7" x14ac:dyDescent="0.25">
      <c r="A14" s="88" t="s">
        <v>3</v>
      </c>
      <c r="B14" s="49" t="s">
        <v>22</v>
      </c>
      <c r="C14" s="49" t="s">
        <v>104</v>
      </c>
      <c r="D14" s="49" t="s">
        <v>214</v>
      </c>
      <c r="E14" s="51">
        <v>-34002</v>
      </c>
      <c r="F14" s="51">
        <f>E14/'Reporting Hebdo'!$E$3</f>
      </c>
      <c r="G14" s="88" t="s">
        <v>206</v>
      </c>
    </row>
    <row r="15" spans="1:7" x14ac:dyDescent="0.25">
      <c r="A15" s="88" t="s">
        <v>3</v>
      </c>
      <c r="B15" s="49" t="s">
        <v>22</v>
      </c>
      <c r="C15" s="49" t="s">
        <v>104</v>
      </c>
      <c r="D15" s="49" t="s">
        <v>214</v>
      </c>
      <c r="E15" s="51">
        <v>-44002</v>
      </c>
      <c r="F15" s="51">
        <f>E15/'Reporting Hebdo'!$E$3</f>
      </c>
      <c r="G15" s="88" t="s">
        <v>206</v>
      </c>
    </row>
    <row r="16" spans="1:7" x14ac:dyDescent="0.25">
      <c r="A16" s="88" t="s">
        <v>3</v>
      </c>
      <c r="B16" s="49" t="s">
        <v>22</v>
      </c>
      <c r="C16" s="49" t="s">
        <v>104</v>
      </c>
      <c r="D16" s="49" t="s">
        <v>215</v>
      </c>
      <c r="E16" s="51">
        <v>-7954048</v>
      </c>
      <c r="F16" s="51">
        <f>E16/'Reporting Hebdo'!$E$3</f>
      </c>
      <c r="G16" s="88" t="s">
        <v>206</v>
      </c>
    </row>
    <row r="17" spans="1:7" x14ac:dyDescent="0.25">
      <c r="A17" s="88" t="s">
        <v>3</v>
      </c>
      <c r="B17" s="49" t="s">
        <v>22</v>
      </c>
      <c r="C17" s="49" t="s">
        <v>104</v>
      </c>
      <c r="D17" s="49" t="s">
        <v>215</v>
      </c>
      <c r="E17" s="51">
        <v>-7929032</v>
      </c>
      <c r="F17" s="51">
        <f>E17/'Reporting Hebdo'!$E$3</f>
      </c>
      <c r="G17" s="88" t="s">
        <v>206</v>
      </c>
    </row>
    <row r="18" spans="1:7" x14ac:dyDescent="0.25">
      <c r="A18" s="88" t="s">
        <v>3</v>
      </c>
      <c r="B18" s="49" t="s">
        <v>22</v>
      </c>
      <c r="C18" s="49" t="s">
        <v>104</v>
      </c>
      <c r="D18" s="49" t="s">
        <v>216</v>
      </c>
      <c r="E18" s="51">
        <v>-791000</v>
      </c>
      <c r="F18" s="51">
        <f>E18/'Reporting Hebdo'!$E$3</f>
      </c>
      <c r="G18" s="88" t="s">
        <v>206</v>
      </c>
    </row>
    <row r="19" spans="1:7" x14ac:dyDescent="0.25">
      <c r="A19" s="88" t="s">
        <v>3</v>
      </c>
      <c r="B19" s="49" t="s">
        <v>22</v>
      </c>
      <c r="C19" s="49" t="s">
        <v>104</v>
      </c>
      <c r="D19" s="49" t="s">
        <v>217</v>
      </c>
      <c r="E19" s="51">
        <v>-739396</v>
      </c>
      <c r="F19" s="51">
        <f>E19/'Reporting Hebdo'!$E$3</f>
      </c>
      <c r="G19" s="88" t="s">
        <v>206</v>
      </c>
    </row>
    <row r="20" spans="1:7" x14ac:dyDescent="0.25">
      <c r="A20" s="88" t="s">
        <v>3</v>
      </c>
      <c r="B20" s="49" t="s">
        <v>22</v>
      </c>
      <c r="C20" s="49" t="s">
        <v>104</v>
      </c>
      <c r="D20" s="49" t="s">
        <v>218</v>
      </c>
      <c r="E20" s="51">
        <v>-1700002</v>
      </c>
      <c r="F20" s="51">
        <f>E20/'Reporting Hebdo'!$E$3</f>
      </c>
      <c r="G20" s="88" t="s">
        <v>206</v>
      </c>
    </row>
    <row r="21" spans="1:7" x14ac:dyDescent="0.25">
      <c r="A21" s="88" t="s">
        <v>3</v>
      </c>
      <c r="B21" s="49" t="s">
        <v>22</v>
      </c>
      <c r="C21" s="49" t="s">
        <v>104</v>
      </c>
      <c r="D21" s="49" t="s">
        <v>219</v>
      </c>
      <c r="E21" s="51">
        <v>-934678</v>
      </c>
      <c r="F21" s="51">
        <f>E21/'Reporting Hebdo'!$E$3</f>
      </c>
      <c r="G21" s="88" t="s">
        <v>206</v>
      </c>
    </row>
    <row r="22" spans="1:7" x14ac:dyDescent="0.25">
      <c r="A22" s="88" t="s">
        <v>3</v>
      </c>
      <c r="B22" s="49" t="s">
        <v>22</v>
      </c>
      <c r="C22" s="49" t="s">
        <v>104</v>
      </c>
      <c r="D22" s="49" t="s">
        <v>219</v>
      </c>
      <c r="E22" s="51">
        <v>-934678</v>
      </c>
      <c r="F22" s="51">
        <f>E22/'Reporting Hebdo'!$E$3</f>
      </c>
      <c r="G22" s="88" t="s">
        <v>206</v>
      </c>
    </row>
    <row r="23" spans="1:7" x14ac:dyDescent="0.25">
      <c r="A23" s="88" t="s">
        <v>3</v>
      </c>
      <c r="B23" s="49" t="s">
        <v>22</v>
      </c>
      <c r="C23" s="49" t="s">
        <v>104</v>
      </c>
      <c r="D23" s="49" t="s">
        <v>220</v>
      </c>
      <c r="E23" s="51">
        <v>-1233973</v>
      </c>
      <c r="F23" s="51">
        <f>E23/'Reporting Hebdo'!$E$3</f>
      </c>
      <c r="G23" s="88" t="s">
        <v>206</v>
      </c>
    </row>
    <row r="24" spans="1:7" x14ac:dyDescent="0.25">
      <c r="A24" s="88" t="s">
        <v>3</v>
      </c>
      <c r="B24" s="49" t="s">
        <v>22</v>
      </c>
      <c r="C24" s="49" t="s">
        <v>104</v>
      </c>
      <c r="D24" s="49" t="s">
        <v>221</v>
      </c>
      <c r="E24" s="51">
        <v>-2025218</v>
      </c>
      <c r="F24" s="51">
        <f>E24/'Reporting Hebdo'!$E$3</f>
      </c>
      <c r="G24" s="88" t="s">
        <v>206</v>
      </c>
    </row>
    <row r="25" spans="1:7" x14ac:dyDescent="0.25">
      <c r="A25" s="88" t="s">
        <v>3</v>
      </c>
      <c r="B25" s="49" t="s">
        <v>22</v>
      </c>
      <c r="C25" s="49" t="s">
        <v>104</v>
      </c>
      <c r="D25" s="49" t="s">
        <v>221</v>
      </c>
      <c r="E25" s="51">
        <v>-3727424</v>
      </c>
      <c r="F25" s="51">
        <f>E25/'Reporting Hebdo'!$E$3</f>
      </c>
      <c r="G25" s="88" t="s">
        <v>206</v>
      </c>
    </row>
    <row r="26" spans="1:7" x14ac:dyDescent="0.25">
      <c r="A26" s="88" t="s">
        <v>3</v>
      </c>
      <c r="B26" s="49" t="s">
        <v>22</v>
      </c>
      <c r="C26" s="49" t="s">
        <v>104</v>
      </c>
      <c r="D26" s="49" t="s">
        <v>222</v>
      </c>
      <c r="E26" s="51">
        <v>-162349</v>
      </c>
      <c r="F26" s="51">
        <f>E26/'Reporting Hebdo'!$E$3</f>
      </c>
      <c r="G26" s="88" t="s">
        <v>206</v>
      </c>
    </row>
    <row r="27" spans="1:7" x14ac:dyDescent="0.25">
      <c r="A27" s="88" t="s">
        <v>3</v>
      </c>
      <c r="B27" s="49" t="s">
        <v>22</v>
      </c>
      <c r="C27" s="49" t="s">
        <v>104</v>
      </c>
      <c r="D27" s="49" t="s">
        <v>223</v>
      </c>
      <c r="E27" s="51">
        <v>-7460464</v>
      </c>
      <c r="F27" s="51">
        <f>E27/'Reporting Hebdo'!$E$3</f>
      </c>
      <c r="G27" s="88" t="s">
        <v>206</v>
      </c>
    </row>
    <row r="28" spans="1:7" x14ac:dyDescent="0.25">
      <c r="A28" s="88" t="s">
        <v>3</v>
      </c>
      <c r="B28" s="49" t="s">
        <v>22</v>
      </c>
      <c r="C28" s="49" t="s">
        <v>104</v>
      </c>
      <c r="D28" s="49" t="s">
        <v>224</v>
      </c>
      <c r="E28" s="51">
        <v>-194350</v>
      </c>
      <c r="F28" s="51">
        <f>E28/'Reporting Hebdo'!$E$3</f>
      </c>
      <c r="G28" s="88" t="s">
        <v>206</v>
      </c>
    </row>
    <row r="29" spans="1:7" x14ac:dyDescent="0.25">
      <c r="A29" s="88" t="s">
        <v>3</v>
      </c>
      <c r="B29" s="49" t="s">
        <v>22</v>
      </c>
      <c r="C29" s="49" t="s">
        <v>105</v>
      </c>
      <c r="D29" s="49" t="s">
        <v>225</v>
      </c>
      <c r="E29" s="51">
        <v>-5783552</v>
      </c>
      <c r="F29" s="51">
        <f>E29/'Reporting Hebdo'!$E$3</f>
      </c>
      <c r="G29" s="88" t="s">
        <v>206</v>
      </c>
    </row>
    <row r="30" spans="1:7" x14ac:dyDescent="0.25">
      <c r="A30" s="88" t="s">
        <v>3</v>
      </c>
      <c r="B30" s="49" t="s">
        <v>22</v>
      </c>
      <c r="C30" s="49" t="s">
        <v>105</v>
      </c>
      <c r="D30" s="49" t="s">
        <v>226</v>
      </c>
      <c r="E30" s="51">
        <v>-36980921</v>
      </c>
      <c r="F30" s="51">
        <f>E30/'Reporting Hebdo'!$E$3</f>
      </c>
      <c r="G30" s="88" t="s">
        <v>206</v>
      </c>
    </row>
    <row r="31" spans="1:7" x14ac:dyDescent="0.25">
      <c r="A31" s="88" t="s">
        <v>3</v>
      </c>
      <c r="B31" s="49" t="s">
        <v>22</v>
      </c>
      <c r="C31" s="49" t="s">
        <v>105</v>
      </c>
      <c r="D31" s="49" t="s">
        <v>227</v>
      </c>
      <c r="E31" s="51">
        <v>-29302875</v>
      </c>
      <c r="F31" s="51">
        <f>E31/'Reporting Hebdo'!$E$3</f>
      </c>
      <c r="G31" s="88" t="s">
        <v>206</v>
      </c>
    </row>
    <row r="32" spans="1:7" x14ac:dyDescent="0.25">
      <c r="A32" s="88" t="s">
        <v>3</v>
      </c>
      <c r="B32" s="49" t="s">
        <v>22</v>
      </c>
      <c r="C32" s="49" t="s">
        <v>105</v>
      </c>
      <c r="D32" s="49" t="s">
        <v>228</v>
      </c>
      <c r="E32" s="51">
        <v>-25148057</v>
      </c>
      <c r="F32" s="51">
        <f>E32/'Reporting Hebdo'!$E$3</f>
      </c>
      <c r="G32" s="88" t="s">
        <v>206</v>
      </c>
    </row>
    <row r="33" spans="1:7" x14ac:dyDescent="0.25">
      <c r="A33" s="88" t="s">
        <v>3</v>
      </c>
      <c r="B33" s="49" t="s">
        <v>22</v>
      </c>
      <c r="C33" s="49" t="s">
        <v>105</v>
      </c>
      <c r="D33" s="49" t="s">
        <v>229</v>
      </c>
      <c r="E33" s="51">
        <v>-599151</v>
      </c>
      <c r="F33" s="51">
        <f>E33/'Reporting Hebdo'!$E$3</f>
      </c>
      <c r="G33" s="88" t="s">
        <v>206</v>
      </c>
    </row>
    <row r="34" spans="1:7" x14ac:dyDescent="0.25">
      <c r="A34" s="88" t="s">
        <v>3</v>
      </c>
      <c r="B34" s="49" t="s">
        <v>22</v>
      </c>
      <c r="C34" s="49" t="s">
        <v>105</v>
      </c>
      <c r="D34" s="49" t="s">
        <v>230</v>
      </c>
      <c r="E34" s="51">
        <v>-63244759</v>
      </c>
      <c r="F34" s="51">
        <f>E34/'Reporting Hebdo'!$E$3</f>
      </c>
      <c r="G34" s="88" t="s">
        <v>206</v>
      </c>
    </row>
    <row r="35" spans="1:7" x14ac:dyDescent="0.25">
      <c r="A35" s="88" t="s">
        <v>3</v>
      </c>
      <c r="B35" s="49" t="s">
        <v>22</v>
      </c>
      <c r="C35" s="49" t="s">
        <v>106</v>
      </c>
      <c r="D35" s="49" t="s">
        <v>231</v>
      </c>
      <c r="E35" s="51">
        <v>-1680000</v>
      </c>
      <c r="F35" s="51">
        <f>E35/'Reporting Hebdo'!$E$3</f>
      </c>
      <c r="G35" s="88" t="s">
        <v>206</v>
      </c>
    </row>
    <row r="36" spans="1:7" x14ac:dyDescent="0.25">
      <c r="A36" s="88" t="s">
        <v>3</v>
      </c>
      <c r="B36" s="49" t="s">
        <v>22</v>
      </c>
      <c r="C36" s="49" t="s">
        <v>106</v>
      </c>
      <c r="D36" s="49" t="s">
        <v>232</v>
      </c>
      <c r="E36" s="51">
        <v>-43378656</v>
      </c>
      <c r="F36" s="51">
        <f>E36/'Reporting Hebdo'!$E$3</f>
      </c>
      <c r="G36" s="88" t="s">
        <v>206</v>
      </c>
    </row>
    <row r="37" spans="1:7" x14ac:dyDescent="0.25">
      <c r="A37" s="88" t="s">
        <v>3</v>
      </c>
      <c r="B37" s="49" t="s">
        <v>29</v>
      </c>
      <c r="C37" s="49" t="s">
        <v>104</v>
      </c>
      <c r="D37" s="49" t="s">
        <v>233</v>
      </c>
      <c r="E37" s="51">
        <v>-580560</v>
      </c>
      <c r="F37" s="51">
        <f>E37/'Reporting Hebdo'!$E$3</f>
      </c>
      <c r="G37" s="88" t="s">
        <v>206</v>
      </c>
    </row>
    <row r="38" spans="1:7" x14ac:dyDescent="0.25">
      <c r="A38" s="88" t="s">
        <v>3</v>
      </c>
      <c r="B38" s="49" t="s">
        <v>29</v>
      </c>
      <c r="C38" s="49" t="s">
        <v>104</v>
      </c>
      <c r="D38" s="49" t="s">
        <v>234</v>
      </c>
      <c r="E38" s="51">
        <v>-5224698</v>
      </c>
      <c r="F38" s="51">
        <f>E38/'Reporting Hebdo'!$E$3</f>
      </c>
      <c r="G38" s="88" t="s">
        <v>206</v>
      </c>
    </row>
    <row r="39" spans="1:7" x14ac:dyDescent="0.25">
      <c r="A39" s="88" t="s">
        <v>3</v>
      </c>
      <c r="B39" s="49" t="s">
        <v>29</v>
      </c>
      <c r="C39" s="49" t="s">
        <v>104</v>
      </c>
      <c r="D39" s="49" t="s">
        <v>235</v>
      </c>
      <c r="E39" s="51">
        <v>-250000</v>
      </c>
      <c r="F39" s="51">
        <f>E39/'Reporting Hebdo'!$E$3</f>
      </c>
      <c r="G39" s="88" t="s">
        <v>206</v>
      </c>
    </row>
    <row r="40" spans="1:7" x14ac:dyDescent="0.25">
      <c r="A40" s="88" t="s">
        <v>3</v>
      </c>
      <c r="B40" s="49" t="s">
        <v>29</v>
      </c>
      <c r="C40" s="49" t="s">
        <v>104</v>
      </c>
      <c r="D40" s="49" t="s">
        <v>236</v>
      </c>
      <c r="E40" s="51">
        <v>-5268245</v>
      </c>
      <c r="F40" s="51">
        <f>E40/'Reporting Hebdo'!$E$3</f>
      </c>
      <c r="G40" s="88" t="s">
        <v>206</v>
      </c>
    </row>
    <row r="41" spans="1:7" x14ac:dyDescent="0.25">
      <c r="A41" s="88" t="s">
        <v>3</v>
      </c>
      <c r="B41" s="49" t="s">
        <v>29</v>
      </c>
      <c r="C41" s="49" t="s">
        <v>104</v>
      </c>
      <c r="D41" s="49" t="s">
        <v>211</v>
      </c>
      <c r="E41" s="51">
        <v>-28248</v>
      </c>
      <c r="F41" s="51">
        <f>E41/'Reporting Hebdo'!$E$3</f>
      </c>
      <c r="G41" s="88" t="s">
        <v>206</v>
      </c>
    </row>
    <row r="42" spans="1:7" x14ac:dyDescent="0.25">
      <c r="A42" s="88" t="s">
        <v>3</v>
      </c>
      <c r="B42" s="49" t="s">
        <v>29</v>
      </c>
      <c r="C42" s="49" t="s">
        <v>104</v>
      </c>
      <c r="D42" s="49" t="s">
        <v>237</v>
      </c>
      <c r="E42" s="51">
        <v>-1191450</v>
      </c>
      <c r="F42" s="51">
        <f>E42/'Reporting Hebdo'!$E$3</f>
      </c>
      <c r="G42" s="88" t="s">
        <v>206</v>
      </c>
    </row>
    <row r="43" spans="1:7" x14ac:dyDescent="0.25">
      <c r="A43" s="88" t="s">
        <v>3</v>
      </c>
      <c r="B43" s="49" t="s">
        <v>29</v>
      </c>
      <c r="C43" s="49" t="s">
        <v>104</v>
      </c>
      <c r="D43" s="49" t="s">
        <v>238</v>
      </c>
      <c r="E43" s="51">
        <v>-448400</v>
      </c>
      <c r="F43" s="51">
        <f>E43/'Reporting Hebdo'!$E$3</f>
      </c>
      <c r="G43" s="88" t="s">
        <v>206</v>
      </c>
    </row>
    <row r="44" spans="1:7" x14ac:dyDescent="0.25">
      <c r="A44" s="88" t="s">
        <v>3</v>
      </c>
      <c r="B44" s="49" t="s">
        <v>29</v>
      </c>
      <c r="C44" s="49" t="s">
        <v>104</v>
      </c>
      <c r="D44" s="49" t="s">
        <v>239</v>
      </c>
      <c r="E44" s="51">
        <v>-6575302</v>
      </c>
      <c r="F44" s="51">
        <f>E44/'Reporting Hebdo'!$E$3</f>
      </c>
      <c r="G44" s="88" t="s">
        <v>206</v>
      </c>
    </row>
    <row r="45" spans="1:7" x14ac:dyDescent="0.25">
      <c r="A45" s="88" t="s">
        <v>3</v>
      </c>
      <c r="B45" s="49" t="s">
        <v>29</v>
      </c>
      <c r="C45" s="49" t="s">
        <v>104</v>
      </c>
      <c r="D45" s="49" t="s">
        <v>240</v>
      </c>
      <c r="E45" s="51">
        <v>-42500000</v>
      </c>
      <c r="F45" s="51">
        <f>E45/'Reporting Hebdo'!$E$3</f>
      </c>
      <c r="G45" s="88" t="s">
        <v>206</v>
      </c>
    </row>
    <row r="46" spans="1:7" x14ac:dyDescent="0.25">
      <c r="A46" s="88" t="s">
        <v>3</v>
      </c>
      <c r="B46" s="49" t="s">
        <v>29</v>
      </c>
      <c r="C46" s="49" t="s">
        <v>104</v>
      </c>
      <c r="D46" s="49" t="s">
        <v>241</v>
      </c>
      <c r="E46" s="51">
        <v>-33915</v>
      </c>
      <c r="F46" s="51">
        <f>E46/'Reporting Hebdo'!$E$3</f>
      </c>
      <c r="G46" s="88" t="s">
        <v>206</v>
      </c>
    </row>
    <row r="47" spans="1:7" x14ac:dyDescent="0.25">
      <c r="A47" s="88" t="s">
        <v>3</v>
      </c>
      <c r="B47" s="49" t="s">
        <v>29</v>
      </c>
      <c r="C47" s="49" t="s">
        <v>104</v>
      </c>
      <c r="D47" s="49" t="s">
        <v>224</v>
      </c>
      <c r="E47" s="51">
        <v>-127857</v>
      </c>
      <c r="F47" s="51">
        <f>E47/'Reporting Hebdo'!$E$3</f>
      </c>
      <c r="G47" s="88" t="s">
        <v>206</v>
      </c>
    </row>
    <row r="48" spans="1:7" x14ac:dyDescent="0.25">
      <c r="A48" s="88" t="s">
        <v>3</v>
      </c>
      <c r="B48" s="49" t="s">
        <v>29</v>
      </c>
      <c r="C48" s="49" t="s">
        <v>104</v>
      </c>
      <c r="D48" s="49" t="s">
        <v>242</v>
      </c>
      <c r="E48" s="51">
        <v>-205320</v>
      </c>
      <c r="F48" s="51">
        <f>E48/'Reporting Hebdo'!$E$3</f>
      </c>
      <c r="G48" s="88" t="s">
        <v>206</v>
      </c>
    </row>
    <row r="49" spans="1:7" x14ac:dyDescent="0.25">
      <c r="A49" s="88" t="s">
        <v>3</v>
      </c>
      <c r="B49" s="49" t="s">
        <v>29</v>
      </c>
      <c r="C49" s="49" t="s">
        <v>105</v>
      </c>
      <c r="D49" s="49" t="s">
        <v>225</v>
      </c>
      <c r="E49" s="51">
        <v>-697210</v>
      </c>
      <c r="F49" s="51">
        <f>E49/'Reporting Hebdo'!$E$3</f>
      </c>
      <c r="G49" s="88" t="s">
        <v>206</v>
      </c>
    </row>
    <row r="50" spans="1:7" x14ac:dyDescent="0.25">
      <c r="A50" s="88" t="s">
        <v>3</v>
      </c>
      <c r="B50" s="49" t="s">
        <v>29</v>
      </c>
      <c r="C50" s="49" t="s">
        <v>105</v>
      </c>
      <c r="D50" s="49" t="s">
        <v>229</v>
      </c>
      <c r="E50" s="51">
        <v>-862858</v>
      </c>
      <c r="F50" s="51">
        <f>E50/'Reporting Hebdo'!$E$3</f>
      </c>
      <c r="G50" s="88" t="s">
        <v>206</v>
      </c>
    </row>
    <row r="51" spans="1:7" x14ac:dyDescent="0.25">
      <c r="A51" s="88" t="s">
        <v>3</v>
      </c>
      <c r="B51" s="49" t="s">
        <v>29</v>
      </c>
      <c r="C51" s="49" t="s">
        <v>107</v>
      </c>
      <c r="D51" s="49" t="s">
        <v>243</v>
      </c>
      <c r="E51" s="51">
        <v>-104205329</v>
      </c>
      <c r="F51" s="51">
        <f>E51/'Reporting Hebdo'!$E$3</f>
      </c>
      <c r="G51" s="88" t="s">
        <v>206</v>
      </c>
    </row>
    <row r="52" spans="1:7" x14ac:dyDescent="0.25">
      <c r="A52" s="88" t="s">
        <v>3</v>
      </c>
      <c r="B52" s="49" t="s">
        <v>29</v>
      </c>
      <c r="C52" s="49" t="s">
        <v>107</v>
      </c>
      <c r="D52" s="49" t="s">
        <v>244</v>
      </c>
      <c r="E52" s="51">
        <v>-239724319</v>
      </c>
      <c r="F52" s="51">
        <f>E52/'Reporting Hebdo'!$E$3</f>
      </c>
      <c r="G52" s="88" t="s">
        <v>206</v>
      </c>
    </row>
    <row r="53" spans="1:7" x14ac:dyDescent="0.25">
      <c r="A53" s="88" t="s">
        <v>3</v>
      </c>
      <c r="B53" s="49" t="s">
        <v>33</v>
      </c>
      <c r="C53" s="49" t="s">
        <v>104</v>
      </c>
      <c r="D53" s="49" t="s">
        <v>208</v>
      </c>
      <c r="E53" s="51">
        <v>-67515</v>
      </c>
      <c r="F53" s="51">
        <f>E53/'Reporting Hebdo'!$E$3</f>
      </c>
      <c r="G53" s="88" t="s">
        <v>206</v>
      </c>
    </row>
    <row r="54" spans="1:7" x14ac:dyDescent="0.25">
      <c r="A54" s="88" t="s">
        <v>3</v>
      </c>
      <c r="B54" s="49" t="s">
        <v>33</v>
      </c>
      <c r="C54" s="49" t="s">
        <v>104</v>
      </c>
      <c r="D54" s="49" t="s">
        <v>245</v>
      </c>
      <c r="E54" s="51">
        <v>-882980</v>
      </c>
      <c r="F54" s="51">
        <f>E54/'Reporting Hebdo'!$E$3</f>
      </c>
      <c r="G54" s="88" t="s">
        <v>206</v>
      </c>
    </row>
    <row r="55" spans="1:7" x14ac:dyDescent="0.25">
      <c r="A55" s="88" t="s">
        <v>3</v>
      </c>
      <c r="B55" s="49" t="s">
        <v>33</v>
      </c>
      <c r="C55" s="49" t="s">
        <v>104</v>
      </c>
      <c r="D55" s="49" t="s">
        <v>246</v>
      </c>
      <c r="E55" s="51">
        <v>-906950</v>
      </c>
      <c r="F55" s="51">
        <f>E55/'Reporting Hebdo'!$E$3</f>
      </c>
      <c r="G55" s="88" t="s">
        <v>206</v>
      </c>
    </row>
    <row r="56" spans="1:7" x14ac:dyDescent="0.25">
      <c r="A56" s="88" t="s">
        <v>3</v>
      </c>
      <c r="B56" s="49" t="s">
        <v>33</v>
      </c>
      <c r="C56" s="49" t="s">
        <v>104</v>
      </c>
      <c r="D56" s="49" t="s">
        <v>247</v>
      </c>
      <c r="E56" s="51">
        <v>-6428640</v>
      </c>
      <c r="F56" s="51">
        <f>E56/'Reporting Hebdo'!$E$3</f>
      </c>
      <c r="G56" s="88" t="s">
        <v>206</v>
      </c>
    </row>
    <row r="57" spans="1:7" x14ac:dyDescent="0.25">
      <c r="A57" s="88" t="s">
        <v>3</v>
      </c>
      <c r="B57" s="49" t="s">
        <v>33</v>
      </c>
      <c r="C57" s="49" t="s">
        <v>104</v>
      </c>
      <c r="D57" s="49" t="s">
        <v>210</v>
      </c>
      <c r="E57" s="51">
        <v>-1278980</v>
      </c>
      <c r="F57" s="51">
        <f>E57/'Reporting Hebdo'!$E$3</f>
      </c>
      <c r="G57" s="88" t="s">
        <v>206</v>
      </c>
    </row>
    <row r="58" spans="1:7" x14ac:dyDescent="0.25">
      <c r="A58" s="88" t="s">
        <v>3</v>
      </c>
      <c r="B58" s="49" t="s">
        <v>33</v>
      </c>
      <c r="C58" s="49" t="s">
        <v>104</v>
      </c>
      <c r="D58" s="49" t="s">
        <v>223</v>
      </c>
      <c r="E58" s="51">
        <v>-150824</v>
      </c>
      <c r="F58" s="51">
        <f>E58/'Reporting Hebdo'!$E$3</f>
      </c>
      <c r="G58" s="88" t="s">
        <v>206</v>
      </c>
    </row>
    <row r="59" spans="1:7" x14ac:dyDescent="0.25">
      <c r="A59" s="88" t="s">
        <v>3</v>
      </c>
      <c r="B59" s="49" t="s">
        <v>33</v>
      </c>
      <c r="C59" s="49" t="s">
        <v>105</v>
      </c>
      <c r="D59" s="49" t="s">
        <v>226</v>
      </c>
      <c r="E59" s="51">
        <v>-254918009</v>
      </c>
      <c r="F59" s="51">
        <f>E59/'Reporting Hebdo'!$E$3</f>
      </c>
      <c r="G59" s="88" t="s">
        <v>206</v>
      </c>
    </row>
    <row r="60" spans="1:7" x14ac:dyDescent="0.25">
      <c r="A60" s="88" t="s">
        <v>3</v>
      </c>
      <c r="B60" s="49" t="s">
        <v>36</v>
      </c>
      <c r="C60" s="49" t="s">
        <v>104</v>
      </c>
      <c r="D60" s="49" t="s">
        <v>234</v>
      </c>
      <c r="E60" s="51">
        <v>-8342600</v>
      </c>
      <c r="F60" s="51">
        <f>E60/'Reporting Hebdo'!$E$3</f>
      </c>
      <c r="G60" s="88" t="s">
        <v>206</v>
      </c>
    </row>
    <row r="61" spans="1:7" x14ac:dyDescent="0.25">
      <c r="A61" s="88" t="s">
        <v>3</v>
      </c>
      <c r="B61" s="49" t="s">
        <v>36</v>
      </c>
      <c r="C61" s="49" t="s">
        <v>104</v>
      </c>
      <c r="D61" s="49" t="s">
        <v>248</v>
      </c>
      <c r="E61" s="51">
        <v>-141600</v>
      </c>
      <c r="F61" s="51">
        <f>E61/'Reporting Hebdo'!$E$3</f>
      </c>
      <c r="G61" s="88" t="s">
        <v>206</v>
      </c>
    </row>
    <row r="62" spans="1:7" x14ac:dyDescent="0.25">
      <c r="A62" s="88" t="s">
        <v>3</v>
      </c>
      <c r="B62" s="49" t="s">
        <v>36</v>
      </c>
      <c r="C62" s="49" t="s">
        <v>104</v>
      </c>
      <c r="D62" s="49" t="s">
        <v>236</v>
      </c>
      <c r="E62" s="51">
        <v>-3715569</v>
      </c>
      <c r="F62" s="51">
        <f>E62/'Reporting Hebdo'!$E$3</f>
      </c>
      <c r="G62" s="88" t="s">
        <v>206</v>
      </c>
    </row>
    <row r="63" spans="1:7" x14ac:dyDescent="0.25">
      <c r="A63" s="88" t="s">
        <v>3</v>
      </c>
      <c r="B63" s="49" t="s">
        <v>36</v>
      </c>
      <c r="C63" s="49" t="s">
        <v>104</v>
      </c>
      <c r="D63" s="49" t="s">
        <v>249</v>
      </c>
      <c r="E63" s="51">
        <v>-5444443</v>
      </c>
      <c r="F63" s="51">
        <f>E63/'Reporting Hebdo'!$E$3</f>
      </c>
      <c r="G63" s="88" t="s">
        <v>206</v>
      </c>
    </row>
    <row r="64" spans="1:7" x14ac:dyDescent="0.25">
      <c r="A64" s="88" t="s">
        <v>3</v>
      </c>
      <c r="B64" s="49" t="s">
        <v>36</v>
      </c>
      <c r="C64" s="49" t="s">
        <v>104</v>
      </c>
      <c r="D64" s="49" t="s">
        <v>223</v>
      </c>
      <c r="E64" s="51">
        <v>-2333</v>
      </c>
      <c r="F64" s="51">
        <f>E64/'Reporting Hebdo'!$E$3</f>
      </c>
      <c r="G64" s="88" t="s">
        <v>206</v>
      </c>
    </row>
    <row r="65" spans="1:7" x14ac:dyDescent="0.25">
      <c r="A65" s="88" t="s">
        <v>3</v>
      </c>
      <c r="B65" s="49" t="s">
        <v>36</v>
      </c>
      <c r="C65" s="49" t="s">
        <v>105</v>
      </c>
      <c r="D65" s="49" t="s">
        <v>226</v>
      </c>
      <c r="E65" s="51">
        <v>-70731067</v>
      </c>
      <c r="F65" s="51">
        <f>E65/'Reporting Hebdo'!$E$3</f>
      </c>
      <c r="G65" s="88" t="s">
        <v>206</v>
      </c>
    </row>
    <row r="66" spans="1:7" x14ac:dyDescent="0.25">
      <c r="A66" s="88" t="s">
        <v>3</v>
      </c>
      <c r="B66" s="49" t="s">
        <v>36</v>
      </c>
      <c r="C66" s="49" t="s">
        <v>106</v>
      </c>
      <c r="D66" s="49" t="s">
        <v>231</v>
      </c>
      <c r="E66" s="51">
        <v>-93000</v>
      </c>
      <c r="F66" s="51">
        <f>E66/'Reporting Hebdo'!$E$3</f>
      </c>
      <c r="G66" s="88" t="s">
        <v>206</v>
      </c>
    </row>
    <row r="67" spans="1:7" x14ac:dyDescent="0.25">
      <c r="A67" s="88" t="s">
        <v>3</v>
      </c>
      <c r="B67" s="49" t="s">
        <v>36</v>
      </c>
      <c r="C67" s="49" t="s">
        <v>106</v>
      </c>
      <c r="D67" s="49" t="s">
        <v>232</v>
      </c>
      <c r="E67" s="51">
        <v>-65880</v>
      </c>
      <c r="F67" s="51">
        <f>E67/'Reporting Hebdo'!$E$3</f>
      </c>
      <c r="G67" s="88" t="s">
        <v>206</v>
      </c>
    </row>
    <row r="68" spans="1:7" x14ac:dyDescent="0.25">
      <c r="A68" s="88" t="s">
        <v>3</v>
      </c>
      <c r="B68" s="49" t="s">
        <v>39</v>
      </c>
      <c r="C68" s="49" t="s">
        <v>104</v>
      </c>
      <c r="D68" s="49" t="s">
        <v>104</v>
      </c>
      <c r="E68" s="51">
        <v>-8129491</v>
      </c>
      <c r="F68" s="51">
        <f>E68/'Reporting Hebdo'!$E$3</f>
      </c>
      <c r="G68" s="88" t="s">
        <v>206</v>
      </c>
    </row>
    <row r="69" spans="1:7" x14ac:dyDescent="0.25">
      <c r="A69" s="88" t="s">
        <v>3</v>
      </c>
      <c r="B69" s="49" t="s">
        <v>39</v>
      </c>
      <c r="C69" s="49" t="s">
        <v>104</v>
      </c>
      <c r="D69" s="49" t="s">
        <v>154</v>
      </c>
      <c r="E69" s="51">
        <v>-13597292</v>
      </c>
      <c r="F69" s="51">
        <f>E69/'Reporting Hebdo'!$E$3</f>
      </c>
      <c r="G69" s="88" t="s">
        <v>206</v>
      </c>
    </row>
    <row r="70" spans="1:7" x14ac:dyDescent="0.25">
      <c r="A70" s="88" t="s">
        <v>3</v>
      </c>
      <c r="B70" s="49" t="s">
        <v>39</v>
      </c>
      <c r="C70" s="49" t="s">
        <v>104</v>
      </c>
      <c r="D70" s="49" t="s">
        <v>250</v>
      </c>
      <c r="E70" s="51">
        <v>-13597292</v>
      </c>
      <c r="F70" s="51">
        <f>E70/'Reporting Hebdo'!$E$3</f>
      </c>
      <c r="G70" s="88" t="s">
        <v>206</v>
      </c>
    </row>
    <row r="71" spans="1:7" x14ac:dyDescent="0.25">
      <c r="A71" s="88" t="s">
        <v>3</v>
      </c>
      <c r="B71" s="49" t="s">
        <v>39</v>
      </c>
      <c r="C71" s="49" t="s">
        <v>108</v>
      </c>
      <c r="D71" s="49" t="s">
        <v>108</v>
      </c>
      <c r="E71" s="51">
        <v>-22746612</v>
      </c>
      <c r="F71" s="51">
        <f>E71/'Reporting Hebdo'!$E$3</f>
      </c>
      <c r="G71" s="88" t="s">
        <v>206</v>
      </c>
    </row>
    <row r="72" spans="1:7" x14ac:dyDescent="0.25">
      <c r="A72" s="88" t="s">
        <v>3</v>
      </c>
      <c r="B72" s="49" t="s">
        <v>39</v>
      </c>
      <c r="C72" s="49" t="s">
        <v>108</v>
      </c>
      <c r="D72" s="49" t="s">
        <v>251</v>
      </c>
      <c r="E72" s="51">
        <v>-3816546</v>
      </c>
      <c r="F72" s="51">
        <f>E72/'Reporting Hebdo'!$E$3</f>
      </c>
      <c r="G72" s="88" t="s">
        <v>206</v>
      </c>
    </row>
    <row r="73" spans="1:7" x14ac:dyDescent="0.25">
      <c r="A73" s="88" t="s">
        <v>3</v>
      </c>
      <c r="B73" s="49" t="s">
        <v>39</v>
      </c>
      <c r="C73" s="49" t="s">
        <v>108</v>
      </c>
      <c r="D73" s="49" t="s">
        <v>252</v>
      </c>
      <c r="E73" s="51">
        <v>-6780531</v>
      </c>
      <c r="F73" s="51">
        <f>E73/'Reporting Hebdo'!$E$3</f>
      </c>
      <c r="G73" s="88" t="s">
        <v>206</v>
      </c>
    </row>
    <row r="74" spans="1:7" x14ac:dyDescent="0.25">
      <c r="A74" s="88" t="s">
        <v>3</v>
      </c>
      <c r="B74" s="49" t="s">
        <v>39</v>
      </c>
      <c r="C74" s="49" t="s">
        <v>108</v>
      </c>
      <c r="D74" s="49" t="s">
        <v>253</v>
      </c>
      <c r="E74" s="51">
        <v>-62558158</v>
      </c>
      <c r="F74" s="51">
        <f>E74/'Reporting Hebdo'!$E$3</f>
      </c>
      <c r="G74" s="88" t="s">
        <v>206</v>
      </c>
    </row>
    <row r="75" spans="1:7" x14ac:dyDescent="0.25">
      <c r="A75" s="88" t="s">
        <v>3</v>
      </c>
      <c r="B75" s="49" t="s">
        <v>39</v>
      </c>
      <c r="C75" s="49" t="s">
        <v>105</v>
      </c>
      <c r="D75" s="49" t="s">
        <v>254</v>
      </c>
      <c r="E75" s="51">
        <v>-9500000</v>
      </c>
      <c r="F75" s="51">
        <f>E75/'Reporting Hebdo'!$E$3</f>
      </c>
      <c r="G75" s="88" t="s">
        <v>206</v>
      </c>
    </row>
    <row r="76" spans="1:7" x14ac:dyDescent="0.25">
      <c r="A76" s="88" t="s">
        <v>3</v>
      </c>
      <c r="B76" s="49" t="s">
        <v>39</v>
      </c>
      <c r="C76" s="49" t="s">
        <v>105</v>
      </c>
      <c r="D76" s="49" t="s">
        <v>255</v>
      </c>
      <c r="E76" s="51">
        <v>-12160500</v>
      </c>
      <c r="F76" s="51">
        <f>E76/'Reporting Hebdo'!$E$3</f>
      </c>
      <c r="G76" s="88" t="s">
        <v>206</v>
      </c>
    </row>
    <row r="77" spans="1:7" x14ac:dyDescent="0.25">
      <c r="A77" s="88" t="s">
        <v>3</v>
      </c>
      <c r="B77" s="49" t="s">
        <v>39</v>
      </c>
      <c r="C77" s="49" t="s">
        <v>106</v>
      </c>
      <c r="D77" s="49" t="s">
        <v>256</v>
      </c>
      <c r="E77" s="51">
        <v>-16566974</v>
      </c>
      <c r="F77" s="51">
        <f>E77/'Reporting Hebdo'!$E$3</f>
      </c>
      <c r="G77" s="88" t="s">
        <v>206</v>
      </c>
    </row>
    <row r="78" spans="1:7" x14ac:dyDescent="0.25">
      <c r="A78" s="88" t="s">
        <v>3</v>
      </c>
      <c r="B78" s="49" t="s">
        <v>39</v>
      </c>
      <c r="C78" s="49" t="s">
        <v>109</v>
      </c>
      <c r="D78" s="49" t="s">
        <v>257</v>
      </c>
      <c r="E78" s="51">
        <v>-15000000</v>
      </c>
      <c r="F78" s="51">
        <f>E78/'Reporting Hebdo'!$E$3</f>
      </c>
      <c r="G78" s="88" t="s">
        <v>206</v>
      </c>
    </row>
    <row r="79" spans="1:7" x14ac:dyDescent="0.25">
      <c r="A79" s="88" t="s">
        <v>3</v>
      </c>
      <c r="B79" s="49" t="s">
        <v>39</v>
      </c>
      <c r="C79" s="49" t="s">
        <v>110</v>
      </c>
      <c r="D79" s="49" t="s">
        <v>258</v>
      </c>
      <c r="E79" s="51">
        <v>3600000</v>
      </c>
      <c r="F79" s="51">
        <f>E79/'Reporting Hebdo'!$E$3</f>
      </c>
      <c r="G79" s="88" t="s">
        <v>206</v>
      </c>
    </row>
    <row r="80" spans="1:7" x14ac:dyDescent="0.25">
      <c r="A80" s="88" t="s">
        <v>3</v>
      </c>
      <c r="B80" s="49" t="s">
        <v>46</v>
      </c>
      <c r="C80" s="49" t="s">
        <v>104</v>
      </c>
      <c r="D80" s="49" t="s">
        <v>259</v>
      </c>
      <c r="E80" s="51">
        <v>-21000</v>
      </c>
      <c r="F80" s="51">
        <f>E80/'Reporting Hebdo'!$E$3</f>
      </c>
      <c r="G80" s="88" t="s">
        <v>206</v>
      </c>
    </row>
    <row r="81" spans="1:7" x14ac:dyDescent="0.25">
      <c r="A81" s="88" t="s">
        <v>3</v>
      </c>
      <c r="B81" s="49" t="s">
        <v>46</v>
      </c>
      <c r="C81" s="49" t="s">
        <v>104</v>
      </c>
      <c r="D81" s="49" t="s">
        <v>205</v>
      </c>
      <c r="E81" s="51">
        <v>-872957</v>
      </c>
      <c r="F81" s="51">
        <f>E81/'Reporting Hebdo'!$E$3</f>
      </c>
      <c r="G81" s="88" t="s">
        <v>206</v>
      </c>
    </row>
    <row r="82" spans="1:7" x14ac:dyDescent="0.25">
      <c r="A82" s="88" t="s">
        <v>3</v>
      </c>
      <c r="B82" s="49" t="s">
        <v>46</v>
      </c>
      <c r="C82" s="49" t="s">
        <v>104</v>
      </c>
      <c r="D82" s="49" t="s">
        <v>205</v>
      </c>
      <c r="E82" s="51">
        <v>-442184</v>
      </c>
      <c r="F82" s="51">
        <f>E82/'Reporting Hebdo'!$E$3</f>
      </c>
      <c r="G82" s="88" t="s">
        <v>206</v>
      </c>
    </row>
    <row r="83" spans="1:7" x14ac:dyDescent="0.25">
      <c r="A83" s="88" t="s">
        <v>3</v>
      </c>
      <c r="B83" s="49" t="s">
        <v>46</v>
      </c>
      <c r="C83" s="49" t="s">
        <v>104</v>
      </c>
      <c r="D83" s="49" t="s">
        <v>260</v>
      </c>
      <c r="E83" s="51">
        <v>-236000</v>
      </c>
      <c r="F83" s="51">
        <f>E83/'Reporting Hebdo'!$E$3</f>
      </c>
      <c r="G83" s="88" t="s">
        <v>206</v>
      </c>
    </row>
    <row r="84" spans="1:7" x14ac:dyDescent="0.25">
      <c r="A84" s="88" t="s">
        <v>3</v>
      </c>
      <c r="B84" s="49" t="s">
        <v>46</v>
      </c>
      <c r="C84" s="49" t="s">
        <v>104</v>
      </c>
      <c r="D84" s="49" t="s">
        <v>260</v>
      </c>
      <c r="E84" s="51">
        <v>-649000</v>
      </c>
      <c r="F84" s="51">
        <f>E84/'Reporting Hebdo'!$E$3</f>
      </c>
      <c r="G84" s="88" t="s">
        <v>206</v>
      </c>
    </row>
    <row r="85" spans="1:7" x14ac:dyDescent="0.25">
      <c r="A85" s="88" t="s">
        <v>3</v>
      </c>
      <c r="B85" s="49" t="s">
        <v>46</v>
      </c>
      <c r="C85" s="49" t="s">
        <v>104</v>
      </c>
      <c r="D85" s="49" t="s">
        <v>261</v>
      </c>
      <c r="E85" s="51">
        <v>-50000</v>
      </c>
      <c r="F85" s="51">
        <f>E85/'Reporting Hebdo'!$E$3</f>
      </c>
      <c r="G85" s="88" t="s">
        <v>206</v>
      </c>
    </row>
    <row r="86" spans="1:7" x14ac:dyDescent="0.25">
      <c r="A86" s="88" t="s">
        <v>3</v>
      </c>
      <c r="B86" s="49" t="s">
        <v>46</v>
      </c>
      <c r="C86" s="49" t="s">
        <v>104</v>
      </c>
      <c r="D86" s="49" t="s">
        <v>262</v>
      </c>
      <c r="E86" s="51">
        <v>-10745020</v>
      </c>
      <c r="F86" s="51">
        <f>E86/'Reporting Hebdo'!$E$3</f>
      </c>
      <c r="G86" s="88" t="s">
        <v>206</v>
      </c>
    </row>
    <row r="87" spans="1:7" x14ac:dyDescent="0.25">
      <c r="A87" s="88" t="s">
        <v>3</v>
      </c>
      <c r="B87" s="49" t="s">
        <v>46</v>
      </c>
      <c r="C87" s="49" t="s">
        <v>104</v>
      </c>
      <c r="D87" s="49" t="s">
        <v>262</v>
      </c>
      <c r="E87" s="51">
        <v>-401978</v>
      </c>
      <c r="F87" s="51">
        <f>E87/'Reporting Hebdo'!$E$3</f>
      </c>
      <c r="G87" s="88" t="s">
        <v>206</v>
      </c>
    </row>
    <row r="88" spans="1:7" x14ac:dyDescent="0.25">
      <c r="A88" s="88" t="s">
        <v>3</v>
      </c>
      <c r="B88" s="49" t="s">
        <v>46</v>
      </c>
      <c r="C88" s="49" t="s">
        <v>104</v>
      </c>
      <c r="D88" s="49" t="s">
        <v>263</v>
      </c>
      <c r="E88" s="51">
        <v>-324500</v>
      </c>
      <c r="F88" s="51">
        <f>E88/'Reporting Hebdo'!$E$3</f>
      </c>
      <c r="G88" s="88" t="s">
        <v>206</v>
      </c>
    </row>
    <row r="89" spans="1:7" x14ac:dyDescent="0.25">
      <c r="A89" s="88" t="s">
        <v>3</v>
      </c>
      <c r="B89" s="49" t="s">
        <v>46</v>
      </c>
      <c r="C89" s="49" t="s">
        <v>104</v>
      </c>
      <c r="D89" s="49" t="s">
        <v>263</v>
      </c>
      <c r="E89" s="51">
        <v>-649000</v>
      </c>
      <c r="F89" s="51">
        <f>E89/'Reporting Hebdo'!$E$3</f>
      </c>
      <c r="G89" s="88" t="s">
        <v>206</v>
      </c>
    </row>
    <row r="90" spans="1:7" x14ac:dyDescent="0.25">
      <c r="A90" s="88" t="s">
        <v>3</v>
      </c>
      <c r="B90" s="49" t="s">
        <v>46</v>
      </c>
      <c r="C90" s="49" t="s">
        <v>104</v>
      </c>
      <c r="D90" s="49" t="s">
        <v>264</v>
      </c>
      <c r="E90" s="51">
        <v>-895000</v>
      </c>
      <c r="F90" s="51">
        <f>E90/'Reporting Hebdo'!$E$3</f>
      </c>
      <c r="G90" s="88" t="s">
        <v>206</v>
      </c>
    </row>
    <row r="91" spans="1:7" x14ac:dyDescent="0.25">
      <c r="A91" s="88" t="s">
        <v>3</v>
      </c>
      <c r="B91" s="49" t="s">
        <v>46</v>
      </c>
      <c r="C91" s="49" t="s">
        <v>104</v>
      </c>
      <c r="D91" s="49" t="s">
        <v>215</v>
      </c>
      <c r="E91" s="51">
        <v>-10482986</v>
      </c>
      <c r="F91" s="51">
        <f>E91/'Reporting Hebdo'!$E$3</f>
      </c>
      <c r="G91" s="88" t="s">
        <v>206</v>
      </c>
    </row>
    <row r="92" spans="1:7" x14ac:dyDescent="0.25">
      <c r="A92" s="88" t="s">
        <v>3</v>
      </c>
      <c r="B92" s="49" t="s">
        <v>46</v>
      </c>
      <c r="C92" s="49" t="s">
        <v>104</v>
      </c>
      <c r="D92" s="49" t="s">
        <v>215</v>
      </c>
      <c r="E92" s="51">
        <v>-6955324</v>
      </c>
      <c r="F92" s="51">
        <f>E92/'Reporting Hebdo'!$E$3</f>
      </c>
      <c r="G92" s="88" t="s">
        <v>206</v>
      </c>
    </row>
    <row r="93" spans="1:7" x14ac:dyDescent="0.25">
      <c r="A93" s="88" t="s">
        <v>3</v>
      </c>
      <c r="B93" s="49" t="s">
        <v>46</v>
      </c>
      <c r="C93" s="49" t="s">
        <v>104</v>
      </c>
      <c r="D93" s="49" t="s">
        <v>265</v>
      </c>
      <c r="E93" s="51">
        <v>-17342250</v>
      </c>
      <c r="F93" s="51">
        <f>E93/'Reporting Hebdo'!$E$3</f>
      </c>
      <c r="G93" s="88" t="s">
        <v>206</v>
      </c>
    </row>
    <row r="94" spans="1:7" x14ac:dyDescent="0.25">
      <c r="A94" s="88" t="s">
        <v>3</v>
      </c>
      <c r="B94" s="49" t="s">
        <v>46</v>
      </c>
      <c r="C94" s="49" t="s">
        <v>104</v>
      </c>
      <c r="D94" s="49" t="s">
        <v>266</v>
      </c>
      <c r="E94" s="51">
        <v>-250002</v>
      </c>
      <c r="F94" s="51">
        <f>E94/'Reporting Hebdo'!$E$3</f>
      </c>
      <c r="G94" s="88" t="s">
        <v>206</v>
      </c>
    </row>
    <row r="95" spans="1:7" x14ac:dyDescent="0.25">
      <c r="A95" s="88" t="s">
        <v>3</v>
      </c>
      <c r="B95" s="49" t="s">
        <v>46</v>
      </c>
      <c r="C95" s="49" t="s">
        <v>104</v>
      </c>
      <c r="D95" s="49" t="s">
        <v>267</v>
      </c>
      <c r="E95" s="51">
        <v>-4598460</v>
      </c>
      <c r="F95" s="51">
        <f>E95/'Reporting Hebdo'!$E$3</f>
      </c>
      <c r="G95" s="88" t="s">
        <v>206</v>
      </c>
    </row>
    <row r="96" spans="1:7" x14ac:dyDescent="0.25">
      <c r="A96" s="88" t="s">
        <v>3</v>
      </c>
      <c r="B96" s="49" t="s">
        <v>46</v>
      </c>
      <c r="C96" s="49" t="s">
        <v>104</v>
      </c>
      <c r="D96" s="49" t="s">
        <v>267</v>
      </c>
      <c r="E96" s="51">
        <v>-1839384</v>
      </c>
      <c r="F96" s="51">
        <f>E96/'Reporting Hebdo'!$E$3</f>
      </c>
      <c r="G96" s="88" t="s">
        <v>206</v>
      </c>
    </row>
    <row r="97" spans="1:7" x14ac:dyDescent="0.25">
      <c r="A97" s="88" t="s">
        <v>3</v>
      </c>
      <c r="B97" s="49" t="s">
        <v>46</v>
      </c>
      <c r="C97" s="49" t="s">
        <v>104</v>
      </c>
      <c r="D97" s="49" t="s">
        <v>268</v>
      </c>
      <c r="E97" s="51">
        <v>-2478000</v>
      </c>
      <c r="F97" s="51">
        <f>E97/'Reporting Hebdo'!$E$3</f>
      </c>
      <c r="G97" s="88" t="s">
        <v>206</v>
      </c>
    </row>
    <row r="98" spans="1:7" x14ac:dyDescent="0.25">
      <c r="A98" s="88" t="s">
        <v>3</v>
      </c>
      <c r="B98" s="49" t="s">
        <v>46</v>
      </c>
      <c r="C98" s="49" t="s">
        <v>105</v>
      </c>
      <c r="D98" s="49" t="s">
        <v>225</v>
      </c>
      <c r="E98" s="51">
        <v>-2000000</v>
      </c>
      <c r="F98" s="51">
        <f>E98/'Reporting Hebdo'!$E$3</f>
      </c>
      <c r="G98" s="88" t="s">
        <v>206</v>
      </c>
    </row>
    <row r="99" spans="1:7" x14ac:dyDescent="0.25">
      <c r="A99" s="88" t="s">
        <v>3</v>
      </c>
      <c r="B99" s="49" t="s">
        <v>46</v>
      </c>
      <c r="C99" s="49" t="s">
        <v>105</v>
      </c>
      <c r="D99" s="49" t="s">
        <v>228</v>
      </c>
      <c r="E99" s="51">
        <v>-60980429</v>
      </c>
      <c r="F99" s="51">
        <f>E99/'Reporting Hebdo'!$E$3</f>
      </c>
      <c r="G99" s="88" t="s">
        <v>206</v>
      </c>
    </row>
    <row r="100" spans="1:7" x14ac:dyDescent="0.25">
      <c r="A100" s="88" t="s">
        <v>3</v>
      </c>
      <c r="B100" s="49" t="s">
        <v>46</v>
      </c>
      <c r="C100" s="49" t="s">
        <v>106</v>
      </c>
      <c r="D100" s="49" t="s">
        <v>231</v>
      </c>
      <c r="E100" s="51">
        <v>-3493728</v>
      </c>
      <c r="F100" s="51">
        <f>E100/'Reporting Hebdo'!$E$3</f>
      </c>
      <c r="G100" s="88" t="s">
        <v>206</v>
      </c>
    </row>
    <row r="101" spans="1:7" x14ac:dyDescent="0.25">
      <c r="A101" s="88" t="s">
        <v>3</v>
      </c>
      <c r="B101" s="49" t="s">
        <v>46</v>
      </c>
      <c r="C101" s="49" t="s">
        <v>106</v>
      </c>
      <c r="D101" s="49" t="s">
        <v>232</v>
      </c>
      <c r="E101" s="51">
        <v>-49459217</v>
      </c>
      <c r="F101" s="51">
        <f>E101/'Reporting Hebdo'!$E$3</f>
      </c>
      <c r="G101" s="88" t="s">
        <v>206</v>
      </c>
    </row>
    <row r="102" spans="1:7" x14ac:dyDescent="0.25">
      <c r="A102" s="88" t="s">
        <v>3</v>
      </c>
      <c r="B102" s="49" t="s">
        <v>50</v>
      </c>
      <c r="C102" s="49" t="s">
        <v>104</v>
      </c>
      <c r="D102" s="49" t="s">
        <v>269</v>
      </c>
      <c r="E102" s="51">
        <v>-2289000</v>
      </c>
      <c r="F102" s="51">
        <f>E102/'Reporting Hebdo'!$E$3</f>
      </c>
      <c r="G102" s="88" t="s">
        <v>206</v>
      </c>
    </row>
    <row r="103" spans="1:7" x14ac:dyDescent="0.25">
      <c r="A103" s="88" t="s">
        <v>3</v>
      </c>
      <c r="B103" s="49" t="s">
        <v>50</v>
      </c>
      <c r="C103" s="49" t="s">
        <v>104</v>
      </c>
      <c r="D103" s="49" t="s">
        <v>270</v>
      </c>
      <c r="E103" s="51">
        <v>-250000</v>
      </c>
      <c r="F103" s="51">
        <f>E103/'Reporting Hebdo'!$E$3</f>
      </c>
      <c r="G103" s="88" t="s">
        <v>206</v>
      </c>
    </row>
    <row r="104" spans="1:7" x14ac:dyDescent="0.25">
      <c r="A104" s="88" t="s">
        <v>3</v>
      </c>
      <c r="B104" s="49" t="s">
        <v>50</v>
      </c>
      <c r="C104" s="49" t="s">
        <v>105</v>
      </c>
      <c r="D104" s="49" t="s">
        <v>271</v>
      </c>
      <c r="E104" s="51">
        <v>-3750000</v>
      </c>
      <c r="F104" s="51">
        <f>E104/'Reporting Hebdo'!$E$3</f>
      </c>
      <c r="G104" s="88" t="s">
        <v>206</v>
      </c>
    </row>
    <row r="105" spans="1:7" x14ac:dyDescent="0.25">
      <c r="A105" s="88" t="s">
        <v>3</v>
      </c>
      <c r="B105" s="49" t="s">
        <v>53</v>
      </c>
      <c r="C105" s="49" t="s">
        <v>104</v>
      </c>
      <c r="D105" s="49" t="s">
        <v>272</v>
      </c>
      <c r="E105" s="51">
        <v>-310000</v>
      </c>
      <c r="F105" s="51">
        <f>E105/'Reporting Hebdo'!$E$3</f>
      </c>
      <c r="G105" s="88" t="s">
        <v>206</v>
      </c>
    </row>
    <row r="106" spans="1:7" x14ac:dyDescent="0.25">
      <c r="A106" s="88" t="s">
        <v>3</v>
      </c>
      <c r="B106" s="49" t="s">
        <v>53</v>
      </c>
      <c r="C106" s="49" t="s">
        <v>104</v>
      </c>
      <c r="D106" s="49" t="s">
        <v>273</v>
      </c>
      <c r="E106" s="51">
        <v>-463565</v>
      </c>
      <c r="F106" s="51">
        <f>E106/'Reporting Hebdo'!$E$3</f>
      </c>
      <c r="G106" s="88" t="s">
        <v>206</v>
      </c>
    </row>
    <row r="107" spans="1:7" x14ac:dyDescent="0.25">
      <c r="A107" s="88" t="s">
        <v>3</v>
      </c>
      <c r="B107" s="49" t="s">
        <v>53</v>
      </c>
      <c r="C107" s="49" t="s">
        <v>104</v>
      </c>
      <c r="D107" s="49" t="s">
        <v>273</v>
      </c>
      <c r="E107" s="51">
        <v>-2926224</v>
      </c>
      <c r="F107" s="51">
        <f>E107/'Reporting Hebdo'!$E$3</f>
      </c>
      <c r="G107" s="88" t="s">
        <v>206</v>
      </c>
    </row>
    <row r="108" spans="1:7" x14ac:dyDescent="0.25">
      <c r="A108" s="88" t="s">
        <v>3</v>
      </c>
      <c r="B108" s="49" t="s">
        <v>53</v>
      </c>
      <c r="C108" s="49" t="s">
        <v>104</v>
      </c>
      <c r="D108" s="49" t="s">
        <v>260</v>
      </c>
      <c r="E108" s="51">
        <v>-1014800</v>
      </c>
      <c r="F108" s="51">
        <f>E108/'Reporting Hebdo'!$E$3</f>
      </c>
      <c r="G108" s="88" t="s">
        <v>206</v>
      </c>
    </row>
    <row r="109" spans="1:7" x14ac:dyDescent="0.25">
      <c r="A109" s="88" t="s">
        <v>3</v>
      </c>
      <c r="B109" s="49" t="s">
        <v>53</v>
      </c>
      <c r="C109" s="49" t="s">
        <v>104</v>
      </c>
      <c r="D109" s="49" t="s">
        <v>260</v>
      </c>
      <c r="E109" s="51">
        <v>-118000</v>
      </c>
      <c r="F109" s="51">
        <f>E109/'Reporting Hebdo'!$E$3</f>
      </c>
      <c r="G109" s="88" t="s">
        <v>206</v>
      </c>
    </row>
    <row r="110" spans="1:7" x14ac:dyDescent="0.25">
      <c r="A110" s="88" t="s">
        <v>3</v>
      </c>
      <c r="B110" s="49" t="s">
        <v>53</v>
      </c>
      <c r="C110" s="49" t="s">
        <v>104</v>
      </c>
      <c r="D110" s="49" t="s">
        <v>236</v>
      </c>
      <c r="E110" s="51">
        <v>-1340000</v>
      </c>
      <c r="F110" s="51">
        <f>E110/'Reporting Hebdo'!$E$3</f>
      </c>
      <c r="G110" s="88" t="s">
        <v>206</v>
      </c>
    </row>
    <row r="111" spans="1:7" x14ac:dyDescent="0.25">
      <c r="A111" s="88" t="s">
        <v>3</v>
      </c>
      <c r="B111" s="49" t="s">
        <v>53</v>
      </c>
      <c r="C111" s="49" t="s">
        <v>104</v>
      </c>
      <c r="D111" s="49" t="s">
        <v>274</v>
      </c>
      <c r="E111" s="51">
        <v>-73160</v>
      </c>
      <c r="F111" s="51">
        <f>E111/'Reporting Hebdo'!$E$3</f>
      </c>
      <c r="G111" s="88" t="s">
        <v>206</v>
      </c>
    </row>
    <row r="112" spans="1:7" x14ac:dyDescent="0.25">
      <c r="A112" s="88" t="s">
        <v>3</v>
      </c>
      <c r="B112" s="49" t="s">
        <v>53</v>
      </c>
      <c r="C112" s="49" t="s">
        <v>105</v>
      </c>
      <c r="D112" s="49" t="s">
        <v>226</v>
      </c>
      <c r="E112" s="51">
        <v>-3818322</v>
      </c>
      <c r="F112" s="51">
        <f>E112/'Reporting Hebdo'!$E$3</f>
      </c>
      <c r="G112" s="88" t="s">
        <v>206</v>
      </c>
    </row>
    <row r="113" spans="1:7" x14ac:dyDescent="0.25">
      <c r="A113" s="88" t="s">
        <v>3</v>
      </c>
      <c r="B113" s="49" t="s">
        <v>53</v>
      </c>
      <c r="C113" s="49" t="s">
        <v>105</v>
      </c>
      <c r="D113" s="49" t="s">
        <v>275</v>
      </c>
      <c r="E113" s="51">
        <v>-5313251</v>
      </c>
      <c r="F113" s="51">
        <f>E113/'Reporting Hebdo'!$E$3</f>
      </c>
      <c r="G113" s="88" t="s">
        <v>206</v>
      </c>
    </row>
    <row r="114" spans="1:7" x14ac:dyDescent="0.25">
      <c r="A114" s="88" t="s">
        <v>3</v>
      </c>
      <c r="B114" s="49" t="s">
        <v>53</v>
      </c>
      <c r="C114" s="49" t="s">
        <v>106</v>
      </c>
      <c r="D114" s="49" t="s">
        <v>231</v>
      </c>
      <c r="E114" s="51">
        <v>-1130000</v>
      </c>
      <c r="F114" s="51">
        <f>E114/'Reporting Hebdo'!$E$3</f>
      </c>
      <c r="G114" s="88" t="s">
        <v>206</v>
      </c>
    </row>
    <row r="115" spans="1:7" x14ac:dyDescent="0.25">
      <c r="A115" s="88" t="s">
        <v>3</v>
      </c>
      <c r="B115" s="49" t="s">
        <v>53</v>
      </c>
      <c r="C115" s="49" t="s">
        <v>106</v>
      </c>
      <c r="D115" s="49" t="s">
        <v>232</v>
      </c>
      <c r="E115" s="51">
        <v>-20811016</v>
      </c>
      <c r="F115" s="51">
        <f>E115/'Reporting Hebdo'!$E$3</f>
      </c>
      <c r="G115" s="88" t="s">
        <v>206</v>
      </c>
    </row>
    <row r="116" spans="1:7" x14ac:dyDescent="0.25">
      <c r="A116" s="88" t="s">
        <v>3</v>
      </c>
      <c r="B116" s="49" t="s">
        <v>59</v>
      </c>
      <c r="C116" s="49" t="s">
        <v>104</v>
      </c>
      <c r="D116" s="49" t="s">
        <v>260</v>
      </c>
      <c r="E116" s="51">
        <v>-1239000</v>
      </c>
      <c r="F116" s="51">
        <f>E116/'Reporting Hebdo'!$E$3</f>
      </c>
      <c r="G116" s="88" t="s">
        <v>206</v>
      </c>
    </row>
    <row r="117" spans="1:7" x14ac:dyDescent="0.25">
      <c r="A117" s="88" t="s">
        <v>3</v>
      </c>
      <c r="B117" s="49" t="s">
        <v>59</v>
      </c>
      <c r="C117" s="49" t="s">
        <v>104</v>
      </c>
      <c r="D117" s="49" t="s">
        <v>276</v>
      </c>
      <c r="E117" s="51">
        <v>-336100</v>
      </c>
      <c r="F117" s="51">
        <f>E117/'Reporting Hebdo'!$E$3</f>
      </c>
      <c r="G117" s="88" t="s">
        <v>206</v>
      </c>
    </row>
    <row r="118" spans="1:7" x14ac:dyDescent="0.25">
      <c r="A118" s="88" t="s">
        <v>3</v>
      </c>
      <c r="B118" s="49" t="s">
        <v>59</v>
      </c>
      <c r="C118" s="49" t="s">
        <v>105</v>
      </c>
      <c r="D118" s="49" t="s">
        <v>225</v>
      </c>
      <c r="E118" s="51">
        <v>-8000000</v>
      </c>
      <c r="F118" s="51">
        <f>E118/'Reporting Hebdo'!$E$3</f>
      </c>
      <c r="G118" s="88" t="s">
        <v>206</v>
      </c>
    </row>
    <row r="119" spans="1:7" x14ac:dyDescent="0.25">
      <c r="A119" s="88" t="s">
        <v>3</v>
      </c>
      <c r="B119" s="49" t="s">
        <v>61</v>
      </c>
      <c r="C119" s="49" t="s">
        <v>105</v>
      </c>
      <c r="D119" s="49" t="s">
        <v>228</v>
      </c>
      <c r="E119" s="51">
        <v>-30693516</v>
      </c>
      <c r="F119" s="51">
        <f>E119/'Reporting Hebdo'!$E$3</f>
      </c>
      <c r="G119" s="88" t="s">
        <v>206</v>
      </c>
    </row>
    <row r="120" spans="1:7" x14ac:dyDescent="0.25">
      <c r="A120" s="88" t="s">
        <v>3</v>
      </c>
      <c r="B120" s="49" t="s">
        <v>61</v>
      </c>
      <c r="C120" s="49" t="s">
        <v>105</v>
      </c>
      <c r="D120" s="49" t="s">
        <v>230</v>
      </c>
      <c r="E120" s="51">
        <v>-5211826</v>
      </c>
      <c r="F120" s="51">
        <f>E120/'Reporting Hebdo'!$E$3</f>
      </c>
      <c r="G120" s="88" t="s">
        <v>206</v>
      </c>
    </row>
    <row r="121" spans="1:7" x14ac:dyDescent="0.25">
      <c r="A121" s="88" t="s">
        <v>3</v>
      </c>
      <c r="B121" s="49" t="s">
        <v>61</v>
      </c>
      <c r="C121" s="49" t="s">
        <v>106</v>
      </c>
      <c r="D121" s="49" t="s">
        <v>231</v>
      </c>
      <c r="E121" s="51">
        <v>-79000</v>
      </c>
      <c r="F121" s="51">
        <f>E121/'Reporting Hebdo'!$E$3</f>
      </c>
      <c r="G121" s="88" t="s">
        <v>206</v>
      </c>
    </row>
    <row r="122" spans="1:7" x14ac:dyDescent="0.25">
      <c r="A122" s="88" t="s">
        <v>3</v>
      </c>
      <c r="B122" s="49" t="s">
        <v>61</v>
      </c>
      <c r="C122" s="49" t="s">
        <v>106</v>
      </c>
      <c r="D122" s="49" t="s">
        <v>232</v>
      </c>
      <c r="E122" s="51">
        <v>-9102192</v>
      </c>
      <c r="F122" s="51">
        <f>E122/'Reporting Hebdo'!$E$3</f>
      </c>
      <c r="G122" s="88" t="s">
        <v>206</v>
      </c>
    </row>
    <row r="123" spans="1:7" x14ac:dyDescent="0.25">
      <c r="A123" s="88" t="s">
        <v>4</v>
      </c>
      <c r="B123" s="49" t="s">
        <v>22</v>
      </c>
      <c r="C123" s="49" t="s">
        <v>105</v>
      </c>
      <c r="D123" s="49" t="s">
        <v>228</v>
      </c>
      <c r="E123" s="51">
        <v>-6300000</v>
      </c>
      <c r="F123" s="51">
        <f>E123/'Reporting Hebdo'!$E$3</f>
      </c>
      <c r="G123" s="88" t="s">
        <v>206</v>
      </c>
    </row>
    <row r="124" spans="1:7" x14ac:dyDescent="0.25">
      <c r="A124" s="88" t="s">
        <v>4</v>
      </c>
      <c r="B124" s="49" t="s">
        <v>22</v>
      </c>
      <c r="C124" s="49" t="s">
        <v>106</v>
      </c>
      <c r="D124" s="49" t="s">
        <v>231</v>
      </c>
      <c r="E124" s="51">
        <v>-40000</v>
      </c>
      <c r="F124" s="51">
        <f>E124/'Reporting Hebdo'!$E$3</f>
      </c>
      <c r="G124" s="88" t="s">
        <v>206</v>
      </c>
    </row>
    <row r="125" spans="1:7" x14ac:dyDescent="0.25">
      <c r="A125" s="88" t="s">
        <v>4</v>
      </c>
      <c r="B125" s="49" t="s">
        <v>22</v>
      </c>
      <c r="C125" s="49" t="s">
        <v>106</v>
      </c>
      <c r="D125" s="49" t="s">
        <v>232</v>
      </c>
      <c r="E125" s="51">
        <v>-3000000</v>
      </c>
      <c r="F125" s="51">
        <f>E125/'Reporting Hebdo'!$E$3</f>
      </c>
      <c r="G125" s="88" t="s">
        <v>206</v>
      </c>
    </row>
    <row r="126" spans="1:7" x14ac:dyDescent="0.25">
      <c r="A126" s="88" t="s">
        <v>4</v>
      </c>
      <c r="B126" s="49" t="s">
        <v>29</v>
      </c>
      <c r="C126" s="49" t="s">
        <v>104</v>
      </c>
      <c r="D126" s="49" t="s">
        <v>277</v>
      </c>
      <c r="E126" s="51">
        <v>-354000</v>
      </c>
      <c r="F126" s="51">
        <f>E126/'Reporting Hebdo'!$E$3</f>
      </c>
      <c r="G126" s="88" t="s">
        <v>206</v>
      </c>
    </row>
    <row r="127" spans="1:7" x14ac:dyDescent="0.25">
      <c r="A127" s="88" t="s">
        <v>4</v>
      </c>
      <c r="B127" s="49" t="s">
        <v>29</v>
      </c>
      <c r="C127" s="49" t="s">
        <v>104</v>
      </c>
      <c r="D127" s="49" t="s">
        <v>278</v>
      </c>
      <c r="E127" s="51">
        <v>-987840</v>
      </c>
      <c r="F127" s="51">
        <f>E127/'Reporting Hebdo'!$E$3</f>
      </c>
      <c r="G127" s="88" t="s">
        <v>206</v>
      </c>
    </row>
    <row r="128" spans="1:7" x14ac:dyDescent="0.25">
      <c r="A128" s="88" t="s">
        <v>4</v>
      </c>
      <c r="B128" s="49" t="s">
        <v>29</v>
      </c>
      <c r="C128" s="49" t="s">
        <v>104</v>
      </c>
      <c r="D128" s="49" t="s">
        <v>279</v>
      </c>
      <c r="E128" s="51">
        <v>-448160</v>
      </c>
      <c r="F128" s="51">
        <f>E128/'Reporting Hebdo'!$E$3</f>
      </c>
      <c r="G128" s="88" t="s">
        <v>206</v>
      </c>
    </row>
    <row r="129" spans="1:7" x14ac:dyDescent="0.25">
      <c r="A129" s="88" t="s">
        <v>4</v>
      </c>
      <c r="B129" s="49" t="s">
        <v>29</v>
      </c>
      <c r="C129" s="49" t="s">
        <v>104</v>
      </c>
      <c r="D129" s="49" t="s">
        <v>280</v>
      </c>
      <c r="E129" s="51">
        <v>-4287294</v>
      </c>
      <c r="F129" s="51">
        <f>E129/'Reporting Hebdo'!$E$3</f>
      </c>
      <c r="G129" s="88" t="s">
        <v>206</v>
      </c>
    </row>
    <row r="130" spans="1:7" x14ac:dyDescent="0.25">
      <c r="A130" s="88" t="s">
        <v>4</v>
      </c>
      <c r="B130" s="49" t="s">
        <v>29</v>
      </c>
      <c r="C130" s="49" t="s">
        <v>104</v>
      </c>
      <c r="D130" s="49" t="s">
        <v>281</v>
      </c>
      <c r="E130" s="51">
        <v>-725700</v>
      </c>
      <c r="F130" s="51">
        <f>E130/'Reporting Hebdo'!$E$3</f>
      </c>
      <c r="G130" s="88" t="s">
        <v>206</v>
      </c>
    </row>
    <row r="131" spans="1:7" x14ac:dyDescent="0.25">
      <c r="A131" s="88" t="s">
        <v>4</v>
      </c>
      <c r="B131" s="49" t="s">
        <v>29</v>
      </c>
      <c r="C131" s="49" t="s">
        <v>104</v>
      </c>
      <c r="D131" s="49" t="s">
        <v>282</v>
      </c>
      <c r="E131" s="51">
        <v>-894657</v>
      </c>
      <c r="F131" s="51">
        <f>E131/'Reporting Hebdo'!$E$3</f>
      </c>
      <c r="G131" s="88" t="s">
        <v>206</v>
      </c>
    </row>
    <row r="132" spans="1:7" x14ac:dyDescent="0.25">
      <c r="A132" s="88" t="s">
        <v>4</v>
      </c>
      <c r="B132" s="49" t="s">
        <v>29</v>
      </c>
      <c r="C132" s="49" t="s">
        <v>104</v>
      </c>
      <c r="D132" s="49" t="s">
        <v>241</v>
      </c>
      <c r="E132" s="51">
        <v>-3441667</v>
      </c>
      <c r="F132" s="51">
        <f>E132/'Reporting Hebdo'!$E$3</f>
      </c>
      <c r="G132" s="88" t="s">
        <v>206</v>
      </c>
    </row>
    <row r="133" spans="1:7" x14ac:dyDescent="0.25">
      <c r="A133" s="88" t="s">
        <v>4</v>
      </c>
      <c r="B133" s="49" t="s">
        <v>29</v>
      </c>
      <c r="C133" s="49" t="s">
        <v>104</v>
      </c>
      <c r="D133" s="49" t="s">
        <v>283</v>
      </c>
      <c r="E133" s="51">
        <v>-17700000</v>
      </c>
      <c r="F133" s="51">
        <f>E133/'Reporting Hebdo'!$E$3</f>
      </c>
      <c r="G133" s="88" t="s">
        <v>206</v>
      </c>
    </row>
    <row r="134" spans="1:7" x14ac:dyDescent="0.25">
      <c r="A134" s="88" t="s">
        <v>4</v>
      </c>
      <c r="B134" s="49" t="s">
        <v>29</v>
      </c>
      <c r="C134" s="49" t="s">
        <v>110</v>
      </c>
      <c r="D134" s="49" t="s">
        <v>284</v>
      </c>
      <c r="E134" s="51">
        <v>40108091</v>
      </c>
      <c r="F134" s="51">
        <f>E134/'Reporting Hebdo'!$E$3</f>
      </c>
      <c r="G134" s="88" t="s">
        <v>206</v>
      </c>
    </row>
    <row r="135" spans="1:7" x14ac:dyDescent="0.25">
      <c r="A135" s="88" t="s">
        <v>4</v>
      </c>
      <c r="B135" s="49" t="s">
        <v>29</v>
      </c>
      <c r="C135" s="49" t="s">
        <v>110</v>
      </c>
      <c r="D135" s="49" t="s">
        <v>285</v>
      </c>
      <c r="E135" s="51">
        <v>18879177</v>
      </c>
      <c r="F135" s="51">
        <f>E135/'Reporting Hebdo'!$E$3</f>
      </c>
      <c r="G135" s="88" t="s">
        <v>206</v>
      </c>
    </row>
    <row r="136" spans="1:7" x14ac:dyDescent="0.25">
      <c r="A136" s="88" t="s">
        <v>4</v>
      </c>
      <c r="B136" s="49" t="s">
        <v>29</v>
      </c>
      <c r="C136" s="49" t="s">
        <v>110</v>
      </c>
      <c r="D136" s="49" t="s">
        <v>286</v>
      </c>
      <c r="E136" s="51">
        <v>37713779</v>
      </c>
      <c r="F136" s="51">
        <f>E136/'Reporting Hebdo'!$E$3</f>
      </c>
      <c r="G136" s="88" t="s">
        <v>206</v>
      </c>
    </row>
    <row r="137" spans="1:7" x14ac:dyDescent="0.25">
      <c r="A137" s="88" t="s">
        <v>4</v>
      </c>
      <c r="B137" s="49" t="s">
        <v>29</v>
      </c>
      <c r="C137" s="49" t="s">
        <v>110</v>
      </c>
      <c r="D137" s="49" t="s">
        <v>287</v>
      </c>
      <c r="E137" s="51">
        <v>6007639</v>
      </c>
      <c r="F137" s="51">
        <f>E137/'Reporting Hebdo'!$E$3</f>
      </c>
      <c r="G137" s="88" t="s">
        <v>206</v>
      </c>
    </row>
    <row r="138" spans="1:7" x14ac:dyDescent="0.25">
      <c r="A138" s="88" t="s">
        <v>4</v>
      </c>
      <c r="B138" s="49" t="s">
        <v>29</v>
      </c>
      <c r="C138" s="49" t="s">
        <v>110</v>
      </c>
      <c r="D138" s="49" t="s">
        <v>288</v>
      </c>
      <c r="E138" s="51">
        <v>20000000</v>
      </c>
      <c r="F138" s="51">
        <f>E138/'Reporting Hebdo'!$E$3</f>
      </c>
      <c r="G138" s="88" t="s">
        <v>206</v>
      </c>
    </row>
    <row r="139" spans="1:7" x14ac:dyDescent="0.25">
      <c r="A139" s="88" t="s">
        <v>4</v>
      </c>
      <c r="B139" s="49" t="s">
        <v>29</v>
      </c>
      <c r="C139" s="49" t="s">
        <v>110</v>
      </c>
      <c r="D139" s="49" t="s">
        <v>289</v>
      </c>
      <c r="E139" s="51">
        <v>6859578</v>
      </c>
      <c r="F139" s="51">
        <f>E139/'Reporting Hebdo'!$E$3</f>
      </c>
      <c r="G139" s="88" t="s">
        <v>206</v>
      </c>
    </row>
    <row r="140" spans="1:7" x14ac:dyDescent="0.25">
      <c r="A140" s="88" t="s">
        <v>4</v>
      </c>
      <c r="B140" s="49" t="s">
        <v>36</v>
      </c>
      <c r="C140" s="49" t="s">
        <v>105</v>
      </c>
      <c r="D140" s="49" t="s">
        <v>228</v>
      </c>
      <c r="E140" s="51">
        <v>-70000</v>
      </c>
      <c r="F140" s="51">
        <f>E140/'Reporting Hebdo'!$E$3</f>
      </c>
      <c r="G140" s="88" t="s">
        <v>206</v>
      </c>
    </row>
    <row r="141" spans="1:7" x14ac:dyDescent="0.25">
      <c r="A141" s="88" t="s">
        <v>4</v>
      </c>
      <c r="B141" s="49" t="s">
        <v>36</v>
      </c>
      <c r="C141" s="49" t="s">
        <v>106</v>
      </c>
      <c r="D141" s="49" t="s">
        <v>231</v>
      </c>
      <c r="E141" s="51">
        <v>-1000</v>
      </c>
      <c r="F141" s="51">
        <f>E141/'Reporting Hebdo'!$E$3</f>
      </c>
      <c r="G141" s="88" t="s">
        <v>206</v>
      </c>
    </row>
    <row r="142" spans="1:7" x14ac:dyDescent="0.25">
      <c r="A142" s="88" t="s">
        <v>4</v>
      </c>
      <c r="B142" s="49" t="s">
        <v>36</v>
      </c>
      <c r="C142" s="49" t="s">
        <v>106</v>
      </c>
      <c r="D142" s="49" t="s">
        <v>232</v>
      </c>
      <c r="E142" s="51">
        <v>-90000</v>
      </c>
      <c r="F142" s="51">
        <f>E142/'Reporting Hebdo'!$E$3</f>
      </c>
      <c r="G142" s="88" t="s">
        <v>206</v>
      </c>
    </row>
    <row r="143" spans="1:7" x14ac:dyDescent="0.25">
      <c r="A143" s="88" t="s">
        <v>4</v>
      </c>
      <c r="B143" s="49" t="s">
        <v>46</v>
      </c>
      <c r="C143" s="49" t="s">
        <v>105</v>
      </c>
      <c r="D143" s="49" t="s">
        <v>228</v>
      </c>
      <c r="E143" s="51">
        <v>-12000000</v>
      </c>
      <c r="F143" s="51">
        <f>E143/'Reporting Hebdo'!$E$3</f>
      </c>
      <c r="G143" s="88" t="s">
        <v>206</v>
      </c>
    </row>
    <row r="144" spans="1:7" x14ac:dyDescent="0.25">
      <c r="A144" s="88" t="s">
        <v>4</v>
      </c>
      <c r="B144" s="49" t="s">
        <v>46</v>
      </c>
      <c r="C144" s="49" t="s">
        <v>106</v>
      </c>
      <c r="D144" s="49" t="s">
        <v>231</v>
      </c>
      <c r="E144" s="51">
        <v>-60000</v>
      </c>
      <c r="F144" s="51">
        <f>E144/'Reporting Hebdo'!$E$3</f>
      </c>
      <c r="G144" s="88" t="s">
        <v>206</v>
      </c>
    </row>
    <row r="145" spans="1:7" x14ac:dyDescent="0.25">
      <c r="A145" s="88" t="s">
        <v>4</v>
      </c>
      <c r="B145" s="49" t="s">
        <v>46</v>
      </c>
      <c r="C145" s="49" t="s">
        <v>106</v>
      </c>
      <c r="D145" s="49" t="s">
        <v>232</v>
      </c>
      <c r="E145" s="51">
        <v>-4000000</v>
      </c>
      <c r="F145" s="51">
        <f>E145/'Reporting Hebdo'!$E$3</f>
      </c>
      <c r="G145" s="88" t="s">
        <v>206</v>
      </c>
    </row>
    <row r="146" spans="1:7" x14ac:dyDescent="0.25">
      <c r="A146" s="88" t="s">
        <v>4</v>
      </c>
      <c r="B146" s="49" t="s">
        <v>53</v>
      </c>
      <c r="C146" s="49" t="s">
        <v>105</v>
      </c>
      <c r="D146" s="49" t="s">
        <v>228</v>
      </c>
      <c r="E146" s="51">
        <v>-8000000</v>
      </c>
      <c r="F146" s="51">
        <f>E146/'Reporting Hebdo'!$E$3</f>
      </c>
      <c r="G146" s="88" t="s">
        <v>206</v>
      </c>
    </row>
    <row r="147" spans="1:7" x14ac:dyDescent="0.25">
      <c r="A147" s="88" t="s">
        <v>4</v>
      </c>
      <c r="B147" s="49" t="s">
        <v>53</v>
      </c>
      <c r="C147" s="49" t="s">
        <v>106</v>
      </c>
      <c r="D147" s="49" t="s">
        <v>231</v>
      </c>
      <c r="E147" s="51">
        <v>-30000</v>
      </c>
      <c r="F147" s="51">
        <f>E147/'Reporting Hebdo'!$E$3</f>
      </c>
      <c r="G147" s="88" t="s">
        <v>206</v>
      </c>
    </row>
    <row r="148" spans="1:7" x14ac:dyDescent="0.25">
      <c r="A148" s="88" t="s">
        <v>4</v>
      </c>
      <c r="B148" s="49" t="s">
        <v>53</v>
      </c>
      <c r="C148" s="49" t="s">
        <v>106</v>
      </c>
      <c r="D148" s="49" t="s">
        <v>232</v>
      </c>
      <c r="E148" s="51">
        <v>-3200000</v>
      </c>
      <c r="F148" s="51">
        <f>E148/'Reporting Hebdo'!$E$3</f>
      </c>
      <c r="G148" s="88" t="s">
        <v>206</v>
      </c>
    </row>
    <row r="149" spans="1:7" x14ac:dyDescent="0.25">
      <c r="A149" s="88" t="s">
        <v>4</v>
      </c>
      <c r="B149" s="49" t="s">
        <v>61</v>
      </c>
      <c r="C149" s="49" t="s">
        <v>105</v>
      </c>
      <c r="D149" s="49" t="s">
        <v>228</v>
      </c>
      <c r="E149" s="51">
        <v>-3000000</v>
      </c>
      <c r="F149" s="51">
        <f>E149/'Reporting Hebdo'!$E$3</f>
      </c>
      <c r="G149" s="88" t="s">
        <v>206</v>
      </c>
    </row>
    <row r="150" spans="1:7" x14ac:dyDescent="0.25">
      <c r="A150" s="88" t="s">
        <v>4</v>
      </c>
      <c r="B150" s="49" t="s">
        <v>61</v>
      </c>
      <c r="C150" s="49" t="s">
        <v>106</v>
      </c>
      <c r="D150" s="49" t="s">
        <v>231</v>
      </c>
      <c r="E150" s="51">
        <v>-8000</v>
      </c>
      <c r="F150" s="51">
        <f>E150/'Reporting Hebdo'!$E$3</f>
      </c>
      <c r="G150" s="88" t="s">
        <v>206</v>
      </c>
    </row>
    <row r="151" spans="1:7" x14ac:dyDescent="0.25">
      <c r="A151" s="88" t="s">
        <v>4</v>
      </c>
      <c r="B151" s="49" t="s">
        <v>61</v>
      </c>
      <c r="C151" s="49" t="s">
        <v>106</v>
      </c>
      <c r="D151" s="49" t="s">
        <v>232</v>
      </c>
      <c r="E151" s="51">
        <v>-960000</v>
      </c>
      <c r="F151" s="51">
        <f>E151/'Reporting Hebdo'!$E$3</f>
      </c>
      <c r="G151" s="88" t="s">
        <v>206</v>
      </c>
    </row>
    <row r="152" spans="1:7" x14ac:dyDescent="0.25">
      <c r="A152" s="88" t="s">
        <v>5</v>
      </c>
      <c r="B152" s="49" t="s">
        <v>22</v>
      </c>
      <c r="C152" s="49" t="s">
        <v>106</v>
      </c>
      <c r="D152" s="49" t="s">
        <v>231</v>
      </c>
      <c r="E152" s="51">
        <v>-40000</v>
      </c>
      <c r="F152" s="51">
        <f>E152/'Reporting Hebdo'!$E$3</f>
      </c>
      <c r="G152" s="88" t="s">
        <v>206</v>
      </c>
    </row>
    <row r="153" spans="1:7" x14ac:dyDescent="0.25">
      <c r="A153" s="88" t="s">
        <v>5</v>
      </c>
      <c r="B153" s="49" t="s">
        <v>22</v>
      </c>
      <c r="C153" s="49" t="s">
        <v>106</v>
      </c>
      <c r="D153" s="49" t="s">
        <v>232</v>
      </c>
      <c r="E153" s="51">
        <v>-3000000</v>
      </c>
      <c r="F153" s="51">
        <f>E153/'Reporting Hebdo'!$E$3</f>
      </c>
      <c r="G153" s="88" t="s">
        <v>206</v>
      </c>
    </row>
    <row r="154" spans="1:7" x14ac:dyDescent="0.25">
      <c r="A154" s="88" t="s">
        <v>5</v>
      </c>
      <c r="B154" s="49" t="s">
        <v>22</v>
      </c>
      <c r="C154" s="49" t="s">
        <v>115</v>
      </c>
      <c r="D154" s="49" t="s">
        <v>290</v>
      </c>
      <c r="E154" s="51">
        <v>-21311647</v>
      </c>
      <c r="F154" s="51">
        <f>E154/'Reporting Hebdo'!$E$3</f>
      </c>
      <c r="G154" s="88" t="s">
        <v>206</v>
      </c>
    </row>
    <row r="155" spans="1:7" x14ac:dyDescent="0.25">
      <c r="A155" s="88" t="s">
        <v>5</v>
      </c>
      <c r="B155" s="49" t="s">
        <v>29</v>
      </c>
      <c r="C155" s="49" t="s">
        <v>107</v>
      </c>
      <c r="D155" s="49" t="s">
        <v>243</v>
      </c>
      <c r="E155" s="51">
        <v>-104205329</v>
      </c>
      <c r="F155" s="51">
        <f>E155/'Reporting Hebdo'!$E$3</f>
      </c>
      <c r="G155" s="88" t="s">
        <v>206</v>
      </c>
    </row>
    <row r="156" spans="1:7" x14ac:dyDescent="0.25">
      <c r="A156" s="88" t="s">
        <v>5</v>
      </c>
      <c r="B156" s="49" t="s">
        <v>36</v>
      </c>
      <c r="C156" s="49" t="s">
        <v>106</v>
      </c>
      <c r="D156" s="49" t="s">
        <v>231</v>
      </c>
      <c r="E156" s="51">
        <v>-1000</v>
      </c>
      <c r="F156" s="51">
        <f>E156/'Reporting Hebdo'!$E$3</f>
      </c>
      <c r="G156" s="88" t="s">
        <v>206</v>
      </c>
    </row>
    <row r="157" spans="1:7" x14ac:dyDescent="0.25">
      <c r="A157" s="88" t="s">
        <v>5</v>
      </c>
      <c r="B157" s="49" t="s">
        <v>36</v>
      </c>
      <c r="C157" s="49" t="s">
        <v>106</v>
      </c>
      <c r="D157" s="49" t="s">
        <v>232</v>
      </c>
      <c r="E157" s="51">
        <v>-90000</v>
      </c>
      <c r="F157" s="51">
        <f>E157/'Reporting Hebdo'!$E$3</f>
      </c>
      <c r="G157" s="88" t="s">
        <v>206</v>
      </c>
    </row>
    <row r="158" spans="1:7" x14ac:dyDescent="0.25">
      <c r="A158" s="88" t="s">
        <v>5</v>
      </c>
      <c r="B158" s="49" t="s">
        <v>39</v>
      </c>
      <c r="C158" s="49" t="s">
        <v>115</v>
      </c>
      <c r="D158" s="49" t="s">
        <v>291</v>
      </c>
      <c r="E158" s="51">
        <v>-6343636</v>
      </c>
      <c r="F158" s="51">
        <f>E158/'Reporting Hebdo'!$E$3</f>
      </c>
      <c r="G158" s="88" t="s">
        <v>206</v>
      </c>
    </row>
    <row r="159" spans="1:7" x14ac:dyDescent="0.25">
      <c r="A159" s="88" t="s">
        <v>5</v>
      </c>
      <c r="B159" s="49" t="s">
        <v>39</v>
      </c>
      <c r="C159" s="49" t="s">
        <v>115</v>
      </c>
      <c r="D159" s="49" t="s">
        <v>291</v>
      </c>
      <c r="E159" s="51">
        <v>-6343636</v>
      </c>
      <c r="F159" s="51">
        <f>E159/'Reporting Hebdo'!$E$3</f>
      </c>
      <c r="G159" s="88" t="s">
        <v>206</v>
      </c>
    </row>
    <row r="160" spans="1:7" x14ac:dyDescent="0.25">
      <c r="A160" s="88" t="s">
        <v>5</v>
      </c>
      <c r="B160" s="49" t="s">
        <v>39</v>
      </c>
      <c r="C160" s="49" t="s">
        <v>115</v>
      </c>
      <c r="D160" s="49" t="s">
        <v>292</v>
      </c>
      <c r="E160" s="51">
        <v>-11597990</v>
      </c>
      <c r="F160" s="51">
        <f>E160/'Reporting Hebdo'!$E$3</f>
      </c>
      <c r="G160" s="88" t="s">
        <v>206</v>
      </c>
    </row>
    <row r="161" spans="1:7" x14ac:dyDescent="0.25">
      <c r="A161" s="88" t="s">
        <v>5</v>
      </c>
      <c r="B161" s="49" t="s">
        <v>46</v>
      </c>
      <c r="C161" s="49" t="s">
        <v>106</v>
      </c>
      <c r="D161" s="49" t="s">
        <v>231</v>
      </c>
      <c r="E161" s="51">
        <v>-60000</v>
      </c>
      <c r="F161" s="51">
        <f>E161/'Reporting Hebdo'!$E$3</f>
      </c>
      <c r="G161" s="88" t="s">
        <v>206</v>
      </c>
    </row>
    <row r="162" spans="1:7" x14ac:dyDescent="0.25">
      <c r="A162" s="88" t="s">
        <v>5</v>
      </c>
      <c r="B162" s="49" t="s">
        <v>46</v>
      </c>
      <c r="C162" s="49" t="s">
        <v>106</v>
      </c>
      <c r="D162" s="49" t="s">
        <v>232</v>
      </c>
      <c r="E162" s="51">
        <v>-4000000</v>
      </c>
      <c r="F162" s="51">
        <f>E162/'Reporting Hebdo'!$E$3</f>
      </c>
      <c r="G162" s="88" t="s">
        <v>206</v>
      </c>
    </row>
    <row r="163" spans="1:7" x14ac:dyDescent="0.25">
      <c r="A163" s="88" t="s">
        <v>5</v>
      </c>
      <c r="B163" s="49" t="s">
        <v>46</v>
      </c>
      <c r="C163" s="49" t="s">
        <v>115</v>
      </c>
      <c r="D163" s="49" t="s">
        <v>290</v>
      </c>
      <c r="E163" s="51">
        <v>-38477044</v>
      </c>
      <c r="F163" s="51">
        <f>E163/'Reporting Hebdo'!$E$3</f>
      </c>
      <c r="G163" s="88" t="s">
        <v>206</v>
      </c>
    </row>
    <row r="164" spans="1:7" x14ac:dyDescent="0.25">
      <c r="A164" s="88" t="s">
        <v>5</v>
      </c>
      <c r="B164" s="49" t="s">
        <v>53</v>
      </c>
      <c r="C164" s="49" t="s">
        <v>106</v>
      </c>
      <c r="D164" s="49" t="s">
        <v>231</v>
      </c>
      <c r="E164" s="51">
        <v>-30000</v>
      </c>
      <c r="F164" s="51">
        <f>E164/'Reporting Hebdo'!$E$3</f>
      </c>
      <c r="G164" s="88" t="s">
        <v>206</v>
      </c>
    </row>
    <row r="165" spans="1:7" x14ac:dyDescent="0.25">
      <c r="A165" s="88" t="s">
        <v>5</v>
      </c>
      <c r="B165" s="49" t="s">
        <v>53</v>
      </c>
      <c r="C165" s="49" t="s">
        <v>106</v>
      </c>
      <c r="D165" s="49" t="s">
        <v>232</v>
      </c>
      <c r="E165" s="51">
        <v>-3200000</v>
      </c>
      <c r="F165" s="51">
        <f>E165/'Reporting Hebdo'!$E$3</f>
      </c>
      <c r="G165" s="88" t="s">
        <v>206</v>
      </c>
    </row>
    <row r="166" spans="1:7" x14ac:dyDescent="0.25">
      <c r="A166" s="88" t="s">
        <v>5</v>
      </c>
      <c r="B166" s="49" t="s">
        <v>53</v>
      </c>
      <c r="C166" s="49" t="s">
        <v>115</v>
      </c>
      <c r="D166" s="49" t="s">
        <v>290</v>
      </c>
      <c r="E166" s="51">
        <v>-26000000</v>
      </c>
      <c r="F166" s="51">
        <f>E166/'Reporting Hebdo'!$E$3</f>
      </c>
      <c r="G166" s="88" t="s">
        <v>206</v>
      </c>
    </row>
    <row r="167" spans="1:7" x14ac:dyDescent="0.25">
      <c r="A167" s="88" t="s">
        <v>5</v>
      </c>
      <c r="B167" s="49" t="s">
        <v>61</v>
      </c>
      <c r="C167" s="49" t="s">
        <v>106</v>
      </c>
      <c r="D167" s="49" t="s">
        <v>231</v>
      </c>
      <c r="E167" s="51">
        <v>-8000</v>
      </c>
      <c r="F167" s="51">
        <f>E167/'Reporting Hebdo'!$E$3</f>
      </c>
      <c r="G167" s="88" t="s">
        <v>206</v>
      </c>
    </row>
    <row r="168" spans="1:7" x14ac:dyDescent="0.25">
      <c r="A168" s="88" t="s">
        <v>5</v>
      </c>
      <c r="B168" s="49" t="s">
        <v>61</v>
      </c>
      <c r="C168" s="49" t="s">
        <v>106</v>
      </c>
      <c r="D168" s="49" t="s">
        <v>232</v>
      </c>
      <c r="E168" s="51">
        <v>-960000</v>
      </c>
      <c r="F168" s="51">
        <f>E168/'Reporting Hebdo'!$E$3</f>
      </c>
      <c r="G168" s="88" t="s">
        <v>206</v>
      </c>
    </row>
    <row r="169" spans="1:7" x14ac:dyDescent="0.25">
      <c r="A169" s="89" t="s">
        <v>3</v>
      </c>
      <c r="B169" s="90" t="s">
        <v>22</v>
      </c>
      <c r="C169" s="90" t="s">
        <v>104</v>
      </c>
      <c r="D169" s="90" t="s">
        <v>293</v>
      </c>
      <c r="E169" s="91">
        <v>-6540976</v>
      </c>
      <c r="F169" s="91">
        <f>E169/'Reporting Hebdo'!$E$3</f>
      </c>
      <c r="G169" s="89" t="s">
        <v>294</v>
      </c>
    </row>
    <row r="170" spans="1:7" x14ac:dyDescent="0.25">
      <c r="A170" s="89" t="s">
        <v>3</v>
      </c>
      <c r="B170" s="90" t="s">
        <v>22</v>
      </c>
      <c r="C170" s="90" t="s">
        <v>104</v>
      </c>
      <c r="D170" s="90" t="s">
        <v>295</v>
      </c>
      <c r="E170" s="91">
        <v>-761565</v>
      </c>
      <c r="F170" s="91">
        <f>E170/'Reporting Hebdo'!$E$3</f>
      </c>
      <c r="G170" s="89" t="s">
        <v>294</v>
      </c>
    </row>
    <row r="171" spans="1:7" x14ac:dyDescent="0.25">
      <c r="A171" s="89" t="s">
        <v>3</v>
      </c>
      <c r="B171" s="90" t="s">
        <v>22</v>
      </c>
      <c r="C171" s="90" t="s">
        <v>104</v>
      </c>
      <c r="D171" s="90" t="s">
        <v>296</v>
      </c>
      <c r="E171" s="91">
        <v>-26238280</v>
      </c>
      <c r="F171" s="91">
        <f>E171/'Reporting Hebdo'!$E$3</f>
      </c>
      <c r="G171" s="89" t="s">
        <v>294</v>
      </c>
    </row>
    <row r="172" spans="1:7" x14ac:dyDescent="0.25">
      <c r="A172" s="89" t="s">
        <v>3</v>
      </c>
      <c r="B172" s="90" t="s">
        <v>22</v>
      </c>
      <c r="C172" s="90" t="s">
        <v>104</v>
      </c>
      <c r="D172" s="90" t="s">
        <v>297</v>
      </c>
      <c r="E172" s="91">
        <v>-910000</v>
      </c>
      <c r="F172" s="91">
        <f>E172/'Reporting Hebdo'!$E$3</f>
      </c>
      <c r="G172" s="89" t="s">
        <v>294</v>
      </c>
    </row>
    <row r="173" spans="1:7" x14ac:dyDescent="0.25">
      <c r="A173" s="89" t="s">
        <v>3</v>
      </c>
      <c r="B173" s="90" t="s">
        <v>22</v>
      </c>
      <c r="C173" s="90" t="s">
        <v>104</v>
      </c>
      <c r="D173" s="90" t="s">
        <v>298</v>
      </c>
      <c r="E173" s="91">
        <v>-1318473</v>
      </c>
      <c r="F173" s="91">
        <f>E173/'Reporting Hebdo'!$E$3</f>
      </c>
      <c r="G173" s="89" t="s">
        <v>294</v>
      </c>
    </row>
    <row r="174" spans="1:7" x14ac:dyDescent="0.25">
      <c r="A174" s="89" t="s">
        <v>3</v>
      </c>
      <c r="B174" s="90" t="s">
        <v>22</v>
      </c>
      <c r="C174" s="90" t="s">
        <v>104</v>
      </c>
      <c r="D174" s="90" t="s">
        <v>299</v>
      </c>
      <c r="E174" s="91">
        <v>-62745367</v>
      </c>
      <c r="F174" s="91">
        <f>E174/'Reporting Hebdo'!$E$3</f>
      </c>
      <c r="G174" s="89" t="s">
        <v>294</v>
      </c>
    </row>
    <row r="175" spans="1:7" x14ac:dyDescent="0.25">
      <c r="A175" s="89" t="s">
        <v>3</v>
      </c>
      <c r="B175" s="90" t="s">
        <v>22</v>
      </c>
      <c r="C175" s="90" t="s">
        <v>159</v>
      </c>
      <c r="D175" s="90" t="s">
        <v>300</v>
      </c>
      <c r="E175" s="91">
        <v>-15365000</v>
      </c>
      <c r="F175" s="91">
        <f>E175/'Reporting Hebdo'!$E$3</f>
      </c>
      <c r="G175" s="89" t="s">
        <v>294</v>
      </c>
    </row>
    <row r="176" spans="1:7" x14ac:dyDescent="0.25">
      <c r="A176" s="89" t="s">
        <v>3</v>
      </c>
      <c r="B176" s="90" t="s">
        <v>29</v>
      </c>
      <c r="C176" s="90" t="s">
        <v>104</v>
      </c>
      <c r="D176" s="90" t="s">
        <v>301</v>
      </c>
      <c r="E176" s="91">
        <v>-3679785</v>
      </c>
      <c r="F176" s="91">
        <f>E176/'Reporting Hebdo'!$E$3</f>
      </c>
      <c r="G176" s="89" t="s">
        <v>294</v>
      </c>
    </row>
    <row r="177" spans="1:7" x14ac:dyDescent="0.25">
      <c r="A177" s="89" t="s">
        <v>3</v>
      </c>
      <c r="B177" s="90" t="s">
        <v>33</v>
      </c>
      <c r="C177" s="90" t="s">
        <v>104</v>
      </c>
      <c r="D177" s="90" t="s">
        <v>302</v>
      </c>
      <c r="E177" s="91">
        <v>-283242233</v>
      </c>
      <c r="F177" s="91">
        <f>E177/'Reporting Hebdo'!$E$3</f>
      </c>
      <c r="G177" s="89" t="s">
        <v>294</v>
      </c>
    </row>
    <row r="178" spans="1:7" x14ac:dyDescent="0.25">
      <c r="A178" s="89" t="s">
        <v>3</v>
      </c>
      <c r="B178" s="90" t="s">
        <v>33</v>
      </c>
      <c r="C178" s="90" t="s">
        <v>104</v>
      </c>
      <c r="D178" s="90" t="s">
        <v>303</v>
      </c>
      <c r="E178" s="91">
        <v>-8594077952</v>
      </c>
      <c r="F178" s="91">
        <f>E178/'Reporting Hebdo'!$E$3</f>
      </c>
      <c r="G178" s="89" t="s">
        <v>294</v>
      </c>
    </row>
    <row r="179" spans="1:7" x14ac:dyDescent="0.25">
      <c r="A179" s="89" t="s">
        <v>3</v>
      </c>
      <c r="B179" s="90" t="s">
        <v>33</v>
      </c>
      <c r="C179" s="90" t="s">
        <v>159</v>
      </c>
      <c r="D179" s="90" t="s">
        <v>300</v>
      </c>
      <c r="E179" s="91">
        <v>-860588775</v>
      </c>
      <c r="F179" s="91">
        <f>E179/'Reporting Hebdo'!$E$3</f>
      </c>
      <c r="G179" s="89" t="s">
        <v>294</v>
      </c>
    </row>
    <row r="180" spans="1:7" x14ac:dyDescent="0.25">
      <c r="A180" s="89" t="s">
        <v>3</v>
      </c>
      <c r="B180" s="90" t="s">
        <v>36</v>
      </c>
      <c r="C180" s="90" t="s">
        <v>104</v>
      </c>
      <c r="D180" s="90" t="s">
        <v>304</v>
      </c>
      <c r="E180" s="91">
        <v>-3728238700</v>
      </c>
      <c r="F180" s="91">
        <f>E180/'Reporting Hebdo'!$E$3</f>
      </c>
      <c r="G180" s="89" t="s">
        <v>294</v>
      </c>
    </row>
    <row r="181" spans="1:7" x14ac:dyDescent="0.25">
      <c r="A181" s="89" t="s">
        <v>3</v>
      </c>
      <c r="B181" s="90" t="s">
        <v>36</v>
      </c>
      <c r="C181" s="90" t="s">
        <v>104</v>
      </c>
      <c r="D181" s="90" t="s">
        <v>302</v>
      </c>
      <c r="E181" s="91">
        <v>-405477195</v>
      </c>
      <c r="F181" s="91">
        <f>E181/'Reporting Hebdo'!$E$3</f>
      </c>
      <c r="G181" s="89" t="s">
        <v>294</v>
      </c>
    </row>
    <row r="182" spans="1:7" x14ac:dyDescent="0.25">
      <c r="A182" s="89" t="s">
        <v>3</v>
      </c>
      <c r="B182" s="90" t="s">
        <v>36</v>
      </c>
      <c r="C182" s="90" t="s">
        <v>159</v>
      </c>
      <c r="D182" s="90" t="s">
        <v>300</v>
      </c>
      <c r="E182" s="91">
        <v>-810588775</v>
      </c>
      <c r="F182" s="91">
        <f>E182/'Reporting Hebdo'!$E$3</f>
      </c>
      <c r="G182" s="89" t="s">
        <v>294</v>
      </c>
    </row>
    <row r="183" spans="1:7" x14ac:dyDescent="0.25">
      <c r="A183" s="89" t="s">
        <v>3</v>
      </c>
      <c r="B183" s="90" t="s">
        <v>46</v>
      </c>
      <c r="C183" s="90" t="s">
        <v>104</v>
      </c>
      <c r="D183" s="90" t="s">
        <v>305</v>
      </c>
      <c r="E183" s="91">
        <v>-906277</v>
      </c>
      <c r="F183" s="91">
        <f>E183/'Reporting Hebdo'!$E$3</f>
      </c>
      <c r="G183" s="89" t="s">
        <v>294</v>
      </c>
    </row>
    <row r="184" spans="1:7" x14ac:dyDescent="0.25">
      <c r="A184" s="89" t="s">
        <v>3</v>
      </c>
      <c r="B184" s="90" t="s">
        <v>46</v>
      </c>
      <c r="C184" s="90" t="s">
        <v>104</v>
      </c>
      <c r="D184" s="90" t="s">
        <v>303</v>
      </c>
      <c r="E184" s="91">
        <v>-15231224</v>
      </c>
      <c r="F184" s="91">
        <f>E184/'Reporting Hebdo'!$E$3</f>
      </c>
      <c r="G184" s="89" t="s">
        <v>294</v>
      </c>
    </row>
    <row r="185" spans="1:7" x14ac:dyDescent="0.25">
      <c r="A185" s="89" t="s">
        <v>3</v>
      </c>
      <c r="B185" s="90" t="s">
        <v>46</v>
      </c>
      <c r="C185" s="90" t="s">
        <v>104</v>
      </c>
      <c r="D185" s="90" t="s">
        <v>299</v>
      </c>
      <c r="E185" s="91">
        <v>-109014663</v>
      </c>
      <c r="F185" s="91">
        <f>E185/'Reporting Hebdo'!$E$3</f>
      </c>
      <c r="G185" s="89" t="s">
        <v>294</v>
      </c>
    </row>
    <row r="186" spans="1:7" x14ac:dyDescent="0.25">
      <c r="A186" s="89" t="s">
        <v>3</v>
      </c>
      <c r="B186" s="90" t="s">
        <v>50</v>
      </c>
      <c r="C186" s="90" t="s">
        <v>159</v>
      </c>
      <c r="D186" s="90" t="s">
        <v>300</v>
      </c>
      <c r="E186" s="91">
        <v>-14400000</v>
      </c>
      <c r="F186" s="91">
        <f>E186/'Reporting Hebdo'!$E$3</f>
      </c>
      <c r="G186" s="89" t="s">
        <v>294</v>
      </c>
    </row>
    <row r="187" spans="1:7" x14ac:dyDescent="0.25">
      <c r="A187" s="89" t="s">
        <v>3</v>
      </c>
      <c r="B187" s="90" t="s">
        <v>53</v>
      </c>
      <c r="C187" s="90" t="s">
        <v>104</v>
      </c>
      <c r="D187" s="90" t="s">
        <v>306</v>
      </c>
      <c r="E187" s="91">
        <v>-13000000</v>
      </c>
      <c r="F187" s="91">
        <f>E187/'Reporting Hebdo'!$E$3</f>
      </c>
      <c r="G187" s="89" t="s">
        <v>294</v>
      </c>
    </row>
    <row r="188" spans="1:7" x14ac:dyDescent="0.25">
      <c r="A188" s="89" t="s">
        <v>3</v>
      </c>
      <c r="B188" s="90" t="s">
        <v>53</v>
      </c>
      <c r="C188" s="90" t="s">
        <v>159</v>
      </c>
      <c r="D188" s="90" t="s">
        <v>300</v>
      </c>
      <c r="E188" s="91">
        <v>-14400000</v>
      </c>
      <c r="F188" s="91">
        <f>E188/'Reporting Hebdo'!$E$3</f>
      </c>
      <c r="G188" s="89" t="s">
        <v>294</v>
      </c>
    </row>
    <row r="189" spans="1:7" x14ac:dyDescent="0.25">
      <c r="A189" s="89" t="s">
        <v>3</v>
      </c>
      <c r="B189" s="90" t="s">
        <v>59</v>
      </c>
      <c r="C189" s="90" t="s">
        <v>104</v>
      </c>
      <c r="D189" s="90" t="s">
        <v>307</v>
      </c>
      <c r="E189" s="91">
        <v>-1115127</v>
      </c>
      <c r="F189" s="91">
        <f>E189/'Reporting Hebdo'!$E$3</f>
      </c>
      <c r="G189" s="89" t="s">
        <v>294</v>
      </c>
    </row>
    <row r="190" spans="1:7" x14ac:dyDescent="0.25">
      <c r="A190" s="89" t="s">
        <v>3</v>
      </c>
      <c r="B190" s="90" t="s">
        <v>59</v>
      </c>
      <c r="C190" s="90" t="s">
        <v>104</v>
      </c>
      <c r="D190" s="90" t="s">
        <v>308</v>
      </c>
      <c r="E190" s="91">
        <v>-1705487</v>
      </c>
      <c r="F190" s="91">
        <f>E190/'Reporting Hebdo'!$E$3</f>
      </c>
      <c r="G190" s="89" t="s">
        <v>294</v>
      </c>
    </row>
    <row r="191" spans="1:7" x14ac:dyDescent="0.25">
      <c r="A191" s="89" t="s">
        <v>4</v>
      </c>
      <c r="B191" s="90" t="s">
        <v>29</v>
      </c>
      <c r="C191" s="90" t="s">
        <v>110</v>
      </c>
      <c r="D191" s="90" t="s">
        <v>309</v>
      </c>
      <c r="E191" s="91">
        <v>6113285</v>
      </c>
      <c r="F191" s="91">
        <f>E191/'Reporting Hebdo'!$E$3</f>
      </c>
      <c r="G191" s="89" t="s">
        <v>294</v>
      </c>
    </row>
  </sheetData>
  <autoFilter ref="A4:G191"/>
  <dataValidations count="2">
    <dataValidation type="list" allowBlank="1" sqref="A5:A500">
      <formula1>"S1,S2,S3,S4,S5,Après S5"</formula1>
    </dataValidation>
    <dataValidation type="list" allowBlank="1" sqref="G5:G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7"/>
  <sheetViews>
    <sheetView workbookViewId="0" showGridLines="0">
      <pane xSplit="7" ySplit="4" topLeftCell="H5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22" customWidth="1"/>
    <col min="3" max="3" width="12" customWidth="1"/>
    <col min="4" max="4" width="22" customWidth="1"/>
    <col min="5" max="5" width="11" customWidth="1"/>
    <col min="6" max="6" width="40" customWidth="1"/>
    <col min="7" max="7" width="22" customWidth="1"/>
    <col min="8" max="8" width="14" customWidth="1"/>
    <col min="9" max="9" width="16" customWidth="1"/>
    <col min="10" max="10" width="10" customWidth="1"/>
  </cols>
  <sheetData>
    <row r="1" spans="1:1" x14ac:dyDescent="0.25">
      <c r="A1" s="1" t="s">
        <v>310</v>
      </c>
    </row>
    <row r="4" spans="1:10" x14ac:dyDescent="0.25">
      <c r="A4" s="87" t="s">
        <v>2</v>
      </c>
      <c r="B4" s="87" t="s">
        <v>311</v>
      </c>
      <c r="C4" s="87" t="s">
        <v>94</v>
      </c>
      <c r="D4" s="87" t="s">
        <v>201</v>
      </c>
      <c r="E4" s="87" t="s">
        <v>312</v>
      </c>
      <c r="F4" s="87" t="s">
        <v>313</v>
      </c>
      <c r="G4" s="87" t="s">
        <v>314</v>
      </c>
      <c r="H4" s="87" t="s">
        <v>315</v>
      </c>
      <c r="I4" s="87" t="s">
        <v>170</v>
      </c>
      <c r="J4" s="87" t="s">
        <v>204</v>
      </c>
    </row>
    <row r="5" spans="1:10" x14ac:dyDescent="0.25">
      <c r="A5" s="88" t="s">
        <v>3</v>
      </c>
      <c r="B5" s="49" t="s">
        <v>70</v>
      </c>
      <c r="C5" s="49" t="s">
        <v>33</v>
      </c>
      <c r="D5" s="49" t="s">
        <v>122</v>
      </c>
      <c r="E5" s="49" t="s">
        <v>316</v>
      </c>
      <c r="F5" s="49" t="s">
        <v>317</v>
      </c>
      <c r="G5" s="49" t="s">
        <v>318</v>
      </c>
      <c r="H5" s="51">
        <v>-5802</v>
      </c>
      <c r="I5" s="51">
        <f>H5*'Reporting Hebdo'!$E$3</f>
      </c>
      <c r="J5" s="88" t="s">
        <v>206</v>
      </c>
    </row>
    <row r="6" spans="1:10" x14ac:dyDescent="0.25">
      <c r="A6" s="88" t="s">
        <v>3</v>
      </c>
      <c r="B6" s="49" t="s">
        <v>70</v>
      </c>
      <c r="C6" s="49" t="s">
        <v>33</v>
      </c>
      <c r="D6" s="49" t="s">
        <v>123</v>
      </c>
      <c r="E6" s="49" t="s">
        <v>18</v>
      </c>
      <c r="F6" s="49" t="s">
        <v>319</v>
      </c>
      <c r="G6" s="49" t="s">
        <v>18</v>
      </c>
      <c r="H6" s="51">
        <v>-86158.96</v>
      </c>
      <c r="I6" s="51">
        <f>H6*'Reporting Hebdo'!$E$3</f>
      </c>
      <c r="J6" s="88" t="s">
        <v>206</v>
      </c>
    </row>
    <row r="7" spans="1:10" x14ac:dyDescent="0.25">
      <c r="A7" s="88" t="s">
        <v>3</v>
      </c>
      <c r="B7" s="49" t="s">
        <v>70</v>
      </c>
      <c r="C7" s="49" t="s">
        <v>33</v>
      </c>
      <c r="D7" s="49" t="s">
        <v>123</v>
      </c>
      <c r="E7" s="49" t="s">
        <v>320</v>
      </c>
      <c r="F7" s="49" t="s">
        <v>321</v>
      </c>
      <c r="G7" s="49" t="s">
        <v>18</v>
      </c>
      <c r="H7" s="51">
        <v>-12500</v>
      </c>
      <c r="I7" s="51">
        <f>H7*'Reporting Hebdo'!$E$3</f>
      </c>
      <c r="J7" s="88" t="s">
        <v>206</v>
      </c>
    </row>
    <row r="8" spans="1:10" x14ac:dyDescent="0.25">
      <c r="A8" s="88" t="s">
        <v>3</v>
      </c>
      <c r="B8" s="49" t="s">
        <v>70</v>
      </c>
      <c r="C8" s="49" t="s">
        <v>33</v>
      </c>
      <c r="D8" s="49" t="s">
        <v>123</v>
      </c>
      <c r="E8" s="49" t="s">
        <v>322</v>
      </c>
      <c r="F8" s="49" t="s">
        <v>323</v>
      </c>
      <c r="G8" s="49" t="s">
        <v>18</v>
      </c>
      <c r="H8" s="51">
        <v>-598630.99</v>
      </c>
      <c r="I8" s="51">
        <f>H8*'Reporting Hebdo'!$E$3</f>
      </c>
      <c r="J8" s="88" t="s">
        <v>206</v>
      </c>
    </row>
    <row r="9" spans="1:10" x14ac:dyDescent="0.25">
      <c r="A9" s="88" t="s">
        <v>3</v>
      </c>
      <c r="B9" s="49" t="s">
        <v>70</v>
      </c>
      <c r="C9" s="49" t="s">
        <v>33</v>
      </c>
      <c r="D9" s="49" t="s">
        <v>123</v>
      </c>
      <c r="E9" s="49" t="s">
        <v>324</v>
      </c>
      <c r="F9" s="49" t="s">
        <v>325</v>
      </c>
      <c r="G9" s="49" t="s">
        <v>18</v>
      </c>
      <c r="H9" s="51">
        <v>-164209.05</v>
      </c>
      <c r="I9" s="51">
        <f>H9*'Reporting Hebdo'!$E$3</f>
      </c>
      <c r="J9" s="88" t="s">
        <v>206</v>
      </c>
    </row>
    <row r="10" spans="1:10" x14ac:dyDescent="0.25">
      <c r="A10" s="88" t="s">
        <v>3</v>
      </c>
      <c r="B10" s="49" t="s">
        <v>70</v>
      </c>
      <c r="C10" s="49" t="s">
        <v>33</v>
      </c>
      <c r="D10" s="49" t="s">
        <v>123</v>
      </c>
      <c r="E10" s="49" t="s">
        <v>326</v>
      </c>
      <c r="F10" s="49" t="s">
        <v>327</v>
      </c>
      <c r="G10" s="49" t="s">
        <v>18</v>
      </c>
      <c r="H10" s="51">
        <v>-224940.6</v>
      </c>
      <c r="I10" s="51">
        <f>H10*'Reporting Hebdo'!$E$3</f>
      </c>
      <c r="J10" s="88" t="s">
        <v>206</v>
      </c>
    </row>
    <row r="11" spans="1:10" x14ac:dyDescent="0.25">
      <c r="A11" s="88" t="s">
        <v>3</v>
      </c>
      <c r="B11" s="49" t="s">
        <v>70</v>
      </c>
      <c r="C11" s="49" t="s">
        <v>33</v>
      </c>
      <c r="D11" s="49" t="s">
        <v>123</v>
      </c>
      <c r="E11" s="49" t="s">
        <v>328</v>
      </c>
      <c r="F11" s="49" t="s">
        <v>329</v>
      </c>
      <c r="G11" s="49" t="s">
        <v>18</v>
      </c>
      <c r="H11" s="51">
        <v>-338435.85</v>
      </c>
      <c r="I11" s="51">
        <f>H11*'Reporting Hebdo'!$E$3</f>
      </c>
      <c r="J11" s="88" t="s">
        <v>206</v>
      </c>
    </row>
    <row r="12" spans="1:10" x14ac:dyDescent="0.25">
      <c r="A12" s="88" t="s">
        <v>3</v>
      </c>
      <c r="B12" s="49" t="s">
        <v>70</v>
      </c>
      <c r="C12" s="49" t="s">
        <v>33</v>
      </c>
      <c r="D12" s="49" t="s">
        <v>124</v>
      </c>
      <c r="E12" s="49" t="s">
        <v>330</v>
      </c>
      <c r="F12" s="49" t="s">
        <v>331</v>
      </c>
      <c r="G12" s="49" t="s">
        <v>332</v>
      </c>
      <c r="H12" s="51">
        <v>-54903</v>
      </c>
      <c r="I12" s="51">
        <f>H12*'Reporting Hebdo'!$E$3</f>
      </c>
      <c r="J12" s="88" t="s">
        <v>206</v>
      </c>
    </row>
    <row r="13" spans="1:10" x14ac:dyDescent="0.25">
      <c r="A13" s="88" t="s">
        <v>3</v>
      </c>
      <c r="B13" s="49" t="s">
        <v>70</v>
      </c>
      <c r="C13" s="49" t="s">
        <v>33</v>
      </c>
      <c r="D13" s="49" t="s">
        <v>124</v>
      </c>
      <c r="E13" s="49" t="s">
        <v>330</v>
      </c>
      <c r="F13" s="49" t="s">
        <v>331</v>
      </c>
      <c r="G13" s="49" t="s">
        <v>332</v>
      </c>
      <c r="H13" s="51">
        <v>-6577</v>
      </c>
      <c r="I13" s="51">
        <f>H13*'Reporting Hebdo'!$E$3</f>
      </c>
      <c r="J13" s="88" t="s">
        <v>206</v>
      </c>
    </row>
    <row r="14" spans="1:10" x14ac:dyDescent="0.25">
      <c r="A14" s="88" t="s">
        <v>3</v>
      </c>
      <c r="B14" s="49" t="s">
        <v>70</v>
      </c>
      <c r="C14" s="49" t="s">
        <v>33</v>
      </c>
      <c r="D14" s="49" t="s">
        <v>124</v>
      </c>
      <c r="E14" s="49" t="s">
        <v>333</v>
      </c>
      <c r="F14" s="49" t="s">
        <v>334</v>
      </c>
      <c r="G14" s="49" t="s">
        <v>335</v>
      </c>
      <c r="H14" s="51">
        <v>-82323.18</v>
      </c>
      <c r="I14" s="51">
        <f>H14*'Reporting Hebdo'!$E$3</f>
      </c>
      <c r="J14" s="88" t="s">
        <v>206</v>
      </c>
    </row>
    <row r="15" spans="1:10" x14ac:dyDescent="0.25">
      <c r="A15" s="88" t="s">
        <v>3</v>
      </c>
      <c r="B15" s="49" t="s">
        <v>70</v>
      </c>
      <c r="C15" s="49" t="s">
        <v>33</v>
      </c>
      <c r="D15" s="49" t="s">
        <v>124</v>
      </c>
      <c r="E15" s="49" t="s">
        <v>336</v>
      </c>
      <c r="F15" s="49" t="s">
        <v>337</v>
      </c>
      <c r="G15" s="49" t="s">
        <v>338</v>
      </c>
      <c r="H15" s="51">
        <v>-8415.19</v>
      </c>
      <c r="I15" s="51">
        <f>H15*'Reporting Hebdo'!$E$3</f>
      </c>
      <c r="J15" s="88" t="s">
        <v>206</v>
      </c>
    </row>
    <row r="16" spans="1:10" x14ac:dyDescent="0.25">
      <c r="A16" s="88" t="s">
        <v>3</v>
      </c>
      <c r="B16" s="49" t="s">
        <v>70</v>
      </c>
      <c r="C16" s="49" t="s">
        <v>33</v>
      </c>
      <c r="D16" s="49" t="s">
        <v>124</v>
      </c>
      <c r="E16" s="49" t="s">
        <v>339</v>
      </c>
      <c r="F16" s="49" t="s">
        <v>340</v>
      </c>
      <c r="G16" s="49" t="s">
        <v>341</v>
      </c>
      <c r="H16" s="51">
        <v>-6738.37</v>
      </c>
      <c r="I16" s="51">
        <f>H16*'Reporting Hebdo'!$E$3</f>
      </c>
      <c r="J16" s="88" t="s">
        <v>206</v>
      </c>
    </row>
    <row r="17" spans="1:10" x14ac:dyDescent="0.25">
      <c r="A17" s="88" t="s">
        <v>3</v>
      </c>
      <c r="B17" s="49" t="s">
        <v>70</v>
      </c>
      <c r="C17" s="49" t="s">
        <v>33</v>
      </c>
      <c r="D17" s="49" t="s">
        <v>124</v>
      </c>
      <c r="E17" s="49" t="s">
        <v>342</v>
      </c>
      <c r="F17" s="49" t="s">
        <v>343</v>
      </c>
      <c r="G17" s="49" t="s">
        <v>344</v>
      </c>
      <c r="H17" s="51">
        <v>-105395.81</v>
      </c>
      <c r="I17" s="51">
        <f>H17*'Reporting Hebdo'!$E$3</f>
      </c>
      <c r="J17" s="88" t="s">
        <v>206</v>
      </c>
    </row>
    <row r="18" spans="1:10" x14ac:dyDescent="0.25">
      <c r="A18" s="88" t="s">
        <v>3</v>
      </c>
      <c r="B18" s="49" t="s">
        <v>70</v>
      </c>
      <c r="C18" s="49" t="s">
        <v>33</v>
      </c>
      <c r="D18" s="49" t="s">
        <v>124</v>
      </c>
      <c r="E18" s="49" t="s">
        <v>345</v>
      </c>
      <c r="F18" s="49" t="s">
        <v>346</v>
      </c>
      <c r="G18" s="49" t="s">
        <v>347</v>
      </c>
      <c r="H18" s="51">
        <v>-7000</v>
      </c>
      <c r="I18" s="51">
        <f>H18*'Reporting Hebdo'!$E$3</f>
      </c>
      <c r="J18" s="88" t="s">
        <v>206</v>
      </c>
    </row>
    <row r="19" spans="1:10" x14ac:dyDescent="0.25">
      <c r="A19" s="88" t="s">
        <v>3</v>
      </c>
      <c r="B19" s="49" t="s">
        <v>70</v>
      </c>
      <c r="C19" s="49" t="s">
        <v>33</v>
      </c>
      <c r="D19" s="49" t="s">
        <v>124</v>
      </c>
      <c r="E19" s="49" t="s">
        <v>348</v>
      </c>
      <c r="F19" s="49" t="s">
        <v>349</v>
      </c>
      <c r="G19" s="49" t="s">
        <v>18</v>
      </c>
      <c r="H19" s="51">
        <v>-48527.84</v>
      </c>
      <c r="I19" s="51">
        <f>H19*'Reporting Hebdo'!$E$3</f>
      </c>
      <c r="J19" s="88" t="s">
        <v>206</v>
      </c>
    </row>
    <row r="20" spans="1:10" x14ac:dyDescent="0.25">
      <c r="A20" s="88" t="s">
        <v>3</v>
      </c>
      <c r="B20" s="49" t="s">
        <v>70</v>
      </c>
      <c r="C20" s="49" t="s">
        <v>33</v>
      </c>
      <c r="D20" s="49" t="s">
        <v>125</v>
      </c>
      <c r="E20" s="49" t="s">
        <v>350</v>
      </c>
      <c r="F20" s="49" t="s">
        <v>351</v>
      </c>
      <c r="G20" s="49" t="s">
        <v>352</v>
      </c>
      <c r="H20" s="51">
        <v>-10000</v>
      </c>
      <c r="I20" s="51">
        <f>H20*'Reporting Hebdo'!$E$3</f>
      </c>
      <c r="J20" s="88" t="s">
        <v>206</v>
      </c>
    </row>
    <row r="21" spans="1:10" x14ac:dyDescent="0.25">
      <c r="A21" s="88" t="s">
        <v>3</v>
      </c>
      <c r="B21" s="49" t="s">
        <v>70</v>
      </c>
      <c r="C21" s="49" t="s">
        <v>33</v>
      </c>
      <c r="D21" s="49" t="s">
        <v>125</v>
      </c>
      <c r="E21" s="49" t="s">
        <v>353</v>
      </c>
      <c r="F21" s="49" t="s">
        <v>354</v>
      </c>
      <c r="G21" s="49" t="s">
        <v>355</v>
      </c>
      <c r="H21" s="51">
        <v>-1255555.2</v>
      </c>
      <c r="I21" s="51">
        <f>H21*'Reporting Hebdo'!$E$3</f>
      </c>
      <c r="J21" s="88" t="s">
        <v>206</v>
      </c>
    </row>
    <row r="22" spans="1:10" x14ac:dyDescent="0.25">
      <c r="A22" s="88" t="s">
        <v>3</v>
      </c>
      <c r="B22" s="49" t="s">
        <v>70</v>
      </c>
      <c r="C22" s="49" t="s">
        <v>33</v>
      </c>
      <c r="D22" s="49" t="s">
        <v>126</v>
      </c>
      <c r="E22" s="49" t="s">
        <v>356</v>
      </c>
      <c r="F22" s="49" t="s">
        <v>357</v>
      </c>
      <c r="G22" s="49" t="s">
        <v>18</v>
      </c>
      <c r="H22" s="51">
        <v>-128661.33</v>
      </c>
      <c r="I22" s="51">
        <f>H22*'Reporting Hebdo'!$E$3</f>
      </c>
      <c r="J22" s="88" t="s">
        <v>206</v>
      </c>
    </row>
    <row r="23" spans="1:10" x14ac:dyDescent="0.25">
      <c r="A23" s="88" t="s">
        <v>3</v>
      </c>
      <c r="B23" s="49" t="s">
        <v>70</v>
      </c>
      <c r="C23" s="49" t="s">
        <v>33</v>
      </c>
      <c r="D23" s="49" t="s">
        <v>126</v>
      </c>
      <c r="E23" s="49" t="s">
        <v>358</v>
      </c>
      <c r="F23" s="49" t="s">
        <v>359</v>
      </c>
      <c r="G23" s="49" t="s">
        <v>18</v>
      </c>
      <c r="H23" s="51">
        <v>-212269.89</v>
      </c>
      <c r="I23" s="51">
        <f>H23*'Reporting Hebdo'!$E$3</f>
      </c>
      <c r="J23" s="88" t="s">
        <v>206</v>
      </c>
    </row>
    <row r="24" spans="1:10" x14ac:dyDescent="0.25">
      <c r="A24" s="88" t="s">
        <v>3</v>
      </c>
      <c r="B24" s="49" t="s">
        <v>67</v>
      </c>
      <c r="C24" s="49" t="s">
        <v>36</v>
      </c>
      <c r="D24" s="49" t="s">
        <v>122</v>
      </c>
      <c r="E24" s="49" t="s">
        <v>316</v>
      </c>
      <c r="F24" s="49" t="s">
        <v>317</v>
      </c>
      <c r="G24" s="49" t="s">
        <v>360</v>
      </c>
      <c r="H24" s="51">
        <v>-2000</v>
      </c>
      <c r="I24" s="51">
        <f>H24*'Reporting Hebdo'!$E$3</f>
      </c>
      <c r="J24" s="88" t="s">
        <v>206</v>
      </c>
    </row>
    <row r="25" spans="1:10" x14ac:dyDescent="0.25">
      <c r="A25" s="88" t="s">
        <v>3</v>
      </c>
      <c r="B25" s="49" t="s">
        <v>67</v>
      </c>
      <c r="C25" s="49" t="s">
        <v>36</v>
      </c>
      <c r="D25" s="49" t="s">
        <v>122</v>
      </c>
      <c r="E25" s="49" t="s">
        <v>361</v>
      </c>
      <c r="F25" s="49" t="s">
        <v>362</v>
      </c>
      <c r="G25" s="49" t="s">
        <v>363</v>
      </c>
      <c r="H25" s="51">
        <v>-6532.01</v>
      </c>
      <c r="I25" s="51">
        <f>H25*'Reporting Hebdo'!$E$3</f>
      </c>
      <c r="J25" s="88" t="s">
        <v>206</v>
      </c>
    </row>
    <row r="26" spans="1:10" x14ac:dyDescent="0.25">
      <c r="A26" s="88" t="s">
        <v>3</v>
      </c>
      <c r="B26" s="49" t="s">
        <v>67</v>
      </c>
      <c r="C26" s="49" t="s">
        <v>36</v>
      </c>
      <c r="D26" s="49" t="s">
        <v>122</v>
      </c>
      <c r="E26" s="49" t="s">
        <v>364</v>
      </c>
      <c r="F26" s="49" t="s">
        <v>365</v>
      </c>
      <c r="G26" s="49" t="s">
        <v>223</v>
      </c>
      <c r="H26" s="51">
        <v>-9643.65</v>
      </c>
      <c r="I26" s="51">
        <f>H26*'Reporting Hebdo'!$E$3</f>
      </c>
      <c r="J26" s="88" t="s">
        <v>206</v>
      </c>
    </row>
    <row r="27" spans="1:10" x14ac:dyDescent="0.25">
      <c r="A27" s="88" t="s">
        <v>3</v>
      </c>
      <c r="B27" s="49" t="s">
        <v>67</v>
      </c>
      <c r="C27" s="49" t="s">
        <v>36</v>
      </c>
      <c r="D27" s="49" t="s">
        <v>123</v>
      </c>
      <c r="E27" s="49" t="s">
        <v>366</v>
      </c>
      <c r="F27" s="49" t="s">
        <v>367</v>
      </c>
      <c r="G27" s="49" t="s">
        <v>18</v>
      </c>
      <c r="H27" s="51">
        <v>-35324</v>
      </c>
      <c r="I27" s="51">
        <f>H27*'Reporting Hebdo'!$E$3</f>
      </c>
      <c r="J27" s="88" t="s">
        <v>206</v>
      </c>
    </row>
    <row r="28" spans="1:10" x14ac:dyDescent="0.25">
      <c r="A28" s="88" t="s">
        <v>3</v>
      </c>
      <c r="B28" s="49" t="s">
        <v>67</v>
      </c>
      <c r="C28" s="49" t="s">
        <v>36</v>
      </c>
      <c r="D28" s="49" t="s">
        <v>123</v>
      </c>
      <c r="E28" s="49" t="s">
        <v>368</v>
      </c>
      <c r="F28" s="49" t="s">
        <v>369</v>
      </c>
      <c r="G28" s="49" t="s">
        <v>18</v>
      </c>
      <c r="H28" s="51">
        <v>-153276</v>
      </c>
      <c r="I28" s="51">
        <f>H28*'Reporting Hebdo'!$E$3</f>
      </c>
      <c r="J28" s="88" t="s">
        <v>206</v>
      </c>
    </row>
    <row r="29" spans="1:10" x14ac:dyDescent="0.25">
      <c r="A29" s="88" t="s">
        <v>3</v>
      </c>
      <c r="B29" s="49" t="s">
        <v>67</v>
      </c>
      <c r="C29" s="49" t="s">
        <v>36</v>
      </c>
      <c r="D29" s="49" t="s">
        <v>123</v>
      </c>
      <c r="E29" s="49" t="s">
        <v>370</v>
      </c>
      <c r="F29" s="49" t="s">
        <v>371</v>
      </c>
      <c r="G29" s="49" t="s">
        <v>372</v>
      </c>
      <c r="H29" s="51">
        <v>-318222.84</v>
      </c>
      <c r="I29" s="51">
        <f>H29*'Reporting Hebdo'!$E$3</f>
      </c>
      <c r="J29" s="88" t="s">
        <v>206</v>
      </c>
    </row>
    <row r="30" spans="1:10" x14ac:dyDescent="0.25">
      <c r="A30" s="88" t="s">
        <v>3</v>
      </c>
      <c r="B30" s="49" t="s">
        <v>67</v>
      </c>
      <c r="C30" s="49" t="s">
        <v>36</v>
      </c>
      <c r="D30" s="49" t="s">
        <v>123</v>
      </c>
      <c r="E30" s="49" t="s">
        <v>373</v>
      </c>
      <c r="F30" s="49" t="s">
        <v>374</v>
      </c>
      <c r="G30" s="49" t="s">
        <v>18</v>
      </c>
      <c r="H30" s="51">
        <v>-1078767.18</v>
      </c>
      <c r="I30" s="51">
        <f>H30*'Reporting Hebdo'!$E$3</f>
      </c>
      <c r="J30" s="88" t="s">
        <v>206</v>
      </c>
    </row>
    <row r="31" spans="1:10" x14ac:dyDescent="0.25">
      <c r="A31" s="88" t="s">
        <v>3</v>
      </c>
      <c r="B31" s="49" t="s">
        <v>67</v>
      </c>
      <c r="C31" s="49" t="s">
        <v>36</v>
      </c>
      <c r="D31" s="49" t="s">
        <v>123</v>
      </c>
      <c r="E31" s="49" t="s">
        <v>375</v>
      </c>
      <c r="F31" s="49" t="s">
        <v>376</v>
      </c>
      <c r="G31" s="49" t="s">
        <v>18</v>
      </c>
      <c r="H31" s="51">
        <v>-114194.59</v>
      </c>
      <c r="I31" s="51">
        <f>H31*'Reporting Hebdo'!$E$3</f>
      </c>
      <c r="J31" s="88" t="s">
        <v>206</v>
      </c>
    </row>
    <row r="32" spans="1:10" x14ac:dyDescent="0.25">
      <c r="A32" s="88" t="s">
        <v>3</v>
      </c>
      <c r="B32" s="49" t="s">
        <v>67</v>
      </c>
      <c r="C32" s="49" t="s">
        <v>36</v>
      </c>
      <c r="D32" s="49" t="s">
        <v>123</v>
      </c>
      <c r="E32" s="49" t="s">
        <v>377</v>
      </c>
      <c r="F32" s="49" t="s">
        <v>378</v>
      </c>
      <c r="G32" s="49" t="s">
        <v>18</v>
      </c>
      <c r="H32" s="51">
        <v>-420171.15</v>
      </c>
      <c r="I32" s="51">
        <f>H32*'Reporting Hebdo'!$E$3</f>
      </c>
      <c r="J32" s="88" t="s">
        <v>206</v>
      </c>
    </row>
    <row r="33" spans="1:10" x14ac:dyDescent="0.25">
      <c r="A33" s="88" t="s">
        <v>3</v>
      </c>
      <c r="B33" s="49" t="s">
        <v>67</v>
      </c>
      <c r="C33" s="49" t="s">
        <v>36</v>
      </c>
      <c r="D33" s="49" t="s">
        <v>123</v>
      </c>
      <c r="E33" s="49" t="s">
        <v>322</v>
      </c>
      <c r="F33" s="49" t="s">
        <v>379</v>
      </c>
      <c r="G33" s="49" t="s">
        <v>18</v>
      </c>
      <c r="H33" s="51">
        <v>-215577.47</v>
      </c>
      <c r="I33" s="51">
        <f>H33*'Reporting Hebdo'!$E$3</f>
      </c>
      <c r="J33" s="88" t="s">
        <v>206</v>
      </c>
    </row>
    <row r="34" spans="1:10" x14ac:dyDescent="0.25">
      <c r="A34" s="88" t="s">
        <v>3</v>
      </c>
      <c r="B34" s="49" t="s">
        <v>67</v>
      </c>
      <c r="C34" s="49" t="s">
        <v>36</v>
      </c>
      <c r="D34" s="49" t="s">
        <v>123</v>
      </c>
      <c r="E34" s="49" t="s">
        <v>380</v>
      </c>
      <c r="F34" s="49" t="s">
        <v>381</v>
      </c>
      <c r="G34" s="49" t="s">
        <v>18</v>
      </c>
      <c r="H34" s="51">
        <v>-74507.76</v>
      </c>
      <c r="I34" s="51">
        <f>H34*'Reporting Hebdo'!$E$3</f>
      </c>
      <c r="J34" s="88" t="s">
        <v>206</v>
      </c>
    </row>
    <row r="35" spans="1:10" x14ac:dyDescent="0.25">
      <c r="A35" s="88" t="s">
        <v>3</v>
      </c>
      <c r="B35" s="49" t="s">
        <v>67</v>
      </c>
      <c r="C35" s="49" t="s">
        <v>36</v>
      </c>
      <c r="D35" s="49" t="s">
        <v>123</v>
      </c>
      <c r="E35" s="49" t="s">
        <v>382</v>
      </c>
      <c r="F35" s="49" t="s">
        <v>383</v>
      </c>
      <c r="G35" s="49" t="s">
        <v>18</v>
      </c>
      <c r="H35" s="51">
        <v>-92662.98</v>
      </c>
      <c r="I35" s="51">
        <f>H35*'Reporting Hebdo'!$E$3</f>
      </c>
      <c r="J35" s="88" t="s">
        <v>206</v>
      </c>
    </row>
    <row r="36" spans="1:10" x14ac:dyDescent="0.25">
      <c r="A36" s="88" t="s">
        <v>3</v>
      </c>
      <c r="B36" s="49" t="s">
        <v>67</v>
      </c>
      <c r="C36" s="49" t="s">
        <v>36</v>
      </c>
      <c r="D36" s="49" t="s">
        <v>124</v>
      </c>
      <c r="E36" s="49" t="s">
        <v>330</v>
      </c>
      <c r="F36" s="49" t="s">
        <v>331</v>
      </c>
      <c r="G36" s="49" t="s">
        <v>384</v>
      </c>
      <c r="H36" s="51">
        <v>-59066.62</v>
      </c>
      <c r="I36" s="51">
        <f>H36*'Reporting Hebdo'!$E$3</f>
      </c>
      <c r="J36" s="88" t="s">
        <v>206</v>
      </c>
    </row>
    <row r="37" spans="1:10" x14ac:dyDescent="0.25">
      <c r="A37" s="88" t="s">
        <v>3</v>
      </c>
      <c r="B37" s="49" t="s">
        <v>67</v>
      </c>
      <c r="C37" s="49" t="s">
        <v>36</v>
      </c>
      <c r="D37" s="49" t="s">
        <v>124</v>
      </c>
      <c r="E37" s="49" t="s">
        <v>330</v>
      </c>
      <c r="F37" s="49" t="s">
        <v>331</v>
      </c>
      <c r="G37" s="49" t="s">
        <v>384</v>
      </c>
      <c r="H37" s="51">
        <v>-18066.62</v>
      </c>
      <c r="I37" s="51">
        <f>H37*'Reporting Hebdo'!$E$3</f>
      </c>
      <c r="J37" s="88" t="s">
        <v>206</v>
      </c>
    </row>
    <row r="38" spans="1:10" x14ac:dyDescent="0.25">
      <c r="A38" s="88" t="s">
        <v>3</v>
      </c>
      <c r="B38" s="49" t="s">
        <v>67</v>
      </c>
      <c r="C38" s="49" t="s">
        <v>36</v>
      </c>
      <c r="D38" s="49" t="s">
        <v>124</v>
      </c>
      <c r="E38" s="49" t="s">
        <v>333</v>
      </c>
      <c r="F38" s="49" t="s">
        <v>334</v>
      </c>
      <c r="G38" s="49" t="s">
        <v>335</v>
      </c>
      <c r="H38" s="51">
        <v>-41399.65</v>
      </c>
      <c r="I38" s="51">
        <f>H38*'Reporting Hebdo'!$E$3</f>
      </c>
      <c r="J38" s="88" t="s">
        <v>206</v>
      </c>
    </row>
    <row r="39" spans="1:10" x14ac:dyDescent="0.25">
      <c r="A39" s="88" t="s">
        <v>3</v>
      </c>
      <c r="B39" s="49" t="s">
        <v>67</v>
      </c>
      <c r="C39" s="49" t="s">
        <v>36</v>
      </c>
      <c r="D39" s="49" t="s">
        <v>124</v>
      </c>
      <c r="E39" s="49" t="s">
        <v>336</v>
      </c>
      <c r="F39" s="49" t="s">
        <v>337</v>
      </c>
      <c r="G39" s="49" t="s">
        <v>341</v>
      </c>
      <c r="H39" s="51">
        <v>-10236.62</v>
      </c>
      <c r="I39" s="51">
        <f>H39*'Reporting Hebdo'!$E$3</f>
      </c>
      <c r="J39" s="88" t="s">
        <v>206</v>
      </c>
    </row>
    <row r="40" spans="1:10" x14ac:dyDescent="0.25">
      <c r="A40" s="88" t="s">
        <v>3</v>
      </c>
      <c r="B40" s="49" t="s">
        <v>67</v>
      </c>
      <c r="C40" s="49" t="s">
        <v>36</v>
      </c>
      <c r="D40" s="49" t="s">
        <v>124</v>
      </c>
      <c r="E40" s="49" t="s">
        <v>339</v>
      </c>
      <c r="F40" s="49" t="s">
        <v>340</v>
      </c>
      <c r="G40" s="49" t="s">
        <v>341</v>
      </c>
      <c r="H40" s="51">
        <v>-4428</v>
      </c>
      <c r="I40" s="51">
        <f>H40*'Reporting Hebdo'!$E$3</f>
      </c>
      <c r="J40" s="88" t="s">
        <v>206</v>
      </c>
    </row>
    <row r="41" spans="1:10" x14ac:dyDescent="0.25">
      <c r="A41" s="88" t="s">
        <v>3</v>
      </c>
      <c r="B41" s="49" t="s">
        <v>67</v>
      </c>
      <c r="C41" s="49" t="s">
        <v>36</v>
      </c>
      <c r="D41" s="49" t="s">
        <v>124</v>
      </c>
      <c r="E41" s="49" t="s">
        <v>342</v>
      </c>
      <c r="F41" s="49" t="s">
        <v>343</v>
      </c>
      <c r="G41" s="49" t="s">
        <v>385</v>
      </c>
      <c r="H41" s="51">
        <v>-13438.33</v>
      </c>
      <c r="I41" s="51">
        <f>H41*'Reporting Hebdo'!$E$3</f>
      </c>
      <c r="J41" s="88" t="s">
        <v>206</v>
      </c>
    </row>
    <row r="42" spans="1:10" x14ac:dyDescent="0.25">
      <c r="A42" s="88" t="s">
        <v>3</v>
      </c>
      <c r="B42" s="49" t="s">
        <v>67</v>
      </c>
      <c r="C42" s="49" t="s">
        <v>36</v>
      </c>
      <c r="D42" s="49" t="s">
        <v>124</v>
      </c>
      <c r="E42" s="49" t="s">
        <v>386</v>
      </c>
      <c r="F42" s="49" t="s">
        <v>387</v>
      </c>
      <c r="G42" s="49" t="s">
        <v>18</v>
      </c>
      <c r="H42" s="51">
        <v>-9818</v>
      </c>
      <c r="I42" s="51">
        <f>H42*'Reporting Hebdo'!$E$3</f>
      </c>
      <c r="J42" s="88" t="s">
        <v>206</v>
      </c>
    </row>
    <row r="43" spans="1:10" x14ac:dyDescent="0.25">
      <c r="A43" s="88" t="s">
        <v>3</v>
      </c>
      <c r="B43" s="49" t="s">
        <v>67</v>
      </c>
      <c r="C43" s="49" t="s">
        <v>36</v>
      </c>
      <c r="D43" s="49" t="s">
        <v>124</v>
      </c>
      <c r="E43" s="49" t="s">
        <v>345</v>
      </c>
      <c r="F43" s="49" t="s">
        <v>346</v>
      </c>
      <c r="G43" s="49" t="s">
        <v>388</v>
      </c>
      <c r="H43" s="51">
        <v>-8000</v>
      </c>
      <c r="I43" s="51">
        <f>H43*'Reporting Hebdo'!$E$3</f>
      </c>
      <c r="J43" s="88" t="s">
        <v>206</v>
      </c>
    </row>
    <row r="44" spans="1:10" x14ac:dyDescent="0.25">
      <c r="A44" s="88" t="s">
        <v>3</v>
      </c>
      <c r="B44" s="49" t="s">
        <v>67</v>
      </c>
      <c r="C44" s="49" t="s">
        <v>36</v>
      </c>
      <c r="D44" s="49" t="s">
        <v>124</v>
      </c>
      <c r="E44" s="49" t="s">
        <v>348</v>
      </c>
      <c r="F44" s="49" t="s">
        <v>349</v>
      </c>
      <c r="G44" s="49" t="s">
        <v>18</v>
      </c>
      <c r="H44" s="51">
        <v>-53450.46</v>
      </c>
      <c r="I44" s="51">
        <f>H44*'Reporting Hebdo'!$E$3</f>
      </c>
      <c r="J44" s="88" t="s">
        <v>206</v>
      </c>
    </row>
    <row r="45" spans="1:10" x14ac:dyDescent="0.25">
      <c r="A45" s="88" t="s">
        <v>3</v>
      </c>
      <c r="B45" s="49" t="s">
        <v>67</v>
      </c>
      <c r="C45" s="49" t="s">
        <v>36</v>
      </c>
      <c r="D45" s="49" t="s">
        <v>125</v>
      </c>
      <c r="E45" s="49" t="s">
        <v>389</v>
      </c>
      <c r="F45" s="49" t="s">
        <v>390</v>
      </c>
      <c r="G45" s="49" t="s">
        <v>391</v>
      </c>
      <c r="H45" s="51">
        <v>-7000</v>
      </c>
      <c r="I45" s="51">
        <f>H45*'Reporting Hebdo'!$E$3</f>
      </c>
      <c r="J45" s="88" t="s">
        <v>206</v>
      </c>
    </row>
    <row r="46" spans="1:10" x14ac:dyDescent="0.25">
      <c r="A46" s="88" t="s">
        <v>3</v>
      </c>
      <c r="B46" s="49" t="s">
        <v>67</v>
      </c>
      <c r="C46" s="49" t="s">
        <v>36</v>
      </c>
      <c r="D46" s="49" t="s">
        <v>126</v>
      </c>
      <c r="E46" s="49" t="s">
        <v>356</v>
      </c>
      <c r="F46" s="49" t="s">
        <v>357</v>
      </c>
      <c r="G46" s="49" t="s">
        <v>18</v>
      </c>
      <c r="H46" s="51">
        <v>-214443.77</v>
      </c>
      <c r="I46" s="51">
        <f>H46*'Reporting Hebdo'!$E$3</f>
      </c>
      <c r="J46" s="88" t="s">
        <v>206</v>
      </c>
    </row>
    <row r="47" spans="1:10" x14ac:dyDescent="0.25">
      <c r="A47" s="88" t="s">
        <v>3</v>
      </c>
      <c r="B47" s="49" t="s">
        <v>67</v>
      </c>
      <c r="C47" s="49" t="s">
        <v>36</v>
      </c>
      <c r="D47" s="49" t="s">
        <v>126</v>
      </c>
      <c r="E47" s="49" t="s">
        <v>392</v>
      </c>
      <c r="F47" s="49" t="s">
        <v>393</v>
      </c>
      <c r="G47" s="49" t="s">
        <v>18</v>
      </c>
      <c r="H47" s="51">
        <v>75303.63</v>
      </c>
      <c r="I47" s="51">
        <f>H47*'Reporting Hebdo'!$E$3</f>
      </c>
      <c r="J47" s="88" t="s">
        <v>206</v>
      </c>
    </row>
    <row r="48" spans="1:10" x14ac:dyDescent="0.25">
      <c r="A48" s="88" t="s">
        <v>3</v>
      </c>
      <c r="B48" s="49" t="s">
        <v>67</v>
      </c>
      <c r="C48" s="49" t="s">
        <v>36</v>
      </c>
      <c r="D48" s="49" t="s">
        <v>126</v>
      </c>
      <c r="E48" s="49" t="s">
        <v>358</v>
      </c>
      <c r="F48" s="49" t="s">
        <v>359</v>
      </c>
      <c r="G48" s="49" t="s">
        <v>18</v>
      </c>
      <c r="H48" s="51">
        <v>-146427.09</v>
      </c>
      <c r="I48" s="51">
        <f>H48*'Reporting Hebdo'!$E$3</f>
      </c>
      <c r="J48" s="88" t="s">
        <v>206</v>
      </c>
    </row>
    <row r="49" spans="1:10" x14ac:dyDescent="0.25">
      <c r="A49" s="88" t="s">
        <v>4</v>
      </c>
      <c r="B49" s="49" t="s">
        <v>70</v>
      </c>
      <c r="C49" s="49" t="s">
        <v>33</v>
      </c>
      <c r="D49" s="49" t="s">
        <v>123</v>
      </c>
      <c r="E49" s="49" t="s">
        <v>320</v>
      </c>
      <c r="F49" s="49" t="s">
        <v>321</v>
      </c>
      <c r="G49" s="49" t="s">
        <v>18</v>
      </c>
      <c r="H49" s="51">
        <v>-12500</v>
      </c>
      <c r="I49" s="51">
        <f>H49*'Reporting Hebdo'!$E$3</f>
      </c>
      <c r="J49" s="88" t="s">
        <v>206</v>
      </c>
    </row>
    <row r="50" spans="1:10" x14ac:dyDescent="0.25">
      <c r="A50" s="88" t="s">
        <v>4</v>
      </c>
      <c r="B50" s="49" t="s">
        <v>70</v>
      </c>
      <c r="C50" s="49" t="s">
        <v>33</v>
      </c>
      <c r="D50" s="49" t="s">
        <v>123</v>
      </c>
      <c r="E50" s="49" t="s">
        <v>322</v>
      </c>
      <c r="F50" s="49" t="s">
        <v>323</v>
      </c>
      <c r="G50" s="49" t="s">
        <v>18</v>
      </c>
      <c r="H50" s="51">
        <v>-579003.74</v>
      </c>
      <c r="I50" s="51">
        <f>H50*'Reporting Hebdo'!$E$3</f>
      </c>
      <c r="J50" s="88" t="s">
        <v>206</v>
      </c>
    </row>
    <row r="51" spans="1:10" x14ac:dyDescent="0.25">
      <c r="A51" s="88" t="s">
        <v>4</v>
      </c>
      <c r="B51" s="49" t="s">
        <v>70</v>
      </c>
      <c r="C51" s="49" t="s">
        <v>33</v>
      </c>
      <c r="D51" s="49" t="s">
        <v>123</v>
      </c>
      <c r="E51" s="49" t="s">
        <v>380</v>
      </c>
      <c r="F51" s="49" t="s">
        <v>394</v>
      </c>
      <c r="G51" s="49" t="s">
        <v>18</v>
      </c>
      <c r="H51" s="51">
        <v>-42223.48</v>
      </c>
      <c r="I51" s="51">
        <f>H51*'Reporting Hebdo'!$E$3</f>
      </c>
      <c r="J51" s="88" t="s">
        <v>206</v>
      </c>
    </row>
    <row r="52" spans="1:10" x14ac:dyDescent="0.25">
      <c r="A52" s="88" t="s">
        <v>4</v>
      </c>
      <c r="B52" s="49" t="s">
        <v>70</v>
      </c>
      <c r="C52" s="49" t="s">
        <v>33</v>
      </c>
      <c r="D52" s="49" t="s">
        <v>123</v>
      </c>
      <c r="E52" s="49" t="s">
        <v>395</v>
      </c>
      <c r="F52" s="49" t="s">
        <v>396</v>
      </c>
      <c r="G52" s="49" t="s">
        <v>18</v>
      </c>
      <c r="H52" s="51">
        <v>-58400</v>
      </c>
      <c r="I52" s="51">
        <f>H52*'Reporting Hebdo'!$E$3</f>
      </c>
      <c r="J52" s="88" t="s">
        <v>206</v>
      </c>
    </row>
    <row r="53" spans="1:10" x14ac:dyDescent="0.25">
      <c r="A53" s="88" t="s">
        <v>4</v>
      </c>
      <c r="B53" s="49" t="s">
        <v>70</v>
      </c>
      <c r="C53" s="49" t="s">
        <v>33</v>
      </c>
      <c r="D53" s="49" t="s">
        <v>124</v>
      </c>
      <c r="E53" s="49" t="s">
        <v>342</v>
      </c>
      <c r="F53" s="49" t="s">
        <v>343</v>
      </c>
      <c r="G53" s="49" t="s">
        <v>344</v>
      </c>
      <c r="H53" s="51">
        <v>-4827.48</v>
      </c>
      <c r="I53" s="51">
        <f>H53*'Reporting Hebdo'!$E$3</f>
      </c>
      <c r="J53" s="88" t="s">
        <v>206</v>
      </c>
    </row>
    <row r="54" spans="1:10" x14ac:dyDescent="0.25">
      <c r="A54" s="88" t="s">
        <v>4</v>
      </c>
      <c r="B54" s="49" t="s">
        <v>70</v>
      </c>
      <c r="C54" s="49" t="s">
        <v>33</v>
      </c>
      <c r="D54" s="49" t="s">
        <v>124</v>
      </c>
      <c r="E54" s="49" t="s">
        <v>345</v>
      </c>
      <c r="F54" s="49" t="s">
        <v>346</v>
      </c>
      <c r="G54" s="49" t="s">
        <v>347</v>
      </c>
      <c r="H54" s="51">
        <v>-8253</v>
      </c>
      <c r="I54" s="51">
        <f>H54*'Reporting Hebdo'!$E$3</f>
      </c>
      <c r="J54" s="88" t="s">
        <v>206</v>
      </c>
    </row>
    <row r="55" spans="1:10" x14ac:dyDescent="0.25">
      <c r="A55" s="88" t="s">
        <v>4</v>
      </c>
      <c r="B55" s="49" t="s">
        <v>70</v>
      </c>
      <c r="C55" s="49" t="s">
        <v>33</v>
      </c>
      <c r="D55" s="49" t="s">
        <v>124</v>
      </c>
      <c r="E55" s="49" t="s">
        <v>348</v>
      </c>
      <c r="F55" s="49" t="s">
        <v>349</v>
      </c>
      <c r="G55" s="49" t="s">
        <v>18</v>
      </c>
      <c r="H55" s="51">
        <v>-4731</v>
      </c>
      <c r="I55" s="51">
        <f>H55*'Reporting Hebdo'!$E$3</f>
      </c>
      <c r="J55" s="88" t="s">
        <v>206</v>
      </c>
    </row>
    <row r="56" spans="1:10" x14ac:dyDescent="0.25">
      <c r="A56" s="88" t="s">
        <v>4</v>
      </c>
      <c r="B56" s="49" t="s">
        <v>70</v>
      </c>
      <c r="C56" s="49" t="s">
        <v>33</v>
      </c>
      <c r="D56" s="49" t="s">
        <v>125</v>
      </c>
      <c r="E56" s="49" t="s">
        <v>389</v>
      </c>
      <c r="F56" s="49" t="s">
        <v>390</v>
      </c>
      <c r="G56" s="49" t="s">
        <v>222</v>
      </c>
      <c r="H56" s="51">
        <v>-10000</v>
      </c>
      <c r="I56" s="51">
        <f>H56*'Reporting Hebdo'!$E$3</f>
      </c>
      <c r="J56" s="88" t="s">
        <v>206</v>
      </c>
    </row>
    <row r="57" spans="1:10" x14ac:dyDescent="0.25">
      <c r="A57" s="88" t="s">
        <v>4</v>
      </c>
      <c r="B57" s="49" t="s">
        <v>67</v>
      </c>
      <c r="C57" s="49" t="s">
        <v>36</v>
      </c>
      <c r="D57" s="49" t="s">
        <v>122</v>
      </c>
      <c r="E57" s="49" t="s">
        <v>397</v>
      </c>
      <c r="F57" s="49" t="s">
        <v>398</v>
      </c>
      <c r="G57" s="49" t="s">
        <v>399</v>
      </c>
      <c r="H57" s="51">
        <v>-22400</v>
      </c>
      <c r="I57" s="51">
        <f>H57*'Reporting Hebdo'!$E$3</f>
      </c>
      <c r="J57" s="88" t="s">
        <v>206</v>
      </c>
    </row>
    <row r="58" spans="1:10" x14ac:dyDescent="0.25">
      <c r="A58" s="88" t="s">
        <v>4</v>
      </c>
      <c r="B58" s="49" t="s">
        <v>67</v>
      </c>
      <c r="C58" s="49" t="s">
        <v>36</v>
      </c>
      <c r="D58" s="49" t="s">
        <v>123</v>
      </c>
      <c r="E58" s="49" t="s">
        <v>370</v>
      </c>
      <c r="F58" s="49" t="s">
        <v>371</v>
      </c>
      <c r="G58" s="49" t="s">
        <v>372</v>
      </c>
      <c r="H58" s="51">
        <v>-64093.98</v>
      </c>
      <c r="I58" s="51">
        <f>H58*'Reporting Hebdo'!$E$3</f>
      </c>
      <c r="J58" s="88" t="s">
        <v>206</v>
      </c>
    </row>
    <row r="59" spans="1:10" x14ac:dyDescent="0.25">
      <c r="A59" s="88" t="s">
        <v>4</v>
      </c>
      <c r="B59" s="49" t="s">
        <v>67</v>
      </c>
      <c r="C59" s="49" t="s">
        <v>36</v>
      </c>
      <c r="D59" s="49" t="s">
        <v>123</v>
      </c>
      <c r="E59" s="49" t="s">
        <v>373</v>
      </c>
      <c r="F59" s="49" t="s">
        <v>374</v>
      </c>
      <c r="G59" s="49" t="s">
        <v>18</v>
      </c>
      <c r="H59" s="51">
        <v>-495269.11</v>
      </c>
      <c r="I59" s="51">
        <f>H59*'Reporting Hebdo'!$E$3</f>
      </c>
      <c r="J59" s="88" t="s">
        <v>206</v>
      </c>
    </row>
    <row r="60" spans="1:10" x14ac:dyDescent="0.25">
      <c r="A60" s="88" t="s">
        <v>4</v>
      </c>
      <c r="B60" s="49" t="s">
        <v>67</v>
      </c>
      <c r="C60" s="49" t="s">
        <v>36</v>
      </c>
      <c r="D60" s="49" t="s">
        <v>123</v>
      </c>
      <c r="E60" s="49" t="s">
        <v>373</v>
      </c>
      <c r="F60" s="49" t="s">
        <v>400</v>
      </c>
      <c r="G60" s="49" t="s">
        <v>18</v>
      </c>
      <c r="H60" s="51">
        <v>-333541.25</v>
      </c>
      <c r="I60" s="51">
        <f>H60*'Reporting Hebdo'!$E$3</f>
      </c>
      <c r="J60" s="88" t="s">
        <v>206</v>
      </c>
    </row>
    <row r="61" spans="1:10" x14ac:dyDescent="0.25">
      <c r="A61" s="88" t="s">
        <v>4</v>
      </c>
      <c r="B61" s="49" t="s">
        <v>67</v>
      </c>
      <c r="C61" s="49" t="s">
        <v>36</v>
      </c>
      <c r="D61" s="49" t="s">
        <v>123</v>
      </c>
      <c r="E61" s="49" t="s">
        <v>375</v>
      </c>
      <c r="F61" s="49" t="s">
        <v>401</v>
      </c>
      <c r="G61" s="49" t="s">
        <v>18</v>
      </c>
      <c r="H61" s="51">
        <v>-54877.41</v>
      </c>
      <c r="I61" s="51">
        <f>H61*'Reporting Hebdo'!$E$3</f>
      </c>
      <c r="J61" s="88" t="s">
        <v>206</v>
      </c>
    </row>
    <row r="62" spans="1:10" x14ac:dyDescent="0.25">
      <c r="A62" s="88" t="s">
        <v>4</v>
      </c>
      <c r="B62" s="49" t="s">
        <v>67</v>
      </c>
      <c r="C62" s="49" t="s">
        <v>36</v>
      </c>
      <c r="D62" s="49" t="s">
        <v>123</v>
      </c>
      <c r="E62" s="49" t="s">
        <v>377</v>
      </c>
      <c r="F62" s="49" t="s">
        <v>402</v>
      </c>
      <c r="G62" s="49" t="s">
        <v>18</v>
      </c>
      <c r="H62" s="51">
        <v>-141680.23</v>
      </c>
      <c r="I62" s="51">
        <f>H62*'Reporting Hebdo'!$E$3</f>
      </c>
      <c r="J62" s="88" t="s">
        <v>206</v>
      </c>
    </row>
    <row r="63" spans="1:10" x14ac:dyDescent="0.25">
      <c r="A63" s="88" t="s">
        <v>4</v>
      </c>
      <c r="B63" s="49" t="s">
        <v>67</v>
      </c>
      <c r="C63" s="49" t="s">
        <v>36</v>
      </c>
      <c r="D63" s="49" t="s">
        <v>123</v>
      </c>
      <c r="E63" s="49" t="s">
        <v>322</v>
      </c>
      <c r="F63" s="49" t="s">
        <v>403</v>
      </c>
      <c r="G63" s="49" t="s">
        <v>18</v>
      </c>
      <c r="H63" s="51">
        <v>-207907.04</v>
      </c>
      <c r="I63" s="51">
        <f>H63*'Reporting Hebdo'!$E$3</f>
      </c>
      <c r="J63" s="88" t="s">
        <v>206</v>
      </c>
    </row>
    <row r="64" spans="1:10" x14ac:dyDescent="0.25">
      <c r="A64" s="88" t="s">
        <v>4</v>
      </c>
      <c r="B64" s="49" t="s">
        <v>67</v>
      </c>
      <c r="C64" s="49" t="s">
        <v>36</v>
      </c>
      <c r="D64" s="49" t="s">
        <v>124</v>
      </c>
      <c r="E64" s="49" t="s">
        <v>342</v>
      </c>
      <c r="F64" s="49" t="s">
        <v>343</v>
      </c>
      <c r="G64" s="49" t="s">
        <v>385</v>
      </c>
      <c r="H64" s="51">
        <v>-6719.33</v>
      </c>
      <c r="I64" s="51">
        <f>H64*'Reporting Hebdo'!$E$3</f>
      </c>
      <c r="J64" s="88" t="s">
        <v>206</v>
      </c>
    </row>
    <row r="65" spans="1:10" x14ac:dyDescent="0.25">
      <c r="A65" s="88" t="s">
        <v>4</v>
      </c>
      <c r="B65" s="49" t="s">
        <v>67</v>
      </c>
      <c r="C65" s="49" t="s">
        <v>36</v>
      </c>
      <c r="D65" s="49" t="s">
        <v>124</v>
      </c>
      <c r="E65" s="49" t="s">
        <v>348</v>
      </c>
      <c r="F65" s="49" t="s">
        <v>349</v>
      </c>
      <c r="G65" s="49" t="s">
        <v>18</v>
      </c>
      <c r="H65" s="51">
        <v>-4100.35</v>
      </c>
      <c r="I65" s="51">
        <f>H65*'Reporting Hebdo'!$E$3</f>
      </c>
      <c r="J65" s="88" t="s">
        <v>206</v>
      </c>
    </row>
    <row r="66" spans="1:10" x14ac:dyDescent="0.25">
      <c r="A66" s="88" t="s">
        <v>4</v>
      </c>
      <c r="B66" s="49" t="s">
        <v>67</v>
      </c>
      <c r="C66" s="49" t="s">
        <v>36</v>
      </c>
      <c r="D66" s="49" t="s">
        <v>125</v>
      </c>
      <c r="E66" s="49" t="s">
        <v>350</v>
      </c>
      <c r="F66" s="49" t="s">
        <v>351</v>
      </c>
      <c r="G66" s="49" t="s">
        <v>404</v>
      </c>
      <c r="H66" s="51">
        <v>-11683</v>
      </c>
      <c r="I66" s="51">
        <f>H66*'Reporting Hebdo'!$E$3</f>
      </c>
      <c r="J66" s="88" t="s">
        <v>206</v>
      </c>
    </row>
    <row r="67" spans="1:10" x14ac:dyDescent="0.25">
      <c r="A67" s="88" t="s">
        <v>4</v>
      </c>
      <c r="B67" s="49" t="s">
        <v>67</v>
      </c>
      <c r="C67" s="49" t="s">
        <v>36</v>
      </c>
      <c r="D67" s="49" t="s">
        <v>125</v>
      </c>
      <c r="E67" s="49" t="s">
        <v>389</v>
      </c>
      <c r="F67" s="49" t="s">
        <v>390</v>
      </c>
      <c r="G67" s="49" t="s">
        <v>391</v>
      </c>
      <c r="H67" s="51">
        <v>-3000</v>
      </c>
      <c r="I67" s="51">
        <f>H67*'Reporting Hebdo'!$E$3</f>
      </c>
      <c r="J67" s="88" t="s">
        <v>206</v>
      </c>
    </row>
    <row r="68" spans="1:10" x14ac:dyDescent="0.25">
      <c r="A68" s="88" t="s">
        <v>4</v>
      </c>
      <c r="B68" s="49" t="s">
        <v>67</v>
      </c>
      <c r="C68" s="49" t="s">
        <v>36</v>
      </c>
      <c r="D68" s="49" t="s">
        <v>125</v>
      </c>
      <c r="E68" s="49" t="s">
        <v>405</v>
      </c>
      <c r="F68" s="49" t="s">
        <v>406</v>
      </c>
      <c r="G68" s="49" t="s">
        <v>407</v>
      </c>
      <c r="H68" s="51">
        <v>-35480</v>
      </c>
      <c r="I68" s="51">
        <f>H68*'Reporting Hebdo'!$E$3</f>
      </c>
      <c r="J68" s="88" t="s">
        <v>206</v>
      </c>
    </row>
    <row r="69" spans="1:10" x14ac:dyDescent="0.25">
      <c r="A69" s="88" t="s">
        <v>4</v>
      </c>
      <c r="B69" s="49" t="s">
        <v>67</v>
      </c>
      <c r="C69" s="49" t="s">
        <v>36</v>
      </c>
      <c r="D69" s="49" t="s">
        <v>126</v>
      </c>
      <c r="E69" s="49" t="s">
        <v>408</v>
      </c>
      <c r="F69" s="49" t="s">
        <v>409</v>
      </c>
      <c r="G69" s="49" t="s">
        <v>18</v>
      </c>
      <c r="H69" s="51">
        <v>-504987.37</v>
      </c>
      <c r="I69" s="51">
        <f>H69*'Reporting Hebdo'!$E$3</f>
      </c>
      <c r="J69" s="88" t="s">
        <v>206</v>
      </c>
    </row>
    <row r="70" spans="1:10" x14ac:dyDescent="0.25">
      <c r="A70" s="88" t="s">
        <v>4</v>
      </c>
      <c r="B70" s="49" t="s">
        <v>67</v>
      </c>
      <c r="C70" s="49" t="s">
        <v>36</v>
      </c>
      <c r="D70" s="49" t="s">
        <v>126</v>
      </c>
      <c r="E70" s="49" t="s">
        <v>410</v>
      </c>
      <c r="F70" s="49" t="s">
        <v>411</v>
      </c>
      <c r="G70" s="49" t="s">
        <v>18</v>
      </c>
      <c r="H70" s="51">
        <v>-8404.26</v>
      </c>
      <c r="I70" s="51">
        <f>H70*'Reporting Hebdo'!$E$3</f>
      </c>
      <c r="J70" s="88" t="s">
        <v>206</v>
      </c>
    </row>
    <row r="71" spans="1:10" x14ac:dyDescent="0.25">
      <c r="A71" s="88" t="s">
        <v>6</v>
      </c>
      <c r="B71" s="49" t="s">
        <v>70</v>
      </c>
      <c r="C71" s="49" t="s">
        <v>33</v>
      </c>
      <c r="D71" s="49" t="s">
        <v>124</v>
      </c>
      <c r="E71" s="49" t="s">
        <v>333</v>
      </c>
      <c r="F71" s="49" t="s">
        <v>334</v>
      </c>
      <c r="G71" s="49" t="s">
        <v>335</v>
      </c>
      <c r="H71" s="51">
        <v>-20580.8</v>
      </c>
      <c r="I71" s="51">
        <f>H71*'Reporting Hebdo'!$E$3</f>
      </c>
      <c r="J71" s="88" t="s">
        <v>206</v>
      </c>
    </row>
    <row r="72" spans="1:10" x14ac:dyDescent="0.25">
      <c r="A72" s="88" t="s">
        <v>6</v>
      </c>
      <c r="B72" s="49" t="s">
        <v>67</v>
      </c>
      <c r="C72" s="49" t="s">
        <v>36</v>
      </c>
      <c r="D72" s="49" t="s">
        <v>124</v>
      </c>
      <c r="E72" s="49" t="s">
        <v>333</v>
      </c>
      <c r="F72" s="49" t="s">
        <v>334</v>
      </c>
      <c r="G72" s="49" t="s">
        <v>335</v>
      </c>
      <c r="H72" s="51">
        <v>-20699.65</v>
      </c>
      <c r="I72" s="51">
        <f>H72*'Reporting Hebdo'!$E$3</f>
      </c>
      <c r="J72" s="88" t="s">
        <v>206</v>
      </c>
    </row>
    <row r="73" spans="1:10" x14ac:dyDescent="0.25">
      <c r="A73" s="89" t="s">
        <v>412</v>
      </c>
      <c r="B73" s="90" t="s">
        <v>70</v>
      </c>
      <c r="C73" s="90" t="s">
        <v>33</v>
      </c>
      <c r="D73" s="90" t="s">
        <v>123</v>
      </c>
      <c r="E73" s="90" t="s">
        <v>413</v>
      </c>
      <c r="F73" s="90" t="s">
        <v>414</v>
      </c>
      <c r="G73" s="90" t="s">
        <v>18</v>
      </c>
      <c r="H73" s="91">
        <v>-11750</v>
      </c>
      <c r="I73" s="91">
        <f>H73*'Reporting Hebdo'!$E$3</f>
      </c>
      <c r="J73" s="89" t="s">
        <v>206</v>
      </c>
    </row>
    <row r="74" spans="1:10" x14ac:dyDescent="0.25">
      <c r="A74" s="89" t="s">
        <v>412</v>
      </c>
      <c r="B74" s="90" t="s">
        <v>70</v>
      </c>
      <c r="C74" s="90" t="s">
        <v>33</v>
      </c>
      <c r="D74" s="90" t="s">
        <v>123</v>
      </c>
      <c r="E74" s="90" t="s">
        <v>320</v>
      </c>
      <c r="F74" s="90" t="s">
        <v>321</v>
      </c>
      <c r="G74" s="90" t="s">
        <v>18</v>
      </c>
      <c r="H74" s="91">
        <v>-12500</v>
      </c>
      <c r="I74" s="91">
        <f>H74*'Reporting Hebdo'!$E$3</f>
      </c>
      <c r="J74" s="89" t="s">
        <v>206</v>
      </c>
    </row>
    <row r="75" spans="1:10" x14ac:dyDescent="0.25">
      <c r="A75" s="89" t="s">
        <v>412</v>
      </c>
      <c r="B75" s="90" t="s">
        <v>70</v>
      </c>
      <c r="C75" s="90" t="s">
        <v>33</v>
      </c>
      <c r="D75" s="90" t="s">
        <v>123</v>
      </c>
      <c r="E75" s="90" t="s">
        <v>322</v>
      </c>
      <c r="F75" s="90" t="s">
        <v>323</v>
      </c>
      <c r="G75" s="90" t="s">
        <v>18</v>
      </c>
      <c r="H75" s="91">
        <v>-598630.99</v>
      </c>
      <c r="I75" s="91">
        <f>H75*'Reporting Hebdo'!$E$3</f>
      </c>
      <c r="J75" s="89" t="s">
        <v>206</v>
      </c>
    </row>
    <row r="76" spans="1:10" x14ac:dyDescent="0.25">
      <c r="A76" s="89" t="s">
        <v>412</v>
      </c>
      <c r="B76" s="90" t="s">
        <v>70</v>
      </c>
      <c r="C76" s="90" t="s">
        <v>33</v>
      </c>
      <c r="D76" s="90" t="s">
        <v>123</v>
      </c>
      <c r="E76" s="90" t="s">
        <v>380</v>
      </c>
      <c r="F76" s="90" t="s">
        <v>394</v>
      </c>
      <c r="G76" s="90" t="s">
        <v>18</v>
      </c>
      <c r="H76" s="91">
        <v>-52358.11</v>
      </c>
      <c r="I76" s="91">
        <f>H76*'Reporting Hebdo'!$E$3</f>
      </c>
      <c r="J76" s="89" t="s">
        <v>206</v>
      </c>
    </row>
    <row r="77" spans="1:10" x14ac:dyDescent="0.25">
      <c r="A77" s="89" t="s">
        <v>412</v>
      </c>
      <c r="B77" s="90" t="s">
        <v>70</v>
      </c>
      <c r="C77" s="90" t="s">
        <v>33</v>
      </c>
      <c r="D77" s="90" t="s">
        <v>123</v>
      </c>
      <c r="E77" s="90" t="s">
        <v>415</v>
      </c>
      <c r="F77" s="90" t="s">
        <v>416</v>
      </c>
      <c r="G77" s="90" t="s">
        <v>18</v>
      </c>
      <c r="H77" s="91">
        <v>-20266.96</v>
      </c>
      <c r="I77" s="91">
        <f>H77*'Reporting Hebdo'!$E$3</f>
      </c>
      <c r="J77" s="89" t="s">
        <v>206</v>
      </c>
    </row>
    <row r="78" spans="1:10" x14ac:dyDescent="0.25">
      <c r="A78" s="89" t="s">
        <v>412</v>
      </c>
      <c r="B78" s="90" t="s">
        <v>70</v>
      </c>
      <c r="C78" s="90" t="s">
        <v>33</v>
      </c>
      <c r="D78" s="90" t="s">
        <v>123</v>
      </c>
      <c r="E78" s="90" t="s">
        <v>417</v>
      </c>
      <c r="F78" s="90" t="s">
        <v>418</v>
      </c>
      <c r="G78" s="90" t="s">
        <v>18</v>
      </c>
      <c r="H78" s="91">
        <v>-5391.59</v>
      </c>
      <c r="I78" s="91">
        <f>H78*'Reporting Hebdo'!$E$3</f>
      </c>
      <c r="J78" s="89" t="s">
        <v>206</v>
      </c>
    </row>
    <row r="79" spans="1:10" x14ac:dyDescent="0.25">
      <c r="A79" s="89" t="s">
        <v>412</v>
      </c>
      <c r="B79" s="90" t="s">
        <v>70</v>
      </c>
      <c r="C79" s="90" t="s">
        <v>33</v>
      </c>
      <c r="D79" s="90" t="s">
        <v>123</v>
      </c>
      <c r="E79" s="90" t="s">
        <v>419</v>
      </c>
      <c r="F79" s="90" t="s">
        <v>420</v>
      </c>
      <c r="G79" s="90" t="s">
        <v>18</v>
      </c>
      <c r="H79" s="91">
        <v>-2149.39</v>
      </c>
      <c r="I79" s="91">
        <f>H79*'Reporting Hebdo'!$E$3</f>
      </c>
      <c r="J79" s="89" t="s">
        <v>206</v>
      </c>
    </row>
    <row r="80" spans="1:10" x14ac:dyDescent="0.25">
      <c r="A80" s="89" t="s">
        <v>412</v>
      </c>
      <c r="B80" s="90" t="s">
        <v>70</v>
      </c>
      <c r="C80" s="90" t="s">
        <v>33</v>
      </c>
      <c r="D80" s="90" t="s">
        <v>123</v>
      </c>
      <c r="E80" s="90" t="s">
        <v>421</v>
      </c>
      <c r="F80" s="90" t="s">
        <v>422</v>
      </c>
      <c r="G80" s="90" t="s">
        <v>18</v>
      </c>
      <c r="H80" s="91">
        <v>-21726.3</v>
      </c>
      <c r="I80" s="91">
        <f>H80*'Reporting Hebdo'!$E$3</f>
      </c>
      <c r="J80" s="89" t="s">
        <v>206</v>
      </c>
    </row>
    <row r="81" spans="1:10" x14ac:dyDescent="0.25">
      <c r="A81" s="89" t="s">
        <v>412</v>
      </c>
      <c r="B81" s="90" t="s">
        <v>70</v>
      </c>
      <c r="C81" s="90" t="s">
        <v>33</v>
      </c>
      <c r="D81" s="90" t="s">
        <v>123</v>
      </c>
      <c r="E81" s="90" t="s">
        <v>423</v>
      </c>
      <c r="F81" s="90" t="s">
        <v>424</v>
      </c>
      <c r="G81" s="90" t="s">
        <v>18</v>
      </c>
      <c r="H81" s="91">
        <v>-13508.13</v>
      </c>
      <c r="I81" s="91">
        <f>H81*'Reporting Hebdo'!$E$3</f>
      </c>
      <c r="J81" s="89" t="s">
        <v>206</v>
      </c>
    </row>
    <row r="82" spans="1:10" x14ac:dyDescent="0.25">
      <c r="A82" s="89" t="s">
        <v>412</v>
      </c>
      <c r="B82" s="90" t="s">
        <v>70</v>
      </c>
      <c r="C82" s="90" t="s">
        <v>33</v>
      </c>
      <c r="D82" s="90" t="s">
        <v>123</v>
      </c>
      <c r="E82" s="90" t="s">
        <v>395</v>
      </c>
      <c r="F82" s="90" t="s">
        <v>396</v>
      </c>
      <c r="G82" s="90" t="s">
        <v>18</v>
      </c>
      <c r="H82" s="91">
        <v>-58400</v>
      </c>
      <c r="I82" s="91">
        <f>H82*'Reporting Hebdo'!$E$3</f>
      </c>
      <c r="J82" s="89" t="s">
        <v>206</v>
      </c>
    </row>
    <row r="83" spans="1:10" x14ac:dyDescent="0.25">
      <c r="A83" s="89" t="s">
        <v>412</v>
      </c>
      <c r="B83" s="90" t="s">
        <v>70</v>
      </c>
      <c r="C83" s="90" t="s">
        <v>33</v>
      </c>
      <c r="D83" s="90" t="s">
        <v>124</v>
      </c>
      <c r="E83" s="90" t="s">
        <v>330</v>
      </c>
      <c r="F83" s="90" t="s">
        <v>331</v>
      </c>
      <c r="G83" s="90" t="s">
        <v>332</v>
      </c>
      <c r="H83" s="91">
        <v>-6577</v>
      </c>
      <c r="I83" s="91">
        <f>H83*'Reporting Hebdo'!$E$3</f>
      </c>
      <c r="J83" s="89" t="s">
        <v>206</v>
      </c>
    </row>
    <row r="84" spans="1:10" x14ac:dyDescent="0.25">
      <c r="A84" s="89" t="s">
        <v>412</v>
      </c>
      <c r="B84" s="90" t="s">
        <v>70</v>
      </c>
      <c r="C84" s="90" t="s">
        <v>33</v>
      </c>
      <c r="D84" s="90" t="s">
        <v>124</v>
      </c>
      <c r="E84" s="90" t="s">
        <v>333</v>
      </c>
      <c r="F84" s="90" t="s">
        <v>334</v>
      </c>
      <c r="G84" s="90" t="s">
        <v>335</v>
      </c>
      <c r="H84" s="91">
        <v>-20580.8</v>
      </c>
      <c r="I84" s="91">
        <f>H84*'Reporting Hebdo'!$E$3</f>
      </c>
      <c r="J84" s="89" t="s">
        <v>206</v>
      </c>
    </row>
    <row r="85" spans="1:10" x14ac:dyDescent="0.25">
      <c r="A85" s="89" t="s">
        <v>412</v>
      </c>
      <c r="B85" s="90" t="s">
        <v>70</v>
      </c>
      <c r="C85" s="90" t="s">
        <v>33</v>
      </c>
      <c r="D85" s="90" t="s">
        <v>124</v>
      </c>
      <c r="E85" s="90" t="s">
        <v>339</v>
      </c>
      <c r="F85" s="90" t="s">
        <v>340</v>
      </c>
      <c r="G85" s="90" t="s">
        <v>341</v>
      </c>
      <c r="H85" s="91">
        <v>-4878.37</v>
      </c>
      <c r="I85" s="91">
        <f>H85*'Reporting Hebdo'!$E$3</f>
      </c>
      <c r="J85" s="89" t="s">
        <v>206</v>
      </c>
    </row>
    <row r="86" spans="1:10" x14ac:dyDescent="0.25">
      <c r="A86" s="89" t="s">
        <v>412</v>
      </c>
      <c r="B86" s="90" t="s">
        <v>70</v>
      </c>
      <c r="C86" s="90" t="s">
        <v>33</v>
      </c>
      <c r="D86" s="90" t="s">
        <v>124</v>
      </c>
      <c r="E86" s="90" t="s">
        <v>342</v>
      </c>
      <c r="F86" s="90" t="s">
        <v>343</v>
      </c>
      <c r="G86" s="90" t="s">
        <v>344</v>
      </c>
      <c r="H86" s="91">
        <v>-4827.48</v>
      </c>
      <c r="I86" s="91">
        <f>H86*'Reporting Hebdo'!$E$3</f>
      </c>
      <c r="J86" s="89" t="s">
        <v>206</v>
      </c>
    </row>
    <row r="87" spans="1:10" x14ac:dyDescent="0.25">
      <c r="A87" s="89" t="s">
        <v>412</v>
      </c>
      <c r="B87" s="90" t="s">
        <v>70</v>
      </c>
      <c r="C87" s="90" t="s">
        <v>33</v>
      </c>
      <c r="D87" s="90" t="s">
        <v>124</v>
      </c>
      <c r="E87" s="90" t="s">
        <v>348</v>
      </c>
      <c r="F87" s="90" t="s">
        <v>349</v>
      </c>
      <c r="G87" s="90" t="s">
        <v>18</v>
      </c>
      <c r="H87" s="91">
        <v>-566.74</v>
      </c>
      <c r="I87" s="91">
        <f>H87*'Reporting Hebdo'!$E$3</f>
      </c>
      <c r="J87" s="89" t="s">
        <v>206</v>
      </c>
    </row>
    <row r="88" spans="1:10" x14ac:dyDescent="0.25">
      <c r="A88" s="89" t="s">
        <v>412</v>
      </c>
      <c r="B88" s="90" t="s">
        <v>70</v>
      </c>
      <c r="C88" s="90" t="s">
        <v>33</v>
      </c>
      <c r="D88" s="90" t="s">
        <v>125</v>
      </c>
      <c r="E88" s="90" t="s">
        <v>389</v>
      </c>
      <c r="F88" s="90" t="s">
        <v>390</v>
      </c>
      <c r="G88" s="90" t="s">
        <v>222</v>
      </c>
      <c r="H88" s="91">
        <v>-5000</v>
      </c>
      <c r="I88" s="91">
        <f>H88*'Reporting Hebdo'!$E$3</f>
      </c>
      <c r="J88" s="89" t="s">
        <v>206</v>
      </c>
    </row>
    <row r="89" spans="1:10" x14ac:dyDescent="0.25">
      <c r="A89" s="89" t="s">
        <v>412</v>
      </c>
      <c r="B89" s="90" t="s">
        <v>70</v>
      </c>
      <c r="C89" s="90" t="s">
        <v>33</v>
      </c>
      <c r="D89" s="90" t="s">
        <v>125</v>
      </c>
      <c r="E89" s="90" t="s">
        <v>405</v>
      </c>
      <c r="F89" s="90" t="s">
        <v>406</v>
      </c>
      <c r="G89" s="90" t="s">
        <v>425</v>
      </c>
      <c r="H89" s="91">
        <v>-42996.69</v>
      </c>
      <c r="I89" s="91">
        <f>H89*'Reporting Hebdo'!$E$3</f>
      </c>
      <c r="J89" s="89" t="s">
        <v>206</v>
      </c>
    </row>
    <row r="90" spans="1:10" x14ac:dyDescent="0.25">
      <c r="A90" s="89" t="s">
        <v>412</v>
      </c>
      <c r="B90" s="90" t="s">
        <v>70</v>
      </c>
      <c r="C90" s="90" t="s">
        <v>33</v>
      </c>
      <c r="D90" s="90" t="s">
        <v>426</v>
      </c>
      <c r="E90" s="90" t="s">
        <v>427</v>
      </c>
      <c r="F90" s="90" t="s">
        <v>428</v>
      </c>
      <c r="G90" s="90" t="s">
        <v>18</v>
      </c>
      <c r="H90" s="91">
        <v>-313500</v>
      </c>
      <c r="I90" s="91">
        <f>H90*'Reporting Hebdo'!$E$3</f>
      </c>
      <c r="J90" s="89" t="s">
        <v>206</v>
      </c>
    </row>
    <row r="91" spans="1:10" x14ac:dyDescent="0.25">
      <c r="A91" s="89" t="s">
        <v>412</v>
      </c>
      <c r="B91" s="90" t="s">
        <v>70</v>
      </c>
      <c r="C91" s="90" t="s">
        <v>33</v>
      </c>
      <c r="D91" s="90" t="s">
        <v>426</v>
      </c>
      <c r="E91" s="90" t="s">
        <v>429</v>
      </c>
      <c r="F91" s="90" t="s">
        <v>430</v>
      </c>
      <c r="G91" s="90" t="s">
        <v>18</v>
      </c>
      <c r="H91" s="91">
        <v>-358671</v>
      </c>
      <c r="I91" s="91">
        <f>H91*'Reporting Hebdo'!$E$3</f>
      </c>
      <c r="J91" s="89" t="s">
        <v>206</v>
      </c>
    </row>
    <row r="92" spans="1:10" x14ac:dyDescent="0.25">
      <c r="A92" s="89" t="s">
        <v>412</v>
      </c>
      <c r="B92" s="90" t="s">
        <v>70</v>
      </c>
      <c r="C92" s="90" t="s">
        <v>33</v>
      </c>
      <c r="D92" s="90" t="s">
        <v>126</v>
      </c>
      <c r="E92" s="90" t="s">
        <v>408</v>
      </c>
      <c r="F92" s="90" t="s">
        <v>409</v>
      </c>
      <c r="G92" s="90" t="s">
        <v>431</v>
      </c>
      <c r="H92" s="91">
        <v>-289547.42</v>
      </c>
      <c r="I92" s="91">
        <f>H92*'Reporting Hebdo'!$E$3</f>
      </c>
      <c r="J92" s="89" t="s">
        <v>206</v>
      </c>
    </row>
    <row r="93" spans="1:10" x14ac:dyDescent="0.25">
      <c r="A93" s="89" t="s">
        <v>412</v>
      </c>
      <c r="B93" s="90" t="s">
        <v>70</v>
      </c>
      <c r="C93" s="90" t="s">
        <v>33</v>
      </c>
      <c r="D93" s="90" t="s">
        <v>126</v>
      </c>
      <c r="E93" s="90" t="s">
        <v>410</v>
      </c>
      <c r="F93" s="90" t="s">
        <v>411</v>
      </c>
      <c r="G93" s="90" t="s">
        <v>431</v>
      </c>
      <c r="H93" s="91">
        <v>-44236.41</v>
      </c>
      <c r="I93" s="91">
        <f>H93*'Reporting Hebdo'!$E$3</f>
      </c>
      <c r="J93" s="89" t="s">
        <v>206</v>
      </c>
    </row>
    <row r="94" spans="1:10" x14ac:dyDescent="0.25">
      <c r="A94" s="89" t="s">
        <v>412</v>
      </c>
      <c r="B94" s="90" t="s">
        <v>67</v>
      </c>
      <c r="C94" s="90" t="s">
        <v>36</v>
      </c>
      <c r="D94" s="90" t="s">
        <v>123</v>
      </c>
      <c r="E94" s="90" t="s">
        <v>432</v>
      </c>
      <c r="F94" s="90" t="s">
        <v>433</v>
      </c>
      <c r="G94" s="90" t="s">
        <v>18</v>
      </c>
      <c r="H94" s="91">
        <v>200000</v>
      </c>
      <c r="I94" s="91">
        <f>H94*'Reporting Hebdo'!$E$3</f>
      </c>
      <c r="J94" s="89" t="s">
        <v>206</v>
      </c>
    </row>
    <row r="95" spans="1:10" x14ac:dyDescent="0.25">
      <c r="A95" s="89" t="s">
        <v>412</v>
      </c>
      <c r="B95" s="90" t="s">
        <v>67</v>
      </c>
      <c r="C95" s="90" t="s">
        <v>36</v>
      </c>
      <c r="D95" s="90" t="s">
        <v>123</v>
      </c>
      <c r="E95" s="90" t="s">
        <v>370</v>
      </c>
      <c r="F95" s="90" t="s">
        <v>371</v>
      </c>
      <c r="G95" s="90" t="s">
        <v>372</v>
      </c>
      <c r="H95" s="91">
        <v>-87897.35</v>
      </c>
      <c r="I95" s="91">
        <f>H95*'Reporting Hebdo'!$E$3</f>
      </c>
      <c r="J95" s="89" t="s">
        <v>206</v>
      </c>
    </row>
    <row r="96" spans="1:10" x14ac:dyDescent="0.25">
      <c r="A96" s="89" t="s">
        <v>412</v>
      </c>
      <c r="B96" s="90" t="s">
        <v>67</v>
      </c>
      <c r="C96" s="90" t="s">
        <v>36</v>
      </c>
      <c r="D96" s="90" t="s">
        <v>123</v>
      </c>
      <c r="E96" s="90" t="s">
        <v>373</v>
      </c>
      <c r="F96" s="90" t="s">
        <v>374</v>
      </c>
      <c r="G96" s="90" t="s">
        <v>18</v>
      </c>
      <c r="H96" s="91">
        <v>-645447.27</v>
      </c>
      <c r="I96" s="91">
        <f>H96*'Reporting Hebdo'!$E$3</f>
      </c>
      <c r="J96" s="89" t="s">
        <v>206</v>
      </c>
    </row>
    <row r="97" spans="1:10" x14ac:dyDescent="0.25">
      <c r="A97" s="89" t="s">
        <v>412</v>
      </c>
      <c r="B97" s="90" t="s">
        <v>67</v>
      </c>
      <c r="C97" s="90" t="s">
        <v>36</v>
      </c>
      <c r="D97" s="90" t="s">
        <v>123</v>
      </c>
      <c r="E97" s="90" t="s">
        <v>377</v>
      </c>
      <c r="F97" s="90" t="s">
        <v>378</v>
      </c>
      <c r="G97" s="90" t="s">
        <v>18</v>
      </c>
      <c r="H97" s="91">
        <v>-76680.35</v>
      </c>
      <c r="I97" s="91">
        <f>H97*'Reporting Hebdo'!$E$3</f>
      </c>
      <c r="J97" s="89" t="s">
        <v>206</v>
      </c>
    </row>
    <row r="98" spans="1:10" x14ac:dyDescent="0.25">
      <c r="A98" s="89" t="s">
        <v>412</v>
      </c>
      <c r="B98" s="90" t="s">
        <v>67</v>
      </c>
      <c r="C98" s="90" t="s">
        <v>36</v>
      </c>
      <c r="D98" s="90" t="s">
        <v>124</v>
      </c>
      <c r="E98" s="90" t="s">
        <v>330</v>
      </c>
      <c r="F98" s="90" t="s">
        <v>331</v>
      </c>
      <c r="G98" s="90" t="s">
        <v>384</v>
      </c>
      <c r="H98" s="91">
        <v>-18066.62</v>
      </c>
      <c r="I98" s="91">
        <f>H98*'Reporting Hebdo'!$E$3</f>
      </c>
      <c r="J98" s="89" t="s">
        <v>206</v>
      </c>
    </row>
    <row r="99" spans="1:10" x14ac:dyDescent="0.25">
      <c r="A99" s="89" t="s">
        <v>412</v>
      </c>
      <c r="B99" s="90" t="s">
        <v>67</v>
      </c>
      <c r="C99" s="90" t="s">
        <v>36</v>
      </c>
      <c r="D99" s="90" t="s">
        <v>124</v>
      </c>
      <c r="E99" s="90" t="s">
        <v>333</v>
      </c>
      <c r="F99" s="90" t="s">
        <v>334</v>
      </c>
      <c r="G99" s="90" t="s">
        <v>335</v>
      </c>
      <c r="H99" s="91">
        <v>-20699.65</v>
      </c>
      <c r="I99" s="91">
        <f>H99*'Reporting Hebdo'!$E$3</f>
      </c>
      <c r="J99" s="89" t="s">
        <v>206</v>
      </c>
    </row>
    <row r="100" spans="1:10" x14ac:dyDescent="0.25">
      <c r="A100" s="89" t="s">
        <v>412</v>
      </c>
      <c r="B100" s="90" t="s">
        <v>67</v>
      </c>
      <c r="C100" s="90" t="s">
        <v>36</v>
      </c>
      <c r="D100" s="90" t="s">
        <v>124</v>
      </c>
      <c r="E100" s="90" t="s">
        <v>342</v>
      </c>
      <c r="F100" s="90" t="s">
        <v>343</v>
      </c>
      <c r="G100" s="90" t="s">
        <v>385</v>
      </c>
      <c r="H100" s="91">
        <v>-6719.33</v>
      </c>
      <c r="I100" s="91">
        <f>H100*'Reporting Hebdo'!$E$3</f>
      </c>
      <c r="J100" s="89" t="s">
        <v>206</v>
      </c>
    </row>
    <row r="101" spans="1:10" x14ac:dyDescent="0.25">
      <c r="A101" s="89" t="s">
        <v>412</v>
      </c>
      <c r="B101" s="90" t="s">
        <v>67</v>
      </c>
      <c r="C101" s="90" t="s">
        <v>36</v>
      </c>
      <c r="D101" s="90" t="s">
        <v>124</v>
      </c>
      <c r="E101" s="90" t="s">
        <v>345</v>
      </c>
      <c r="F101" s="90" t="s">
        <v>346</v>
      </c>
      <c r="G101" s="90" t="s">
        <v>388</v>
      </c>
      <c r="H101" s="91">
        <v>-10000</v>
      </c>
      <c r="I101" s="91">
        <f>H101*'Reporting Hebdo'!$E$3</f>
      </c>
      <c r="J101" s="89" t="s">
        <v>206</v>
      </c>
    </row>
    <row r="102" spans="1:10" x14ac:dyDescent="0.25">
      <c r="A102" s="89" t="s">
        <v>412</v>
      </c>
      <c r="B102" s="90" t="s">
        <v>67</v>
      </c>
      <c r="C102" s="90" t="s">
        <v>36</v>
      </c>
      <c r="D102" s="90" t="s">
        <v>124</v>
      </c>
      <c r="E102" s="90" t="s">
        <v>348</v>
      </c>
      <c r="F102" s="90" t="s">
        <v>349</v>
      </c>
      <c r="G102" s="90" t="s">
        <v>18</v>
      </c>
      <c r="H102" s="91">
        <v>-1254.17</v>
      </c>
      <c r="I102" s="91">
        <f>H102*'Reporting Hebdo'!$E$3</f>
      </c>
      <c r="J102" s="89" t="s">
        <v>206</v>
      </c>
    </row>
    <row r="103" spans="1:10" x14ac:dyDescent="0.25">
      <c r="A103" s="89" t="s">
        <v>412</v>
      </c>
      <c r="B103" s="90" t="s">
        <v>67</v>
      </c>
      <c r="C103" s="90" t="s">
        <v>36</v>
      </c>
      <c r="D103" s="90" t="s">
        <v>125</v>
      </c>
      <c r="E103" s="90" t="s">
        <v>434</v>
      </c>
      <c r="F103" s="90" t="s">
        <v>435</v>
      </c>
      <c r="G103" s="90" t="s">
        <v>436</v>
      </c>
      <c r="H103" s="91">
        <v>-8600</v>
      </c>
      <c r="I103" s="91">
        <f>H103*'Reporting Hebdo'!$E$3</f>
      </c>
      <c r="J103" s="89" t="s">
        <v>206</v>
      </c>
    </row>
    <row r="104" spans="1:10" x14ac:dyDescent="0.25">
      <c r="A104" s="89" t="s">
        <v>412</v>
      </c>
      <c r="B104" s="90" t="s">
        <v>67</v>
      </c>
      <c r="C104" s="90" t="s">
        <v>36</v>
      </c>
      <c r="D104" s="90" t="s">
        <v>125</v>
      </c>
      <c r="E104" s="90" t="s">
        <v>350</v>
      </c>
      <c r="F104" s="90" t="s">
        <v>351</v>
      </c>
      <c r="G104" s="90" t="s">
        <v>404</v>
      </c>
      <c r="H104" s="91">
        <v>-10394.35</v>
      </c>
      <c r="I104" s="91">
        <f>H104*'Reporting Hebdo'!$E$3</f>
      </c>
      <c r="J104" s="89" t="s">
        <v>206</v>
      </c>
    </row>
    <row r="105" spans="1:10" x14ac:dyDescent="0.25">
      <c r="A105" s="89" t="s">
        <v>412</v>
      </c>
      <c r="B105" s="90" t="s">
        <v>67</v>
      </c>
      <c r="C105" s="90" t="s">
        <v>36</v>
      </c>
      <c r="D105" s="90" t="s">
        <v>125</v>
      </c>
      <c r="E105" s="90" t="s">
        <v>389</v>
      </c>
      <c r="F105" s="90" t="s">
        <v>390</v>
      </c>
      <c r="G105" s="90" t="s">
        <v>391</v>
      </c>
      <c r="H105" s="91">
        <v>-8000</v>
      </c>
      <c r="I105" s="91">
        <f>H105*'Reporting Hebdo'!$E$3</f>
      </c>
      <c r="J105" s="89" t="s">
        <v>206</v>
      </c>
    </row>
    <row r="106" spans="1:10" x14ac:dyDescent="0.25">
      <c r="A106" s="89" t="s">
        <v>3</v>
      </c>
      <c r="B106" s="90" t="s">
        <v>70</v>
      </c>
      <c r="C106" s="90" t="s">
        <v>33</v>
      </c>
      <c r="D106" s="90" t="s">
        <v>437</v>
      </c>
      <c r="E106" s="90" t="s">
        <v>18</v>
      </c>
      <c r="F106" s="90" t="s">
        <v>438</v>
      </c>
      <c r="G106" s="90" t="s">
        <v>18</v>
      </c>
      <c r="H106" s="91">
        <f>I106/'Reporting Hebdo'!$E$3</f>
      </c>
      <c r="I106" s="91">
        <v>-32902934</v>
      </c>
      <c r="J106" s="89" t="s">
        <v>294</v>
      </c>
    </row>
    <row r="107" spans="1:10" x14ac:dyDescent="0.25">
      <c r="A107" s="89" t="s">
        <v>5</v>
      </c>
      <c r="B107" s="90" t="s">
        <v>67</v>
      </c>
      <c r="C107" s="90" t="s">
        <v>36</v>
      </c>
      <c r="D107" s="90" t="s">
        <v>437</v>
      </c>
      <c r="E107" s="90" t="s">
        <v>18</v>
      </c>
      <c r="F107" s="90" t="s">
        <v>439</v>
      </c>
      <c r="G107" s="90" t="s">
        <v>18</v>
      </c>
      <c r="H107" s="91">
        <f>I107/'Reporting Hebdo'!$E$3</f>
      </c>
      <c r="I107" s="91">
        <v>-187500000</v>
      </c>
      <c r="J107" s="89" t="s">
        <v>294</v>
      </c>
    </row>
  </sheetData>
  <autoFilter ref="A4:J107"/>
  <dataValidations count="2">
    <dataValidation type="list" allowBlank="1" sqref="A5:A500">
      <formula1>"S1,S2,S3,S4,S5,Après S5"</formula1>
    </dataValidation>
    <dataValidation type="list" allowBlank="1" sqref="J5:J500">
      <formula1>"O,N"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40"/>
  <sheetViews>
    <sheetView workbookViewId="0" showGridLines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8" customWidth="1"/>
    <col min="3" max="3" width="32" customWidth="1"/>
    <col min="4" max="4" width="46" customWidth="1"/>
    <col min="5" max="6" width="18" customWidth="1"/>
    <col min="7" max="7" width="14" customWidth="1"/>
    <col min="8" max="9" width="22" customWidth="1"/>
  </cols>
  <sheetData>
    <row r="1" spans="1:1" x14ac:dyDescent="0.25">
      <c r="A1" s="1" t="s">
        <v>440</v>
      </c>
    </row>
    <row r="4" spans="1:9" x14ac:dyDescent="0.25">
      <c r="A4" s="87" t="s">
        <v>94</v>
      </c>
      <c r="B4" s="87" t="s">
        <v>441</v>
      </c>
      <c r="C4" s="87" t="s">
        <v>442</v>
      </c>
      <c r="D4" s="87" t="s">
        <v>16</v>
      </c>
      <c r="E4" s="87" t="s">
        <v>443</v>
      </c>
      <c r="F4" s="87" t="s">
        <v>444</v>
      </c>
      <c r="G4" s="87" t="s">
        <v>445</v>
      </c>
      <c r="H4" s="87" t="s">
        <v>446</v>
      </c>
      <c r="I4" s="87" t="s">
        <v>447</v>
      </c>
    </row>
    <row r="5" spans="1:9" x14ac:dyDescent="0.25">
      <c r="A5" s="49" t="s">
        <v>22</v>
      </c>
      <c r="B5" s="49" t="s">
        <v>448</v>
      </c>
      <c r="C5" s="49" t="s">
        <v>449</v>
      </c>
      <c r="D5" s="49" t="s">
        <v>25</v>
      </c>
      <c r="E5" s="49" t="s">
        <v>450</v>
      </c>
      <c r="F5" s="51">
        <v>3580753</v>
      </c>
      <c r="G5" s="51">
        <f>F5/'Reporting Hebdo'!$E$3</f>
      </c>
      <c r="H5" s="49" t="s">
        <v>22</v>
      </c>
      <c r="I5" s="49" t="s">
        <v>451</v>
      </c>
    </row>
    <row r="6" spans="1:9" x14ac:dyDescent="0.25">
      <c r="A6" s="49" t="s">
        <v>22</v>
      </c>
      <c r="B6" s="49" t="s">
        <v>452</v>
      </c>
      <c r="C6" s="49" t="s">
        <v>453</v>
      </c>
      <c r="D6" s="49" t="s">
        <v>27</v>
      </c>
      <c r="E6" s="49" t="s">
        <v>450</v>
      </c>
      <c r="F6" s="51">
        <v>24751125</v>
      </c>
      <c r="G6" s="51">
        <f>F6/'Reporting Hebdo'!$E$3</f>
      </c>
      <c r="H6" s="49" t="s">
        <v>22</v>
      </c>
      <c r="I6" s="49" t="s">
        <v>454</v>
      </c>
    </row>
    <row r="7" spans="1:9" x14ac:dyDescent="0.25">
      <c r="A7" s="49" t="s">
        <v>22</v>
      </c>
      <c r="B7" s="49" t="s">
        <v>455</v>
      </c>
      <c r="C7" s="49" t="s">
        <v>456</v>
      </c>
      <c r="D7" s="49" t="s">
        <v>27</v>
      </c>
      <c r="E7" s="49" t="s">
        <v>450</v>
      </c>
      <c r="F7" s="51">
        <v>368235073</v>
      </c>
      <c r="G7" s="51">
        <f>F7/'Reporting Hebdo'!$E$3</f>
      </c>
      <c r="H7" s="49" t="s">
        <v>22</v>
      </c>
      <c r="I7" s="49" t="s">
        <v>457</v>
      </c>
    </row>
    <row r="8" spans="1:9" x14ac:dyDescent="0.25">
      <c r="A8" s="49" t="s">
        <v>29</v>
      </c>
      <c r="B8" s="49" t="s">
        <v>448</v>
      </c>
      <c r="C8" s="49" t="s">
        <v>458</v>
      </c>
      <c r="D8" s="49" t="s">
        <v>27</v>
      </c>
      <c r="E8" s="49" t="s">
        <v>450</v>
      </c>
      <c r="F8" s="51">
        <v>8429337</v>
      </c>
      <c r="G8" s="51">
        <f>F8/'Reporting Hebdo'!$E$3</f>
      </c>
      <c r="H8" s="49" t="s">
        <v>29</v>
      </c>
      <c r="I8" s="49" t="s">
        <v>459</v>
      </c>
    </row>
    <row r="9" spans="1:9" x14ac:dyDescent="0.25">
      <c r="A9" s="49" t="s">
        <v>29</v>
      </c>
      <c r="B9" s="49" t="s">
        <v>452</v>
      </c>
      <c r="C9" s="49" t="s">
        <v>460</v>
      </c>
      <c r="D9" s="49" t="s">
        <v>27</v>
      </c>
      <c r="E9" s="49" t="s">
        <v>450</v>
      </c>
      <c r="F9" s="51">
        <v>227694317</v>
      </c>
      <c r="G9" s="51">
        <f>F9/'Reporting Hebdo'!$E$3</f>
      </c>
      <c r="H9" s="49" t="s">
        <v>29</v>
      </c>
      <c r="I9" s="49" t="s">
        <v>461</v>
      </c>
    </row>
    <row r="10" spans="1:9" x14ac:dyDescent="0.25">
      <c r="A10" s="49" t="s">
        <v>33</v>
      </c>
      <c r="B10" s="49" t="s">
        <v>448</v>
      </c>
      <c r="C10" s="49" t="s">
        <v>462</v>
      </c>
      <c r="D10" s="49" t="s">
        <v>27</v>
      </c>
      <c r="E10" s="49" t="s">
        <v>450</v>
      </c>
      <c r="F10" s="51">
        <v>58193022</v>
      </c>
      <c r="G10" s="51">
        <f>F10/'Reporting Hebdo'!$E$3</f>
      </c>
      <c r="H10" s="49" t="s">
        <v>33</v>
      </c>
      <c r="I10" s="49" t="s">
        <v>463</v>
      </c>
    </row>
    <row r="11" spans="1:9" x14ac:dyDescent="0.25">
      <c r="A11" s="49" t="s">
        <v>33</v>
      </c>
      <c r="B11" s="49" t="s">
        <v>455</v>
      </c>
      <c r="C11" s="49" t="s">
        <v>464</v>
      </c>
      <c r="D11" s="49" t="s">
        <v>27</v>
      </c>
      <c r="E11" s="49" t="s">
        <v>450</v>
      </c>
      <c r="F11" s="51">
        <v>62000</v>
      </c>
      <c r="G11" s="51">
        <f>F11/'Reporting Hebdo'!$E$3</f>
      </c>
      <c r="H11" s="49" t="s">
        <v>33</v>
      </c>
      <c r="I11" s="49" t="s">
        <v>465</v>
      </c>
    </row>
    <row r="12" spans="1:9" x14ac:dyDescent="0.25">
      <c r="A12" s="49" t="s">
        <v>36</v>
      </c>
      <c r="B12" s="49" t="s">
        <v>448</v>
      </c>
      <c r="C12" s="49" t="s">
        <v>466</v>
      </c>
      <c r="D12" s="49" t="s">
        <v>27</v>
      </c>
      <c r="E12" s="49" t="s">
        <v>450</v>
      </c>
      <c r="F12" s="51">
        <v>1473216</v>
      </c>
      <c r="G12" s="51">
        <f>F12/'Reporting Hebdo'!$E$3</f>
      </c>
      <c r="H12" s="49" t="s">
        <v>36</v>
      </c>
      <c r="I12" s="49" t="s">
        <v>467</v>
      </c>
    </row>
    <row r="13" spans="1:9" x14ac:dyDescent="0.25">
      <c r="A13" s="49" t="s">
        <v>36</v>
      </c>
      <c r="B13" s="49" t="s">
        <v>468</v>
      </c>
      <c r="C13" s="49" t="s">
        <v>65</v>
      </c>
      <c r="D13" s="49" t="s">
        <v>469</v>
      </c>
      <c r="E13" s="49" t="s">
        <v>470</v>
      </c>
      <c r="F13" s="51">
        <v>1771977229</v>
      </c>
      <c r="G13" s="51">
        <f>F13/'Reporting Hebdo'!$E$3</f>
      </c>
      <c r="H13" s="49" t="s">
        <v>64</v>
      </c>
      <c r="I13" s="49" t="s">
        <v>471</v>
      </c>
    </row>
    <row r="14" spans="1:9" x14ac:dyDescent="0.25">
      <c r="A14" s="49" t="s">
        <v>39</v>
      </c>
      <c r="B14" s="49" t="s">
        <v>472</v>
      </c>
      <c r="C14" s="49" t="s">
        <v>473</v>
      </c>
      <c r="D14" s="49" t="s">
        <v>27</v>
      </c>
      <c r="E14" s="49" t="s">
        <v>450</v>
      </c>
      <c r="F14" s="51">
        <v>897338</v>
      </c>
      <c r="G14" s="51">
        <f>F14/'Reporting Hebdo'!$E$3</f>
      </c>
      <c r="H14" s="49" t="s">
        <v>39</v>
      </c>
      <c r="I14" s="49" t="s">
        <v>474</v>
      </c>
    </row>
    <row r="15" spans="1:9" x14ac:dyDescent="0.25">
      <c r="A15" s="49" t="s">
        <v>39</v>
      </c>
      <c r="B15" s="49" t="s">
        <v>475</v>
      </c>
      <c r="C15" s="49" t="s">
        <v>476</v>
      </c>
      <c r="D15" s="49" t="s">
        <v>27</v>
      </c>
      <c r="E15" s="49" t="s">
        <v>450</v>
      </c>
      <c r="F15" s="51">
        <v>5375161</v>
      </c>
      <c r="G15" s="51">
        <f>F15/'Reporting Hebdo'!$E$3</f>
      </c>
      <c r="H15" s="49" t="s">
        <v>39</v>
      </c>
      <c r="I15" s="49" t="s">
        <v>477</v>
      </c>
    </row>
    <row r="16" spans="1:9" x14ac:dyDescent="0.25">
      <c r="A16" s="49" t="s">
        <v>39</v>
      </c>
      <c r="B16" s="49" t="s">
        <v>475</v>
      </c>
      <c r="C16" s="49" t="s">
        <v>478</v>
      </c>
      <c r="D16" s="49" t="s">
        <v>43</v>
      </c>
      <c r="E16" s="49" t="s">
        <v>450</v>
      </c>
      <c r="F16" s="51">
        <v>22569647</v>
      </c>
      <c r="G16" s="51">
        <f>F16/'Reporting Hebdo'!$E$3</f>
      </c>
      <c r="H16" s="49" t="s">
        <v>39</v>
      </c>
      <c r="I16" s="49" t="s">
        <v>479</v>
      </c>
    </row>
    <row r="17" spans="1:9" x14ac:dyDescent="0.25">
      <c r="A17" s="49" t="s">
        <v>39</v>
      </c>
      <c r="B17" s="49" t="s">
        <v>475</v>
      </c>
      <c r="C17" s="49" t="s">
        <v>480</v>
      </c>
      <c r="D17" s="49" t="s">
        <v>43</v>
      </c>
      <c r="E17" s="49" t="s">
        <v>450</v>
      </c>
      <c r="F17" s="51">
        <v>227288</v>
      </c>
      <c r="G17" s="51">
        <f>F17/'Reporting Hebdo'!$E$3</f>
      </c>
      <c r="H17" s="49" t="s">
        <v>39</v>
      </c>
      <c r="I17" s="49" t="s">
        <v>481</v>
      </c>
    </row>
    <row r="18" spans="1:9" x14ac:dyDescent="0.25">
      <c r="A18" s="49" t="s">
        <v>39</v>
      </c>
      <c r="B18" s="49" t="s">
        <v>455</v>
      </c>
      <c r="C18" s="49" t="s">
        <v>482</v>
      </c>
      <c r="D18" s="49" t="s">
        <v>27</v>
      </c>
      <c r="E18" s="49" t="s">
        <v>450</v>
      </c>
      <c r="F18" s="51">
        <v>62000</v>
      </c>
      <c r="G18" s="51">
        <f>F18/'Reporting Hebdo'!$E$3</f>
      </c>
      <c r="H18" s="49" t="s">
        <v>39</v>
      </c>
      <c r="I18" s="49" t="s">
        <v>483</v>
      </c>
    </row>
    <row r="19" spans="1:9" x14ac:dyDescent="0.25">
      <c r="A19" s="49" t="s">
        <v>46</v>
      </c>
      <c r="B19" s="49" t="s">
        <v>448</v>
      </c>
      <c r="C19" s="49" t="s">
        <v>484</v>
      </c>
      <c r="D19" s="49" t="s">
        <v>27</v>
      </c>
      <c r="E19" s="49" t="s">
        <v>450</v>
      </c>
      <c r="F19" s="51">
        <v>35011732</v>
      </c>
      <c r="G19" s="51">
        <f>F19/'Reporting Hebdo'!$E$3</f>
      </c>
      <c r="H19" s="49" t="s">
        <v>46</v>
      </c>
      <c r="I19" s="49" t="s">
        <v>485</v>
      </c>
    </row>
    <row r="20" spans="1:9" x14ac:dyDescent="0.25">
      <c r="A20" s="49" t="s">
        <v>46</v>
      </c>
      <c r="B20" s="49" t="s">
        <v>455</v>
      </c>
      <c r="C20" s="49" t="s">
        <v>486</v>
      </c>
      <c r="D20" s="49" t="s">
        <v>27</v>
      </c>
      <c r="E20" s="49" t="s">
        <v>450</v>
      </c>
      <c r="F20" s="51">
        <v>62000</v>
      </c>
      <c r="G20" s="51">
        <f>F20/'Reporting Hebdo'!$E$3</f>
      </c>
      <c r="H20" s="49" t="s">
        <v>46</v>
      </c>
      <c r="I20" s="49" t="s">
        <v>487</v>
      </c>
    </row>
    <row r="21" spans="1:9" x14ac:dyDescent="0.25">
      <c r="A21" s="49" t="s">
        <v>50</v>
      </c>
      <c r="B21" s="49" t="s">
        <v>448</v>
      </c>
      <c r="C21" s="49" t="s">
        <v>488</v>
      </c>
      <c r="D21" s="49" t="s">
        <v>27</v>
      </c>
      <c r="E21" s="49" t="s">
        <v>450</v>
      </c>
      <c r="F21" s="51">
        <v>-74342</v>
      </c>
      <c r="G21" s="51">
        <f>F21/'Reporting Hebdo'!$E$3</f>
      </c>
      <c r="H21" s="49" t="s">
        <v>50</v>
      </c>
      <c r="I21" s="49" t="s">
        <v>489</v>
      </c>
    </row>
    <row r="22" spans="1:9" x14ac:dyDescent="0.25">
      <c r="A22" s="49" t="s">
        <v>50</v>
      </c>
      <c r="B22" s="49" t="s">
        <v>455</v>
      </c>
      <c r="C22" s="49" t="s">
        <v>490</v>
      </c>
      <c r="D22" s="49" t="s">
        <v>27</v>
      </c>
      <c r="E22" s="49" t="s">
        <v>450</v>
      </c>
      <c r="F22" s="51">
        <v>62000</v>
      </c>
      <c r="G22" s="51">
        <f>F22/'Reporting Hebdo'!$E$3</f>
      </c>
      <c r="H22" s="49" t="s">
        <v>50</v>
      </c>
      <c r="I22" s="49" t="s">
        <v>491</v>
      </c>
    </row>
    <row r="23" spans="1:9" x14ac:dyDescent="0.25">
      <c r="A23" s="49" t="s">
        <v>53</v>
      </c>
      <c r="B23" s="49" t="s">
        <v>448</v>
      </c>
      <c r="C23" s="49" t="s">
        <v>492</v>
      </c>
      <c r="D23" s="49" t="s">
        <v>27</v>
      </c>
      <c r="E23" s="49" t="s">
        <v>450</v>
      </c>
      <c r="F23" s="51">
        <v>11670561</v>
      </c>
      <c r="G23" s="51">
        <f>F23/'Reporting Hebdo'!$E$3</f>
      </c>
      <c r="H23" s="49" t="s">
        <v>53</v>
      </c>
      <c r="I23" s="49" t="s">
        <v>493</v>
      </c>
    </row>
    <row r="24" spans="1:9" x14ac:dyDescent="0.25">
      <c r="A24" s="49" t="s">
        <v>53</v>
      </c>
      <c r="B24" s="49" t="s">
        <v>455</v>
      </c>
      <c r="C24" s="49" t="s">
        <v>494</v>
      </c>
      <c r="D24" s="49" t="s">
        <v>27</v>
      </c>
      <c r="E24" s="49" t="s">
        <v>450</v>
      </c>
      <c r="F24" s="51">
        <v>36000</v>
      </c>
      <c r="G24" s="51">
        <f>F24/'Reporting Hebdo'!$E$3</f>
      </c>
      <c r="H24" s="49" t="s">
        <v>53</v>
      </c>
      <c r="I24" s="49" t="s">
        <v>495</v>
      </c>
    </row>
    <row r="25" spans="1:9" x14ac:dyDescent="0.25">
      <c r="A25" s="49" t="s">
        <v>53</v>
      </c>
      <c r="B25" s="49" t="s">
        <v>18</v>
      </c>
      <c r="C25" s="49" t="s">
        <v>145</v>
      </c>
      <c r="D25" s="49" t="s">
        <v>27</v>
      </c>
      <c r="E25" s="49" t="s">
        <v>450</v>
      </c>
      <c r="F25" s="51">
        <v>58000</v>
      </c>
      <c r="G25" s="51">
        <f>F25/'Reporting Hebdo'!$E$3</f>
      </c>
      <c r="H25" s="49" t="s">
        <v>53</v>
      </c>
      <c r="I25" s="49" t="s">
        <v>496</v>
      </c>
    </row>
    <row r="26" spans="1:9" x14ac:dyDescent="0.25">
      <c r="A26" s="49" t="s">
        <v>57</v>
      </c>
      <c r="B26" s="49" t="s">
        <v>146</v>
      </c>
      <c r="C26" s="49" t="s">
        <v>497</v>
      </c>
      <c r="D26" s="49" t="s">
        <v>27</v>
      </c>
      <c r="E26" s="49" t="s">
        <v>450</v>
      </c>
      <c r="F26" s="51">
        <v>2751880</v>
      </c>
      <c r="G26" s="51">
        <f>F26/'Reporting Hebdo'!$E$3</f>
      </c>
      <c r="H26" s="49" t="s">
        <v>57</v>
      </c>
      <c r="I26" s="49" t="s">
        <v>498</v>
      </c>
    </row>
    <row r="27" spans="1:9" x14ac:dyDescent="0.25">
      <c r="A27" s="49" t="s">
        <v>59</v>
      </c>
      <c r="B27" s="49" t="s">
        <v>448</v>
      </c>
      <c r="C27" s="49" t="s">
        <v>499</v>
      </c>
      <c r="D27" s="49" t="s">
        <v>27</v>
      </c>
      <c r="E27" s="49" t="s">
        <v>450</v>
      </c>
      <c r="F27" s="51">
        <v>6062002</v>
      </c>
      <c r="G27" s="51">
        <f>F27/'Reporting Hebdo'!$E$3</f>
      </c>
      <c r="H27" s="49" t="s">
        <v>59</v>
      </c>
      <c r="I27" s="49" t="s">
        <v>500</v>
      </c>
    </row>
    <row r="28" spans="1:9" x14ac:dyDescent="0.25">
      <c r="A28" s="49" t="s">
        <v>36</v>
      </c>
      <c r="B28" s="49" t="s">
        <v>468</v>
      </c>
      <c r="C28" s="49" t="s">
        <v>68</v>
      </c>
      <c r="D28" s="49" t="s">
        <v>501</v>
      </c>
      <c r="E28" s="49" t="s">
        <v>470</v>
      </c>
      <c r="F28" s="51">
        <v>2643139493</v>
      </c>
      <c r="G28" s="51">
        <f>F28/'Reporting Hebdo'!$E$3</f>
      </c>
      <c r="H28" s="49" t="s">
        <v>67</v>
      </c>
      <c r="I28" s="49" t="s">
        <v>502</v>
      </c>
    </row>
    <row r="29" spans="1:9" x14ac:dyDescent="0.25">
      <c r="A29" s="49" t="s">
        <v>33</v>
      </c>
      <c r="B29" s="49" t="s">
        <v>468</v>
      </c>
      <c r="C29" s="49" t="s">
        <v>71</v>
      </c>
      <c r="D29" s="49" t="s">
        <v>501</v>
      </c>
      <c r="E29" s="49" t="s">
        <v>470</v>
      </c>
      <c r="F29" s="51">
        <v>1481904490</v>
      </c>
      <c r="G29" s="51">
        <f>F29/'Reporting Hebdo'!$E$3</f>
      </c>
      <c r="H29" s="49" t="s">
        <v>70</v>
      </c>
      <c r="I29" s="49" t="s">
        <v>503</v>
      </c>
    </row>
    <row r="30" spans="1:9" x14ac:dyDescent="0.25">
      <c r="A30" s="49" t="s">
        <v>39</v>
      </c>
      <c r="B30" s="49" t="s">
        <v>18</v>
      </c>
      <c r="C30" s="49" t="s">
        <v>73</v>
      </c>
      <c r="D30" s="49" t="s">
        <v>79</v>
      </c>
      <c r="E30" s="49" t="s">
        <v>470</v>
      </c>
      <c r="F30" s="51">
        <v>76268390</v>
      </c>
      <c r="G30" s="51">
        <f>F30/'Reporting Hebdo'!$E$3</f>
      </c>
      <c r="H30" s="49" t="s">
        <v>72</v>
      </c>
      <c r="I30" s="49" t="s">
        <v>504</v>
      </c>
    </row>
    <row r="31" spans="1:7" x14ac:dyDescent="0.25">
      <c r="A31" s="92" t="s">
        <v>505</v>
      </c>
      <c r="F31" s="93">
        <f>SUM(F5:F30)</f>
      </c>
      <c r="G31" s="93">
        <f>SUM(G5:G30)</f>
      </c>
    </row>
    <row r="34" spans="1:1" x14ac:dyDescent="0.25">
      <c r="A34" s="2" t="s">
        <v>506</v>
      </c>
    </row>
    <row r="35" spans="1:9" x14ac:dyDescent="0.25">
      <c r="A35" s="90" t="s">
        <v>29</v>
      </c>
      <c r="B35" s="90" t="s">
        <v>452</v>
      </c>
      <c r="C35" s="90" t="s">
        <v>78</v>
      </c>
      <c r="D35" s="90" t="s">
        <v>79</v>
      </c>
      <c r="E35" s="90" t="s">
        <v>507</v>
      </c>
      <c r="F35" s="91">
        <v>350727089</v>
      </c>
      <c r="G35" s="91">
        <f>F35/'Reporting Hebdo'!$E$3</f>
      </c>
      <c r="H35" s="90" t="s">
        <v>18</v>
      </c>
      <c r="I35" s="90" t="s">
        <v>508</v>
      </c>
    </row>
    <row r="36" spans="1:9" x14ac:dyDescent="0.25">
      <c r="A36" s="90" t="s">
        <v>29</v>
      </c>
      <c r="B36" s="90" t="s">
        <v>452</v>
      </c>
      <c r="C36" s="90" t="s">
        <v>80</v>
      </c>
      <c r="D36" s="90" t="s">
        <v>79</v>
      </c>
      <c r="E36" s="90" t="s">
        <v>507</v>
      </c>
      <c r="F36" s="91">
        <v>42500000</v>
      </c>
      <c r="G36" s="91">
        <f>F36/'Reporting Hebdo'!$E$3</f>
      </c>
      <c r="H36" s="90" t="s">
        <v>18</v>
      </c>
      <c r="I36" s="90" t="s">
        <v>509</v>
      </c>
    </row>
    <row r="37" spans="1:9" x14ac:dyDescent="0.25">
      <c r="A37" s="90" t="s">
        <v>29</v>
      </c>
      <c r="B37" s="90" t="s">
        <v>452</v>
      </c>
      <c r="C37" s="90" t="s">
        <v>81</v>
      </c>
      <c r="D37" s="90" t="s">
        <v>79</v>
      </c>
      <c r="E37" s="90" t="s">
        <v>507</v>
      </c>
      <c r="F37" s="91">
        <v>26289357</v>
      </c>
      <c r="G37" s="91">
        <f>F37/'Reporting Hebdo'!$E$3</f>
      </c>
      <c r="H37" s="90" t="s">
        <v>18</v>
      </c>
      <c r="I37" s="90" t="s">
        <v>510</v>
      </c>
    </row>
    <row r="38" spans="1:9" x14ac:dyDescent="0.25">
      <c r="A38" s="90" t="s">
        <v>36</v>
      </c>
      <c r="B38" s="90" t="s">
        <v>468</v>
      </c>
      <c r="C38" s="90" t="s">
        <v>82</v>
      </c>
      <c r="D38" s="90" t="s">
        <v>79</v>
      </c>
      <c r="E38" s="90" t="s">
        <v>507</v>
      </c>
      <c r="F38" s="91">
        <v>0</v>
      </c>
      <c r="G38" s="91">
        <f>F38/'Reporting Hebdo'!$E$3</f>
      </c>
      <c r="H38" s="90" t="s">
        <v>18</v>
      </c>
      <c r="I38" s="90" t="s">
        <v>511</v>
      </c>
    </row>
    <row r="39" spans="1:9" x14ac:dyDescent="0.25">
      <c r="A39" s="90" t="s">
        <v>36</v>
      </c>
      <c r="B39" s="90" t="s">
        <v>468</v>
      </c>
      <c r="C39" s="90" t="s">
        <v>83</v>
      </c>
      <c r="D39" s="90" t="s">
        <v>79</v>
      </c>
      <c r="E39" s="90" t="s">
        <v>507</v>
      </c>
      <c r="F39" s="91">
        <v>776110097</v>
      </c>
      <c r="G39" s="91">
        <f>F39/'Reporting Hebdo'!$E$3</f>
      </c>
      <c r="H39" s="90" t="s">
        <v>18</v>
      </c>
      <c r="I39" s="90" t="s">
        <v>512</v>
      </c>
    </row>
    <row r="40" spans="1:6" x14ac:dyDescent="0.25">
      <c r="A40" s="94" t="s">
        <v>513</v>
      </c>
      <c r="F40" s="95">
        <f>SUM(F35:F39)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2"/>
  <sheetViews>
    <sheetView workbookViewId="0" showGridLines="0"/>
  </sheetViews>
  <sheetFormatPr defaultRowHeight="15" outlineLevelRow="0" outlineLevelCol="0" x14ac:dyDescent="55"/>
  <cols>
    <col min="1" max="1" width="70" customWidth="1"/>
    <col min="2" max="2" width="22" customWidth="1"/>
    <col min="3" max="3" width="18" customWidth="1"/>
    <col min="4" max="4" width="16" customWidth="1"/>
    <col min="5" max="5" width="60" customWidth="1"/>
  </cols>
  <sheetData>
    <row r="1" spans="1:1" x14ac:dyDescent="0.25">
      <c r="A1" s="1" t="s">
        <v>514</v>
      </c>
    </row>
    <row r="3" spans="1:1" x14ac:dyDescent="0.25">
      <c r="A3" s="2" t="s">
        <v>515</v>
      </c>
    </row>
    <row r="4" spans="1:5" x14ac:dyDescent="0.25">
      <c r="A4" s="87" t="s">
        <v>516</v>
      </c>
      <c r="B4" s="87" t="s">
        <v>517</v>
      </c>
      <c r="C4" s="87" t="s">
        <v>518</v>
      </c>
      <c r="D4" s="87" t="s">
        <v>519</v>
      </c>
      <c r="E4" s="87" t="s">
        <v>520</v>
      </c>
    </row>
    <row r="5" spans="1:5" x14ac:dyDescent="0.25">
      <c r="A5" s="49" t="s">
        <v>521</v>
      </c>
      <c r="B5" s="51">
        <f>'Reporting Hebdo'!M52</f>
      </c>
      <c r="C5" s="51">
        <f>'Position CI 30-09'!F31</f>
      </c>
      <c r="D5" s="51">
        <f>B5-C5</f>
      </c>
      <c r="E5" s="49" t="s">
        <v>522</v>
      </c>
    </row>
    <row r="7" spans="1:1" x14ac:dyDescent="0.25">
      <c r="A7" s="2" t="s">
        <v>523</v>
      </c>
    </row>
    <row r="8" spans="1:5" x14ac:dyDescent="0.25">
      <c r="A8" s="87" t="s">
        <v>94</v>
      </c>
      <c r="B8" s="87" t="s">
        <v>524</v>
      </c>
      <c r="C8" s="87" t="s">
        <v>525</v>
      </c>
      <c r="D8" s="87" t="s">
        <v>519</v>
      </c>
      <c r="E8" s="87" t="s">
        <v>520</v>
      </c>
    </row>
    <row r="9" spans="1:5" x14ac:dyDescent="0.25">
      <c r="A9" s="49" t="s">
        <v>22</v>
      </c>
      <c r="B9" s="96">
        <v>296.577239</v>
      </c>
      <c r="C9" s="96">
        <v>296.577239</v>
      </c>
      <c r="D9" s="96">
        <f>B9-C9</f>
      </c>
      <c r="E9" s="49" t="s">
        <v>526</v>
      </c>
    </row>
    <row r="10" spans="1:5" x14ac:dyDescent="0.25">
      <c r="A10" s="49" t="s">
        <v>29</v>
      </c>
      <c r="B10" s="96">
        <v>540.96835821294</v>
      </c>
      <c r="C10" s="96">
        <v>540.96835821294</v>
      </c>
      <c r="D10" s="96">
        <f>B10-C10</f>
      </c>
      <c r="E10" s="49" t="s">
        <v>526</v>
      </c>
    </row>
    <row r="11" spans="1:5" x14ac:dyDescent="0.25">
      <c r="A11" s="49" t="s">
        <v>33</v>
      </c>
      <c r="B11" s="96">
        <v>264.633898</v>
      </c>
      <c r="C11" s="96">
        <v>264.633898</v>
      </c>
      <c r="D11" s="96">
        <f>B11-C11</f>
      </c>
      <c r="E11" s="49" t="s">
        <v>526</v>
      </c>
    </row>
    <row r="12" spans="1:5" x14ac:dyDescent="0.25">
      <c r="A12" s="49" t="s">
        <v>36</v>
      </c>
      <c r="B12" s="96">
        <v>88.788492</v>
      </c>
      <c r="C12" s="96">
        <v>88.788492</v>
      </c>
      <c r="D12" s="96">
        <f>B12-C12</f>
      </c>
      <c r="E12" s="49" t="s">
        <v>526</v>
      </c>
    </row>
    <row r="13" spans="1:5" x14ac:dyDescent="0.25">
      <c r="A13" s="49" t="s">
        <v>61</v>
      </c>
      <c r="B13" s="96">
        <v>50.022534</v>
      </c>
      <c r="C13" s="96">
        <v>50.022534</v>
      </c>
      <c r="D13" s="96">
        <f>B13-C13</f>
      </c>
      <c r="E13" s="49" t="s">
        <v>526</v>
      </c>
    </row>
    <row r="14" spans="1:5" x14ac:dyDescent="0.25">
      <c r="A14" s="49" t="s">
        <v>53</v>
      </c>
      <c r="B14" s="96">
        <v>77.778338</v>
      </c>
      <c r="C14" s="96">
        <v>77.778338</v>
      </c>
      <c r="D14" s="96">
        <f>B14-C14</f>
      </c>
      <c r="E14" s="49" t="s">
        <v>526</v>
      </c>
    </row>
    <row r="15" spans="1:5" x14ac:dyDescent="0.25">
      <c r="A15" s="49" t="s">
        <v>46</v>
      </c>
      <c r="B15" s="96">
        <v>233.763463</v>
      </c>
      <c r="C15" s="96">
        <v>233.763463</v>
      </c>
      <c r="D15" s="96">
        <f>B15-C15</f>
      </c>
      <c r="E15" s="49" t="s">
        <v>526</v>
      </c>
    </row>
    <row r="16" spans="1:5" x14ac:dyDescent="0.25">
      <c r="A16" s="49" t="s">
        <v>59</v>
      </c>
      <c r="B16" s="96">
        <v>9.5751</v>
      </c>
      <c r="C16" s="96">
        <v>9.5751</v>
      </c>
      <c r="D16" s="96">
        <f>B16-C16</f>
      </c>
      <c r="E16" s="49" t="s">
        <v>526</v>
      </c>
    </row>
    <row r="17" spans="1:5" x14ac:dyDescent="0.25">
      <c r="A17" s="49" t="s">
        <v>50</v>
      </c>
      <c r="B17" s="96">
        <v>6.289</v>
      </c>
      <c r="C17" s="96">
        <v>6.289</v>
      </c>
      <c r="D17" s="96">
        <f>B17-C17</f>
      </c>
      <c r="E17" s="49" t="s">
        <v>526</v>
      </c>
    </row>
    <row r="19" spans="1:1" x14ac:dyDescent="0.25">
      <c r="A19" s="2" t="s">
        <v>527</v>
      </c>
    </row>
    <row r="20" spans="1:5" x14ac:dyDescent="0.25">
      <c r="A20" s="87" t="s">
        <v>528</v>
      </c>
      <c r="B20" s="87" t="s">
        <v>517</v>
      </c>
      <c r="C20" s="87" t="s">
        <v>529</v>
      </c>
      <c r="D20" s="87" t="s">
        <v>519</v>
      </c>
      <c r="E20" s="87" t="s">
        <v>447</v>
      </c>
    </row>
    <row r="21" spans="1:5" x14ac:dyDescent="0.25">
      <c r="A21" s="49" t="s">
        <v>530</v>
      </c>
      <c r="B21" s="51">
        <f>-SUMIFS('Détail projets &amp; dettes'!$H$5:$H$500,'Détail projets &amp; dettes'!$C$5:$C$500,"RIVIERA",'Détail projets &amp; dettes'!$J$5:$J$500,"O",'Détail projets &amp; dettes'!$A$5:$A$500,"S*")</f>
      </c>
      <c r="C21" s="51">
        <v>4946194.15</v>
      </c>
      <c r="D21" s="51">
        <f>B21-C21</f>
      </c>
      <c r="E21" s="49" t="s">
        <v>531</v>
      </c>
    </row>
    <row r="22" spans="1:5" x14ac:dyDescent="0.25">
      <c r="A22" s="49" t="s">
        <v>532</v>
      </c>
      <c r="B22" s="51">
        <f>-SUMIFS('Détail projets &amp; dettes'!$H$5:$H$500,'Détail projets &amp; dettes'!$C$5:$C$500,"TERASSON",'Détail projets &amp; dettes'!$J$5:$J$500,"O",'Détail projets &amp; dettes'!$A$5:$A$500,"S*")</f>
      </c>
      <c r="C22" s="51">
        <v>4097563.74</v>
      </c>
      <c r="D22" s="51">
        <f>B22-C22</f>
      </c>
      <c r="E22" s="49" t="s">
        <v>533</v>
      </c>
    </row>
    <row r="24" spans="1:1" x14ac:dyDescent="0.25">
      <c r="A24" s="2" t="s">
        <v>534</v>
      </c>
    </row>
    <row r="25" spans="1:5" x14ac:dyDescent="0.25">
      <c r="A25" s="87" t="s">
        <v>535</v>
      </c>
      <c r="B25" s="87" t="s">
        <v>170</v>
      </c>
      <c r="C25" s="87" t="s">
        <v>536</v>
      </c>
      <c r="D25" s="87" t="s">
        <v>18</v>
      </c>
      <c r="E25" s="87" t="s">
        <v>537</v>
      </c>
    </row>
    <row r="26" spans="1:5" x14ac:dyDescent="0.25">
      <c r="A26" s="49" t="s">
        <v>538</v>
      </c>
      <c r="B26" s="51">
        <v>-13254203304</v>
      </c>
      <c r="C26" s="97">
        <v>17</v>
      </c>
      <c r="D26" s="49" t="s">
        <v>18</v>
      </c>
      <c r="E26" s="49" t="s">
        <v>539</v>
      </c>
    </row>
    <row r="27" spans="1:5" x14ac:dyDescent="0.25">
      <c r="A27" s="49" t="s">
        <v>540</v>
      </c>
      <c r="B27" s="51">
        <v>-1715342550</v>
      </c>
      <c r="C27" s="97">
        <v>5</v>
      </c>
      <c r="D27" s="49" t="s">
        <v>18</v>
      </c>
      <c r="E27" s="49" t="s">
        <v>539</v>
      </c>
    </row>
    <row r="28" spans="1:5" x14ac:dyDescent="0.25">
      <c r="A28" s="49" t="s">
        <v>541</v>
      </c>
      <c r="B28" s="51">
        <v>6113285</v>
      </c>
      <c r="C28" s="97">
        <v>1</v>
      </c>
      <c r="D28" s="49" t="s">
        <v>18</v>
      </c>
      <c r="E28" s="49" t="s">
        <v>539</v>
      </c>
    </row>
    <row r="29" spans="1:5" x14ac:dyDescent="0.25">
      <c r="A29" s="49" t="s">
        <v>542</v>
      </c>
      <c r="B29" s="51">
        <v>-220402934</v>
      </c>
      <c r="C29" s="97">
        <v>2</v>
      </c>
      <c r="D29" s="49" t="s">
        <v>18</v>
      </c>
      <c r="E29" s="49" t="s">
        <v>543</v>
      </c>
    </row>
    <row r="31" spans="1:1" x14ac:dyDescent="0.25">
      <c r="A31" s="2" t="s">
        <v>544</v>
      </c>
    </row>
    <row r="32" spans="1:1" x14ac:dyDescent="0.25">
      <c r="A32" s="83" t="s">
        <v>545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50"/>
  <sheetViews>
    <sheetView workbookViewId="0" showGridLines="0"/>
  </sheetViews>
  <sheetFormatPr defaultRowHeight="15" outlineLevelRow="0" outlineLevelCol="0" x14ac:dyDescent="55"/>
  <cols>
    <col min="1" max="1" width="26" customWidth="1"/>
    <col min="2" max="3" width="14" customWidth="1"/>
    <col min="4" max="4" width="12" customWidth="1"/>
    <col min="5" max="9" width="14" customWidth="1"/>
    <col min="10" max="10" width="70" customWidth="1"/>
  </cols>
  <sheetData>
    <row r="1" spans="1:1" x14ac:dyDescent="0.25">
      <c r="A1" s="1" t="s">
        <v>546</v>
      </c>
    </row>
    <row r="3" spans="1:1" x14ac:dyDescent="0.25">
      <c r="A3" s="2" t="s">
        <v>547</v>
      </c>
    </row>
    <row r="4" spans="1:10" x14ac:dyDescent="0.25">
      <c r="A4" s="87" t="s">
        <v>94</v>
      </c>
      <c r="B4" s="87" t="s">
        <v>548</v>
      </c>
      <c r="C4" s="87" t="s">
        <v>549</v>
      </c>
      <c r="D4" s="87" t="s">
        <v>519</v>
      </c>
      <c r="E4" s="87" t="s">
        <v>550</v>
      </c>
      <c r="F4" s="87" t="s">
        <v>551</v>
      </c>
      <c r="G4" s="87" t="s">
        <v>552</v>
      </c>
      <c r="H4" s="87" t="s">
        <v>553</v>
      </c>
      <c r="I4" s="87" t="s">
        <v>554</v>
      </c>
      <c r="J4" s="87" t="s">
        <v>555</v>
      </c>
    </row>
    <row r="5" spans="1:10" x14ac:dyDescent="0.25">
      <c r="A5" s="49" t="s">
        <v>22</v>
      </c>
      <c r="B5" s="98">
        <v>296.57723899999996</v>
      </c>
      <c r="C5" s="98">
        <v>296.57723899999996</v>
      </c>
      <c r="D5" s="98">
        <v>0</v>
      </c>
      <c r="E5" s="98">
        <v>396.566951</v>
      </c>
      <c r="F5" s="98">
        <v>396.566951</v>
      </c>
      <c r="G5" s="98">
        <v>99.98971200000005</v>
      </c>
      <c r="H5" s="98">
        <v>99.98971200000005</v>
      </c>
      <c r="I5" s="98">
        <v>0</v>
      </c>
      <c r="J5" s="99" t="s">
        <v>556</v>
      </c>
    </row>
    <row r="6" spans="1:10" x14ac:dyDescent="0.25">
      <c r="A6" s="49" t="s">
        <v>29</v>
      </c>
      <c r="B6" s="98">
        <v>540.96835821294</v>
      </c>
      <c r="C6" s="98">
        <v>540.96835821294</v>
      </c>
      <c r="D6" s="98">
        <v>0</v>
      </c>
      <c r="E6" s="98">
        <v>236.123654</v>
      </c>
      <c r="F6" s="98">
        <v>236.123654</v>
      </c>
      <c r="G6" s="98">
        <v>-175.27643898293996</v>
      </c>
      <c r="H6" s="98">
        <v>-175.27643898294002</v>
      </c>
      <c r="I6" s="98">
        <v>-5.684341886080802e-14</v>
      </c>
      <c r="J6" s="99" t="s">
        <v>556</v>
      </c>
    </row>
    <row r="7" spans="1:10" x14ac:dyDescent="0.25">
      <c r="A7" s="49" t="s">
        <v>33</v>
      </c>
      <c r="B7" s="98">
        <v>264.633898</v>
      </c>
      <c r="C7" s="98">
        <v>264.633898</v>
      </c>
      <c r="D7" s="98">
        <v>0</v>
      </c>
      <c r="E7" s="98">
        <v>58.255022</v>
      </c>
      <c r="F7" s="98">
        <v>58.255022</v>
      </c>
      <c r="G7" s="98">
        <v>-206.378876</v>
      </c>
      <c r="H7" s="98">
        <v>-206.378876</v>
      </c>
      <c r="I7" s="98">
        <v>0</v>
      </c>
      <c r="J7" s="99" t="s">
        <v>556</v>
      </c>
    </row>
    <row r="8" spans="1:10" x14ac:dyDescent="0.25">
      <c r="A8" s="49" t="s">
        <v>36</v>
      </c>
      <c r="B8" s="98">
        <v>88.788492</v>
      </c>
      <c r="C8" s="98">
        <v>88.788492</v>
      </c>
      <c r="D8" s="98">
        <v>0</v>
      </c>
      <c r="E8" s="98">
        <v>1.473216</v>
      </c>
      <c r="F8" s="98">
        <v>1.473216</v>
      </c>
      <c r="G8" s="98">
        <v>-87.31527600000001</v>
      </c>
      <c r="H8" s="98">
        <v>-87.315276</v>
      </c>
      <c r="I8" s="98">
        <v>1.4210854715202004e-14</v>
      </c>
      <c r="J8" s="99" t="s">
        <v>556</v>
      </c>
    </row>
    <row r="9" spans="1:10" x14ac:dyDescent="0.25">
      <c r="A9" s="49" t="s">
        <v>39</v>
      </c>
      <c r="B9" s="98"/>
      <c r="C9" s="98">
        <v>208.73865799999996</v>
      </c>
      <c r="D9" s="98">
        <v>208.73865799999996</v>
      </c>
      <c r="E9" s="98"/>
      <c r="F9" s="98">
        <v>29.131434</v>
      </c>
      <c r="G9" s="98"/>
      <c r="H9" s="98">
        <v>-176.007224</v>
      </c>
      <c r="I9" s="98">
        <v>-176.007224</v>
      </c>
      <c r="J9" s="99" t="s">
        <v>557</v>
      </c>
    </row>
    <row r="10" spans="1:10" x14ac:dyDescent="0.25">
      <c r="A10" s="49" t="s">
        <v>46</v>
      </c>
      <c r="B10" s="98">
        <v>233.76346300000003</v>
      </c>
      <c r="C10" s="98">
        <v>233.763463</v>
      </c>
      <c r="D10" s="98">
        <v>-2.842170943040401e-14</v>
      </c>
      <c r="E10" s="98">
        <v>35.073732</v>
      </c>
      <c r="F10" s="98">
        <v>35.073732</v>
      </c>
      <c r="G10" s="98">
        <v>-198.68973100000002</v>
      </c>
      <c r="H10" s="98">
        <v>-198.689731</v>
      </c>
      <c r="I10" s="98">
        <v>2.842170943040401e-14</v>
      </c>
      <c r="J10" s="99" t="s">
        <v>556</v>
      </c>
    </row>
    <row r="11" spans="1:10" x14ac:dyDescent="0.25">
      <c r="A11" s="49" t="s">
        <v>50</v>
      </c>
      <c r="B11" s="98">
        <v>6.289</v>
      </c>
      <c r="C11" s="98">
        <v>6.289</v>
      </c>
      <c r="D11" s="98">
        <v>0</v>
      </c>
      <c r="E11" s="98">
        <v>-0.012342</v>
      </c>
      <c r="F11" s="98">
        <v>-0.012342</v>
      </c>
      <c r="G11" s="98">
        <v>-6.301342</v>
      </c>
      <c r="H11" s="98">
        <v>-6.301342</v>
      </c>
      <c r="I11" s="98">
        <v>0</v>
      </c>
      <c r="J11" s="99" t="s">
        <v>556</v>
      </c>
    </row>
    <row r="12" spans="1:10" x14ac:dyDescent="0.25">
      <c r="A12" s="49" t="s">
        <v>53</v>
      </c>
      <c r="B12" s="98">
        <v>77.77833799999999</v>
      </c>
      <c r="C12" s="98">
        <v>77.77833799999999</v>
      </c>
      <c r="D12" s="98">
        <v>0</v>
      </c>
      <c r="E12" s="98">
        <v>11.764561</v>
      </c>
      <c r="F12" s="98">
        <v>11.764561</v>
      </c>
      <c r="G12" s="98">
        <v>-66.01377699999999</v>
      </c>
      <c r="H12" s="98">
        <v>-66.013777</v>
      </c>
      <c r="I12" s="98">
        <v>-1.4210854715202004e-14</v>
      </c>
      <c r="J12" s="99" t="s">
        <v>556</v>
      </c>
    </row>
    <row r="13" spans="1:10" x14ac:dyDescent="0.25">
      <c r="A13" s="49" t="s">
        <v>57</v>
      </c>
      <c r="B13" s="98"/>
      <c r="C13" s="98">
        <v>0</v>
      </c>
      <c r="D13" s="98">
        <v>0</v>
      </c>
      <c r="E13" s="98"/>
      <c r="F13" s="98">
        <v>2.75188</v>
      </c>
      <c r="G13" s="98"/>
      <c r="H13" s="98">
        <v>2.75188</v>
      </c>
      <c r="I13" s="98">
        <v>2.75188</v>
      </c>
      <c r="J13" s="99" t="s">
        <v>558</v>
      </c>
    </row>
    <row r="14" spans="1:10" x14ac:dyDescent="0.25">
      <c r="A14" s="49" t="s">
        <v>59</v>
      </c>
      <c r="B14" s="98">
        <v>9.575099999999999</v>
      </c>
      <c r="C14" s="98">
        <v>9.575099999999999</v>
      </c>
      <c r="D14" s="98">
        <v>0</v>
      </c>
      <c r="E14" s="98">
        <v>6.062002</v>
      </c>
      <c r="F14" s="98">
        <v>6.062002</v>
      </c>
      <c r="G14" s="98">
        <v>-3.5130979999999994</v>
      </c>
      <c r="H14" s="98">
        <v>-3.513098000000001</v>
      </c>
      <c r="I14" s="98">
        <v>-1.7763568394002505e-15</v>
      </c>
      <c r="J14" s="99" t="s">
        <v>556</v>
      </c>
    </row>
    <row r="15" spans="1:10" x14ac:dyDescent="0.25">
      <c r="A15" s="49" t="s">
        <v>61</v>
      </c>
      <c r="B15" s="98">
        <v>50.02253399999999</v>
      </c>
      <c r="C15" s="98">
        <v>50.02253399999999</v>
      </c>
      <c r="D15" s="98">
        <v>0</v>
      </c>
      <c r="E15" s="98">
        <v>0</v>
      </c>
      <c r="F15" s="98">
        <v>0</v>
      </c>
      <c r="G15" s="98">
        <v>-50.02253399999999</v>
      </c>
      <c r="H15" s="98">
        <v>-50.02253400000001</v>
      </c>
      <c r="I15" s="98">
        <v>-1.4210854715202004e-14</v>
      </c>
      <c r="J15" s="99" t="s">
        <v>556</v>
      </c>
    </row>
    <row r="16" spans="1:10" x14ac:dyDescent="0.25">
      <c r="A16" s="54" t="s">
        <v>161</v>
      </c>
      <c r="B16" s="100">
        <v>1568.3964222129398</v>
      </c>
      <c r="C16" s="100">
        <v>1777.1350802129398</v>
      </c>
      <c r="D16" s="100">
        <v>208.73865799999993</v>
      </c>
      <c r="E16" s="100">
        <v>745.306796</v>
      </c>
      <c r="F16" s="100">
        <v>777.19011</v>
      </c>
      <c r="G16" s="100">
        <v>-693.5213609829399</v>
      </c>
      <c r="H16" s="100">
        <v>-866.7767049829399</v>
      </c>
      <c r="I16" s="100">
        <v>-173.2553440000001</v>
      </c>
      <c r="J16" s="54" t="s">
        <v>18</v>
      </c>
    </row>
    <row r="18" spans="1:1" x14ac:dyDescent="0.25">
      <c r="A18" s="2" t="s">
        <v>559</v>
      </c>
    </row>
    <row r="19" spans="1:5" x14ac:dyDescent="0.25">
      <c r="A19" s="87" t="s">
        <v>560</v>
      </c>
      <c r="B19" s="87" t="s">
        <v>561</v>
      </c>
      <c r="C19" s="87" t="s">
        <v>517</v>
      </c>
      <c r="D19" s="87" t="s">
        <v>519</v>
      </c>
      <c r="E19" s="87" t="s">
        <v>555</v>
      </c>
    </row>
    <row r="20" spans="1:5" x14ac:dyDescent="0.25">
      <c r="A20" s="49" t="s">
        <v>562</v>
      </c>
      <c r="B20" s="98">
        <v>244.99626199999997</v>
      </c>
      <c r="C20" s="98">
        <v>244.99626199999997</v>
      </c>
      <c r="D20" s="98">
        <v>0</v>
      </c>
      <c r="E20" s="49" t="s">
        <v>563</v>
      </c>
    </row>
    <row r="21" spans="1:5" x14ac:dyDescent="0.25">
      <c r="A21" s="49" t="s">
        <v>564</v>
      </c>
      <c r="B21" s="98">
        <v>637.405803</v>
      </c>
      <c r="C21" s="98">
        <v>637.405803</v>
      </c>
      <c r="D21" s="98">
        <v>0</v>
      </c>
      <c r="E21" s="49" t="s">
        <v>563</v>
      </c>
    </row>
    <row r="22" spans="1:5" x14ac:dyDescent="0.25">
      <c r="A22" s="49" t="s">
        <v>565</v>
      </c>
      <c r="B22" s="98">
        <v>152.070689</v>
      </c>
      <c r="C22" s="98">
        <v>152.070689</v>
      </c>
      <c r="D22" s="98">
        <v>0</v>
      </c>
      <c r="E22" s="49" t="s">
        <v>563</v>
      </c>
    </row>
    <row r="23" spans="1:5" x14ac:dyDescent="0.25">
      <c r="A23" s="49" t="s">
        <v>290</v>
      </c>
      <c r="B23" s="98">
        <v>85.788691</v>
      </c>
      <c r="C23" s="98">
        <v>85.788691</v>
      </c>
      <c r="D23" s="98">
        <v>0</v>
      </c>
      <c r="E23" s="49" t="s">
        <v>563</v>
      </c>
    </row>
    <row r="24" spans="1:5" x14ac:dyDescent="0.25">
      <c r="A24" s="49" t="s">
        <v>566</v>
      </c>
      <c r="B24" s="98">
        <v>448.13497721294</v>
      </c>
      <c r="C24" s="98">
        <v>448.13497721294</v>
      </c>
      <c r="D24" s="98">
        <v>0</v>
      </c>
      <c r="E24" s="49" t="s">
        <v>563</v>
      </c>
    </row>
    <row r="25" spans="1:5" x14ac:dyDescent="0.25">
      <c r="A25" s="49" t="s">
        <v>567</v>
      </c>
      <c r="B25" s="98">
        <v>129.56826523</v>
      </c>
      <c r="C25" s="98">
        <v>129.56826522999998</v>
      </c>
      <c r="D25" s="98">
        <v>-2.842170943040401e-14</v>
      </c>
      <c r="E25" s="49" t="s">
        <v>563</v>
      </c>
    </row>
    <row r="26" spans="1:5" x14ac:dyDescent="0.25">
      <c r="A26" s="49" t="s">
        <v>568</v>
      </c>
      <c r="B26" s="98">
        <v>0</v>
      </c>
      <c r="C26" s="98">
        <v>208.73865799999996</v>
      </c>
      <c r="D26" s="98">
        <v>208.73865799999996</v>
      </c>
      <c r="E26" s="49" t="s">
        <v>569</v>
      </c>
    </row>
    <row r="28" spans="1:1" x14ac:dyDescent="0.25">
      <c r="A28" s="2" t="s">
        <v>570</v>
      </c>
    </row>
    <row r="29" spans="1:5" x14ac:dyDescent="0.25">
      <c r="A29" s="87" t="s">
        <v>571</v>
      </c>
      <c r="B29" s="87" t="s">
        <v>572</v>
      </c>
      <c r="C29" s="87" t="s">
        <v>573</v>
      </c>
      <c r="D29" s="87" t="s">
        <v>519</v>
      </c>
      <c r="E29" s="87" t="s">
        <v>555</v>
      </c>
    </row>
    <row r="30" spans="1:5" x14ac:dyDescent="0.25">
      <c r="A30" s="54" t="s">
        <v>36</v>
      </c>
      <c r="B30" s="100">
        <v>3699.5668106392864</v>
      </c>
      <c r="C30" s="100">
        <v>3699.566810639287</v>
      </c>
      <c r="D30" s="100">
        <v>4.547473508864641e-13</v>
      </c>
      <c r="E30" s="54" t="s">
        <v>574</v>
      </c>
    </row>
    <row r="31" spans="1:5" x14ac:dyDescent="0.25">
      <c r="A31" s="49" t="s">
        <v>575</v>
      </c>
      <c r="B31" s="98">
        <v>91.2699500964329</v>
      </c>
      <c r="C31" s="98">
        <v>91.2699500964329</v>
      </c>
      <c r="D31" s="98">
        <v>0</v>
      </c>
      <c r="E31" s="49" t="s">
        <v>576</v>
      </c>
    </row>
    <row r="32" spans="1:5" x14ac:dyDescent="0.25">
      <c r="A32" s="49" t="s">
        <v>577</v>
      </c>
      <c r="B32" s="98">
        <v>1976.5850833750312</v>
      </c>
      <c r="C32" s="98">
        <v>1976.5850833750312</v>
      </c>
      <c r="D32" s="98">
        <v>0</v>
      </c>
      <c r="E32" s="49" t="s">
        <v>578</v>
      </c>
    </row>
    <row r="33" spans="1:5" x14ac:dyDescent="0.25">
      <c r="A33" s="49" t="s">
        <v>579</v>
      </c>
      <c r="B33" s="98">
        <v>1267.9055957833798</v>
      </c>
      <c r="C33" s="98">
        <v>1267.90559578338</v>
      </c>
      <c r="D33" s="98">
        <v>2.2737367544323206e-13</v>
      </c>
      <c r="E33" s="49" t="s">
        <v>578</v>
      </c>
    </row>
    <row r="34" spans="1:5" x14ac:dyDescent="0.25">
      <c r="A34" s="49" t="s">
        <v>580</v>
      </c>
      <c r="B34" s="98">
        <v>455.07613148087546</v>
      </c>
      <c r="C34" s="98">
        <v>455.07613148087535</v>
      </c>
      <c r="D34" s="98">
        <v>-1.1368683772161603e-13</v>
      </c>
      <c r="E34" s="49" t="s">
        <v>578</v>
      </c>
    </row>
    <row r="35" spans="1:5" x14ac:dyDescent="0.25">
      <c r="A35" s="49" t="s">
        <v>581</v>
      </c>
      <c r="B35" s="98">
        <v>2643.139493</v>
      </c>
      <c r="C35" s="98">
        <v>2643.139493</v>
      </c>
      <c r="D35" s="98">
        <v>0</v>
      </c>
      <c r="E35" s="49" t="s">
        <v>578</v>
      </c>
    </row>
    <row r="36" spans="1:5" x14ac:dyDescent="0.25">
      <c r="A36" s="54" t="s">
        <v>33</v>
      </c>
      <c r="B36" s="100">
        <v>3926.313997203903</v>
      </c>
      <c r="C36" s="100">
        <v>3926.313997203903</v>
      </c>
      <c r="D36" s="100">
        <v>0</v>
      </c>
      <c r="E36" s="54" t="s">
        <v>574</v>
      </c>
    </row>
    <row r="37" spans="1:5" x14ac:dyDescent="0.25">
      <c r="A37" s="49" t="s">
        <v>582</v>
      </c>
      <c r="B37" s="98">
        <v>116.22847414168119</v>
      </c>
      <c r="C37" s="98">
        <v>116.2284741416812</v>
      </c>
      <c r="D37" s="98">
        <v>1.4210854715202004e-14</v>
      </c>
      <c r="E37" s="49" t="s">
        <v>576</v>
      </c>
    </row>
    <row r="38" spans="1:5" x14ac:dyDescent="0.25">
      <c r="A38" s="49" t="s">
        <v>577</v>
      </c>
      <c r="B38" s="98">
        <v>2197.7624460785723</v>
      </c>
      <c r="C38" s="98">
        <v>2197.7624460785723</v>
      </c>
      <c r="D38" s="98">
        <v>0</v>
      </c>
      <c r="E38" s="49" t="s">
        <v>578</v>
      </c>
    </row>
    <row r="39" spans="1:5" x14ac:dyDescent="0.25">
      <c r="A39" s="49" t="s">
        <v>579</v>
      </c>
      <c r="B39" s="98">
        <v>490.0631747136942</v>
      </c>
      <c r="C39" s="98">
        <v>490.0631747136942</v>
      </c>
      <c r="D39" s="98">
        <v>0</v>
      </c>
      <c r="E39" s="49" t="s">
        <v>578</v>
      </c>
    </row>
    <row r="40" spans="1:5" x14ac:dyDescent="0.25">
      <c r="A40" s="49" t="s">
        <v>580</v>
      </c>
      <c r="B40" s="98">
        <v>1238.4883764116369</v>
      </c>
      <c r="C40" s="98">
        <v>1238.4883764116366</v>
      </c>
      <c r="D40" s="98">
        <v>-2.2737367544323206e-13</v>
      </c>
      <c r="E40" s="49" t="s">
        <v>578</v>
      </c>
    </row>
    <row r="41" spans="1:5" x14ac:dyDescent="0.25">
      <c r="A41" s="49" t="s">
        <v>581</v>
      </c>
      <c r="B41" s="98">
        <v>1481.90449</v>
      </c>
      <c r="C41" s="98">
        <v>1481.90449</v>
      </c>
      <c r="D41" s="98">
        <v>0</v>
      </c>
      <c r="E41" s="49" t="s">
        <v>578</v>
      </c>
    </row>
    <row r="43" spans="1:1" x14ac:dyDescent="0.25">
      <c r="A43" s="2" t="s">
        <v>583</v>
      </c>
    </row>
    <row r="44" ht="30" customHeight="1" spans="1:10" x14ac:dyDescent="0.25">
      <c r="A44" s="101" t="s">
        <v>584</v>
      </c>
      <c r="B44" s="101"/>
      <c r="C44" s="101"/>
      <c r="D44" s="101"/>
      <c r="E44" s="101"/>
      <c r="F44" s="101"/>
      <c r="G44" s="101"/>
      <c r="H44" s="101"/>
      <c r="I44" s="101"/>
      <c r="J44" s="101"/>
    </row>
    <row r="45" ht="30" customHeight="1" spans="1:10" x14ac:dyDescent="0.25">
      <c r="A45" s="101" t="s">
        <v>585</v>
      </c>
      <c r="B45" s="101"/>
      <c r="C45" s="101"/>
      <c r="D45" s="101"/>
      <c r="E45" s="101"/>
      <c r="F45" s="101"/>
      <c r="G45" s="101"/>
      <c r="H45" s="101"/>
      <c r="I45" s="101"/>
      <c r="J45" s="101"/>
    </row>
    <row r="46" ht="30" customHeight="1" spans="1:10" x14ac:dyDescent="0.25">
      <c r="A46" s="101" t="s">
        <v>586</v>
      </c>
      <c r="B46" s="101"/>
      <c r="C46" s="101"/>
      <c r="D46" s="101"/>
      <c r="E46" s="101"/>
      <c r="F46" s="101"/>
      <c r="G46" s="101"/>
      <c r="H46" s="101"/>
      <c r="I46" s="101"/>
      <c r="J46" s="101"/>
    </row>
    <row r="47" ht="30" customHeight="1" spans="1:10" x14ac:dyDescent="0.25">
      <c r="A47" s="101" t="s">
        <v>587</v>
      </c>
      <c r="B47" s="101"/>
      <c r="C47" s="101"/>
      <c r="D47" s="101"/>
      <c r="E47" s="101"/>
      <c r="F47" s="101"/>
      <c r="G47" s="101"/>
      <c r="H47" s="101"/>
      <c r="I47" s="101"/>
      <c r="J47" s="101"/>
    </row>
    <row r="48" ht="30" customHeight="1" spans="1:10" x14ac:dyDescent="0.25">
      <c r="A48" s="101" t="s">
        <v>588</v>
      </c>
      <c r="B48" s="101"/>
      <c r="C48" s="101"/>
      <c r="D48" s="101"/>
      <c r="E48" s="101"/>
      <c r="F48" s="101"/>
      <c r="G48" s="101"/>
      <c r="H48" s="101"/>
      <c r="I48" s="101"/>
      <c r="J48" s="101"/>
    </row>
    <row r="49" ht="30" customHeight="1" spans="1:10" x14ac:dyDescent="0.25">
      <c r="A49" s="101" t="s">
        <v>589</v>
      </c>
      <c r="B49" s="101"/>
      <c r="C49" s="101"/>
      <c r="D49" s="101"/>
      <c r="E49" s="101"/>
      <c r="F49" s="101"/>
      <c r="G49" s="101"/>
      <c r="H49" s="101"/>
      <c r="I49" s="101"/>
      <c r="J49" s="101"/>
    </row>
    <row r="50" ht="30" customHeight="1" spans="1:10" x14ac:dyDescent="0.25">
      <c r="A50" s="101" t="s">
        <v>590</v>
      </c>
      <c r="B50" s="101"/>
      <c r="C50" s="101"/>
      <c r="D50" s="101"/>
      <c r="E50" s="101"/>
      <c r="F50" s="101"/>
      <c r="G50" s="101"/>
      <c r="H50" s="101"/>
      <c r="I50" s="101"/>
      <c r="J50" s="101"/>
    </row>
  </sheetData>
  <mergeCells count="7">
    <mergeCell ref="A44:J44"/>
    <mergeCell ref="A45:J45"/>
    <mergeCell ref="A46:J46"/>
    <mergeCell ref="A47:J47"/>
    <mergeCell ref="A48:J48"/>
    <mergeCell ref="A49:J49"/>
    <mergeCell ref="A50:J5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29"/>
  <sheetViews>
    <sheetView workbookViewId="0" showGridLines="0"/>
  </sheetViews>
  <sheetFormatPr defaultRowHeight="15" outlineLevelRow="0" outlineLevelCol="0" x14ac:dyDescent="55"/>
  <cols>
    <col min="1" max="1" width="30" customWidth="1"/>
    <col min="2" max="2" width="140" customWidth="1"/>
  </cols>
  <sheetData>
    <row r="1" spans="1:1" x14ac:dyDescent="0.25">
      <c r="A1" s="1" t="s">
        <v>591</v>
      </c>
    </row>
    <row r="3" spans="1:2" x14ac:dyDescent="0.25">
      <c r="A3" s="60" t="s">
        <v>592</v>
      </c>
      <c r="B3" s="61"/>
    </row>
    <row r="4" spans="1:2" x14ac:dyDescent="0.25">
      <c r="A4" s="102" t="s">
        <v>593</v>
      </c>
      <c r="B4" s="101" t="s">
        <v>594</v>
      </c>
    </row>
    <row r="5" spans="1:2" x14ac:dyDescent="0.25">
      <c r="A5" s="102" t="s">
        <v>595</v>
      </c>
      <c r="B5" s="101" t="s">
        <v>596</v>
      </c>
    </row>
    <row r="6" spans="1:2" x14ac:dyDescent="0.25">
      <c r="A6" s="102" t="s">
        <v>597</v>
      </c>
      <c r="B6" s="101" t="s">
        <v>598</v>
      </c>
    </row>
    <row r="7" spans="1:2" x14ac:dyDescent="0.25">
      <c r="A7" s="102" t="s">
        <v>599</v>
      </c>
      <c r="B7" s="101" t="s">
        <v>600</v>
      </c>
    </row>
    <row r="8" spans="1:2" x14ac:dyDescent="0.25">
      <c r="A8" s="102" t="s">
        <v>39</v>
      </c>
      <c r="B8" s="101" t="s">
        <v>601</v>
      </c>
    </row>
    <row r="9" spans="1:2" x14ac:dyDescent="0.25">
      <c r="A9" s="102" t="s">
        <v>602</v>
      </c>
      <c r="B9" s="101" t="s">
        <v>603</v>
      </c>
    </row>
    <row r="10" spans="1:2" x14ac:dyDescent="0.25">
      <c r="A10" s="102" t="s">
        <v>18</v>
      </c>
      <c r="B10" s="101" t="s">
        <v>18</v>
      </c>
    </row>
    <row r="11" spans="1:2" x14ac:dyDescent="0.25">
      <c r="A11" s="60" t="s">
        <v>604</v>
      </c>
      <c r="B11" s="61"/>
    </row>
    <row r="12" spans="1:2" x14ac:dyDescent="0.25">
      <c r="A12" s="102" t="s">
        <v>3</v>
      </c>
      <c r="B12" s="101" t="s">
        <v>605</v>
      </c>
    </row>
    <row r="13" spans="1:2" x14ac:dyDescent="0.25">
      <c r="A13" s="102" t="s">
        <v>606</v>
      </c>
      <c r="B13" s="101" t="s">
        <v>607</v>
      </c>
    </row>
    <row r="14" spans="1:2" x14ac:dyDescent="0.25">
      <c r="A14" s="102" t="s">
        <v>599</v>
      </c>
      <c r="B14" s="101" t="s">
        <v>608</v>
      </c>
    </row>
    <row r="15" spans="1:2" x14ac:dyDescent="0.25">
      <c r="A15" s="102" t="s">
        <v>609</v>
      </c>
      <c r="B15" s="101" t="s">
        <v>610</v>
      </c>
    </row>
    <row r="16" spans="1:2" x14ac:dyDescent="0.25">
      <c r="A16" s="102" t="s">
        <v>611</v>
      </c>
      <c r="B16" s="101" t="s">
        <v>612</v>
      </c>
    </row>
    <row r="17" spans="1:2" x14ac:dyDescent="0.25">
      <c r="A17" s="102" t="s">
        <v>613</v>
      </c>
      <c r="B17" s="101" t="s">
        <v>614</v>
      </c>
    </row>
    <row r="18" spans="1:2" x14ac:dyDescent="0.25">
      <c r="A18" s="102" t="s">
        <v>615</v>
      </c>
      <c r="B18" s="101" t="s">
        <v>616</v>
      </c>
    </row>
    <row r="19" spans="1:2" x14ac:dyDescent="0.25">
      <c r="A19" s="102" t="s">
        <v>18</v>
      </c>
      <c r="B19" s="101" t="s">
        <v>18</v>
      </c>
    </row>
    <row r="20" spans="1:2" x14ac:dyDescent="0.25">
      <c r="A20" s="60" t="s">
        <v>617</v>
      </c>
      <c r="B20" s="61"/>
    </row>
    <row r="21" spans="1:2" x14ac:dyDescent="0.25">
      <c r="A21" s="102" t="s">
        <v>618</v>
      </c>
      <c r="B21" s="101" t="s">
        <v>619</v>
      </c>
    </row>
    <row r="22" spans="1:2" x14ac:dyDescent="0.25">
      <c r="A22" s="102" t="s">
        <v>620</v>
      </c>
      <c r="B22" s="101" t="s">
        <v>621</v>
      </c>
    </row>
    <row r="23" spans="1:2" x14ac:dyDescent="0.25">
      <c r="A23" s="102" t="s">
        <v>622</v>
      </c>
      <c r="B23" s="101" t="s">
        <v>623</v>
      </c>
    </row>
    <row r="24" spans="1:2" x14ac:dyDescent="0.25">
      <c r="A24" s="102" t="s">
        <v>18</v>
      </c>
      <c r="B24" s="101" t="s">
        <v>18</v>
      </c>
    </row>
    <row r="25" spans="1:2" x14ac:dyDescent="0.25">
      <c r="A25" s="60" t="s">
        <v>624</v>
      </c>
      <c r="B25" s="61"/>
    </row>
    <row r="26" spans="1:2" x14ac:dyDescent="0.25">
      <c r="A26" s="102" t="s">
        <v>625</v>
      </c>
      <c r="B26" s="101" t="s">
        <v>626</v>
      </c>
    </row>
    <row r="27" spans="1:2" x14ac:dyDescent="0.25">
      <c r="A27" s="102" t="s">
        <v>627</v>
      </c>
      <c r="B27" s="101" t="s">
        <v>628</v>
      </c>
    </row>
    <row r="28" spans="1:2" x14ac:dyDescent="0.25">
      <c r="A28" s="102" t="s">
        <v>629</v>
      </c>
      <c r="B28" s="101" t="s">
        <v>630</v>
      </c>
    </row>
    <row r="29" spans="1:2" x14ac:dyDescent="0.25">
      <c r="A29" s="102" t="s">
        <v>631</v>
      </c>
      <c r="B29" s="101" t="s">
        <v>632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Reporting Hebdo</vt:lpstr>
      <vt:lpstr>Équilibrage S1</vt:lpstr>
      <vt:lpstr>Détail fonctionnement</vt:lpstr>
      <vt:lpstr>Détail projets &amp; dettes</vt:lpstr>
      <vt:lpstr>Position CI 30-09</vt:lpstr>
      <vt:lpstr>Contrôles</vt:lpstr>
      <vt:lpstr>Comparaison RCI</vt:lpstr>
      <vt:lpstr>Méthode &amp; sources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Direction Trésorerie &amp; Financement</dc:creator>
  <dc:title/>
  <dc:subject/>
  <dc:description/>
  <cp:keywords/>
  <cp:category/>
  <cp:lastModifiedBy>Unknown</cp:lastModifiedBy>
  <dcterms:created xsi:type="dcterms:W3CDTF">2026-10-07T15:04:08Z</dcterms:created>
  <dcterms:modified xsi:type="dcterms:W3CDTF">2026-10-07T15:04:08Z</dcterms:modified>
</cp:coreProperties>
</file>