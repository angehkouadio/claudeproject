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porting Hebdo" sheetId="1" state="visible" r:id="rId3"/>
    <sheet name="Détail fonctionnement" sheetId="2" state="visible" r:id="rId4"/>
    <sheet name="Détail projets &amp; dettes" sheetId="3" state="visible" r:id="rId5"/>
    <sheet name="Position CI 30-09" sheetId="4" state="visible" r:id="rId6"/>
    <sheet name="Contrôles" sheetId="5" state="visible" r:id="rId7"/>
    <sheet name="Méthode &amp; sources" sheetId="6" state="visible" r:id="rId8"/>
  </sheets>
  <definedNames>
    <definedName function="false" hidden="true" localSheetId="1" name="_xlnm._FilterDatabase" vbProcedure="false">'Détail fonctionnement'!$A$4:$G$163</definedName>
    <definedName function="false" hidden="true" localSheetId="2" name="_xlnm._FilterDatabase" vbProcedure="false">'Détail projets &amp; dettes'!$A$4:$J$113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<sst xmlns="http://schemas.openxmlformats.org/spreadsheetml/2006/main" count="2355" uniqueCount="541">
  <si>
    <t xml:space="preserve">Reporting Cash Hebdomadaire – Centralisation Côte d'Ivoire</t>
  </si>
  <si>
    <t xml:space="preserve">Soldes bancaires au</t>
  </si>
  <si>
    <t xml:space="preserve">Semaine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</si>
  <si>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</si>
  <si>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</si>
  <si>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</si>
  <si>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</si>
  <si>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</si>
  <si>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Taux FCFA / €</t>
  </si>
  <si>
    <t xml:space="preserve">Du</t>
  </si>
  <si>
    <t xml:space="preserve">Édité le</t>
  </si>
  <si>
    <t xml:space="preserve">Au</t>
  </si>
  <si>
    <t xml:space="preserve">Soldes bancaires (réel) – Comptes de sociétés</t>
  </si>
  <si>
    <t xml:space="preserve">En euros</t>
  </si>
  <si>
    <t xml:space="preserve">En FCFA</t>
  </si>
  <si>
    <t xml:space="preserve">BANQUE</t>
  </si>
  <si>
    <t xml:space="preserve">Destination (position CI)</t>
  </si>
  <si>
    <t xml:space="preserve">COMMENTAIRES</t>
  </si>
  <si>
    <t xml:space="preserve">Solde réel</t>
  </si>
  <si>
    <t xml:space="preserve">Solde théorique</t>
  </si>
  <si>
    <t xml:space="preserve">Prévisions (flux)</t>
  </si>
  <si>
    <t xml:space="preserve">PICI</t>
  </si>
  <si>
    <t xml:space="preserve">PROMOTION (PICI)</t>
  </si>
  <si>
    <t xml:space="preserve">   SOCIETE GENERALE-PICI</t>
  </si>
  <si>
    <t xml:space="preserve">Dédié besoin de fonctionnement et "Netting" autres compagnies CIV</t>
  </si>
  <si>
    <t xml:space="preserve">   STANBIC-PICI</t>
  </si>
  <si>
    <t xml:space="preserve">Dédié besoin de fonctionnement</t>
  </si>
  <si>
    <t xml:space="preserve">   ECOBANK-PICI</t>
  </si>
  <si>
    <t xml:space="preserve">FIRST</t>
  </si>
  <si>
    <t xml:space="preserve">PROPERTY (SCI FIRST)</t>
  </si>
  <si>
    <t xml:space="preserve">   SOCIETE GENERALE-FIRST</t>
  </si>
  <si>
    <t xml:space="preserve">   STANBIC-FIRST</t>
  </si>
  <si>
    <t xml:space="preserve">TERASSON</t>
  </si>
  <si>
    <t xml:space="preserve">   SOCIETE GENERALE-TERASSON</t>
  </si>
  <si>
    <t xml:space="preserve">   ECOBANK -TERASSON</t>
  </si>
  <si>
    <t xml:space="preserve">   STANBIC-TERASSON</t>
  </si>
  <si>
    <t xml:space="preserve">RIVIERA</t>
  </si>
  <si>
    <t xml:space="preserve">RIVIERA PARK</t>
  </si>
  <si>
    <t xml:space="preserve">   SOCIETE GENERALE-RIVIERA</t>
  </si>
  <si>
    <t xml:space="preserve">   BNI-RIVIERA(Courant)</t>
  </si>
  <si>
    <t xml:space="preserve">Affection placement? Ou besoin de fonctionnement</t>
  </si>
  <si>
    <t xml:space="preserve">   BNI-RIVIERA(Augmentation)</t>
  </si>
  <si>
    <t xml:space="preserve">DSR/Augmentation/LL/Disbursment</t>
  </si>
  <si>
    <t xml:space="preserve">SCO AO</t>
  </si>
  <si>
    <t xml:space="preserve">   BANK OF AFRICA-SCO AO</t>
  </si>
  <si>
    <t xml:space="preserve">   BACI-CompteCourant</t>
  </si>
  <si>
    <t xml:space="preserve">   BACI-Projet</t>
  </si>
  <si>
    <t xml:space="preserve">Dédié paiement Projet SCO</t>
  </si>
  <si>
    <t xml:space="preserve">   BACI-AGORA</t>
  </si>
  <si>
    <t xml:space="preserve">   ECOBANK - SCO AO</t>
  </si>
  <si>
    <t xml:space="preserve">FINAFRICA</t>
  </si>
  <si>
    <t xml:space="preserve">FINAFRICA CI</t>
  </si>
  <si>
    <t xml:space="preserve">   SOCIETE GENERALE-FINAFRICA</t>
  </si>
  <si>
    <t xml:space="preserve">   ECOBANK-FINAFRICA</t>
  </si>
  <si>
    <t xml:space="preserve">AB CENTER</t>
  </si>
  <si>
    <t xml:space="preserve">   SOCIETE GENERALE-AB CENTER</t>
  </si>
  <si>
    <t xml:space="preserve">   ECOBANK- AB CENTER</t>
  </si>
  <si>
    <t xml:space="preserve">IMMONEUF</t>
  </si>
  <si>
    <t xml:space="preserve">   SOCIETE GENERALE-IMMONEUF</t>
  </si>
  <si>
    <t xml:space="preserve">   ECOBANK-IMMONEUF</t>
  </si>
  <si>
    <t xml:space="preserve">   BACI - IMMONEUF</t>
  </si>
  <si>
    <t xml:space="preserve">INFI SOFT</t>
  </si>
  <si>
    <t xml:space="preserve">   INFI SOFT - SIB</t>
  </si>
  <si>
    <t xml:space="preserve">ODALYS CI</t>
  </si>
  <si>
    <t xml:space="preserve">   SOCIETE GENERALE-ODALYS</t>
  </si>
  <si>
    <t xml:space="preserve">RHD CI</t>
  </si>
  <si>
    <t xml:space="preserve">TOTAL COMPTES DE SOCIÉTÉS</t>
  </si>
  <si>
    <t xml:space="preserve">COMPTES DÉDIÉS (projets et remboursement de dettes)</t>
  </si>
  <si>
    <t xml:space="preserve">RIVIERA-PROJET</t>
  </si>
  <si>
    <t xml:space="preserve">BNI-PICI / Fonds projet RP</t>
  </si>
  <si>
    <t xml:space="preserve">Riviera Park – fonds projet (CPI)</t>
  </si>
  <si>
    <t xml:space="preserve">TERASSON-PROJET</t>
  </si>
  <si>
    <t xml:space="preserve">BNI-TERASSON / Fonds projet NP</t>
  </si>
  <si>
    <t xml:space="preserve">Village Notre Père – fonds projet (CPI)</t>
  </si>
  <si>
    <t xml:space="preserve">FIRST-DETTE</t>
  </si>
  <si>
    <t xml:space="preserve">STANBIC-FIRST _ Debt Service</t>
  </si>
  <si>
    <t xml:space="preserve">SCI FIRST – service de la dette Stanbic</t>
  </si>
  <si>
    <t xml:space="preserve">FIRST-LL</t>
  </si>
  <si>
    <t xml:space="preserve">STANBIC-FIRST_LL</t>
  </si>
  <si>
    <t xml:space="preserve">SCI FIRST – compte LL</t>
  </si>
  <si>
    <t xml:space="preserve">FIRST-DECAISSEMENT</t>
  </si>
  <si>
    <t xml:space="preserve">STANBIC-FIRST_Disbursement</t>
  </si>
  <si>
    <t xml:space="preserve">SCI FIRST – compte de décaissement</t>
  </si>
  <si>
    <t xml:space="preserve">RIVIERA-DSRA</t>
  </si>
  <si>
    <t xml:space="preserve">BNI-RIVIERA(DSRA) / Placement</t>
  </si>
  <si>
    <t xml:space="preserve">Riviera – DSRA / placement</t>
  </si>
  <si>
    <t xml:space="preserve">SCO-TVA</t>
  </si>
  <si>
    <t xml:space="preserve">BACI-AGORA/COMPTE BLOQU. TVA</t>
  </si>
  <si>
    <t xml:space="preserve">SCO AO – compte bloqué TVA AGORA</t>
  </si>
  <si>
    <t xml:space="preserve">TOTAL COMPTES DÉDIÉS</t>
  </si>
  <si>
    <t xml:space="preserve">TOTAL GÉNÉRAL CÔTE D'IVOIRE</t>
  </si>
  <si>
    <t xml:space="preserve">SYNTHÈSE DES BESOINS PAR SEMAINE</t>
  </si>
  <si>
    <t xml:space="preserve">Flux de fonctionnement (frais de structure)</t>
  </si>
  <si>
    <t xml:space="preserve">Flux projets et dettes (comptes dédiés)</t>
  </si>
  <si>
    <t xml:space="preserve">Total des flux de la semaine</t>
  </si>
  <si>
    <t xml:space="preserve">Besoin de financement – sociétés en solde théorique négatif</t>
  </si>
  <si>
    <t xml:space="preserve">Nombre de sociétés en solde théorique négatif</t>
  </si>
  <si>
    <t xml:space="preserve">Besoin de financement – comptes dédiés en solde théorique négatif</t>
  </si>
  <si>
    <t xml:space="preserve">Prévisions de décaissements et encaissements</t>
  </si>
  <si>
    <t xml:space="preserve">FRAIS DE STRUCTURES</t>
  </si>
  <si>
    <t xml:space="preserve">Entité</t>
  </si>
  <si>
    <t xml:space="preserve">Nature de transaction</t>
  </si>
  <si>
    <t xml:space="preserve">Montant prév. €</t>
  </si>
  <si>
    <t xml:space="preserve">Montant réel €</t>
  </si>
  <si>
    <t xml:space="preserve">Écart €</t>
  </si>
  <si>
    <t xml:space="preserve">Montant prév. FCFA</t>
  </si>
  <si>
    <t xml:space="preserve">Montant réel FCFA</t>
  </si>
  <si>
    <t xml:space="preserve">Écart FCFA</t>
  </si>
  <si>
    <t xml:space="preserve">Commentaires sur les écarts</t>
  </si>
  <si>
    <t xml:space="preserve">S1 : semaine du 05/10 au 11/10 (y compris antériorités)</t>
  </si>
  <si>
    <t xml:space="preserve">FOURNISSEURS - FGX</t>
  </si>
  <si>
    <t xml:space="preserve">IMPÔTS ET TAXES</t>
  </si>
  <si>
    <t xml:space="preserve">CHARGES SOCIALES</t>
  </si>
  <si>
    <t xml:space="preserve">ENREGISTREMENTS</t>
  </si>
  <si>
    <t xml:space="preserve">ENCAISSEMENTS</t>
  </si>
  <si>
    <t xml:space="preserve">FOURNISSEURS - PROJET</t>
  </si>
  <si>
    <t xml:space="preserve">SALAIRES</t>
  </si>
  <si>
    <t xml:space="preserve">AUTRES DÉCAISSEMENTS</t>
  </si>
  <si>
    <t xml:space="preserve">Total S1</t>
  </si>
  <si>
    <t xml:space="preserve">S2 : semaine du 12/10 au 18/10</t>
  </si>
  <si>
    <t xml:space="preserve">Total S2</t>
  </si>
  <si>
    <t xml:space="preserve">S3 : semaine du 19/10 au 25/10</t>
  </si>
  <si>
    <t xml:space="preserve">Total S3</t>
  </si>
  <si>
    <t xml:space="preserve">S4 : semaine du 26/10 au 01/11</t>
  </si>
  <si>
    <t xml:space="preserve">Total S4</t>
  </si>
  <si>
    <t xml:space="preserve">S5 : semaine du 02/11 au 08/11</t>
  </si>
  <si>
    <t xml:space="preserve">Total S5</t>
  </si>
  <si>
    <t xml:space="preserve">PROJETS / DETTES</t>
  </si>
  <si>
    <t xml:space="preserve">Foncier</t>
  </si>
  <si>
    <t xml:space="preserve">Travaux</t>
  </si>
  <si>
    <t xml:space="preserve">Honoraires</t>
  </si>
  <si>
    <t xml:space="preserve">Autres dépenses</t>
  </si>
  <si>
    <t xml:space="preserve">Frais financiers</t>
  </si>
  <si>
    <t xml:space="preserve">Remboursement de prêt</t>
  </si>
  <si>
    <t xml:space="preserve">Pour information – cash plans de novembre 2026 (hors horizon, non inclus dans les soldes)</t>
  </si>
  <si>
    <t xml:space="preserve">Novembre 2026 (€ HT)</t>
  </si>
  <si>
    <t xml:space="preserve">Détail des flux de fonctionnement (frais de structure) – FCFA</t>
  </si>
  <si>
    <t xml:space="preserve">Nature</t>
  </si>
  <si>
    <t xml:space="preserve">Fournisseur / libellé</t>
  </si>
  <si>
    <t xml:space="preserve">Montant FCFA</t>
  </si>
  <si>
    <t xml:space="preserve">Montant €</t>
  </si>
  <si>
    <t xml:space="preserve">Retenu (O/N)</t>
  </si>
  <si>
    <t xml:space="preserve">BURMA</t>
  </si>
  <si>
    <t xml:space="preserve">O</t>
  </si>
  <si>
    <t xml:space="preserve">CABINET JEAN-LUC RUELLE</t>
  </si>
  <si>
    <t xml:space="preserve">CIE</t>
  </si>
  <si>
    <t xml:space="preserve">DHL</t>
  </si>
  <si>
    <t xml:space="preserve">FOURNISSEURS DIVERS</t>
  </si>
  <si>
    <t xml:space="preserve">HORUS TRAD SARL</t>
  </si>
  <si>
    <t xml:space="preserve">IMPACT</t>
  </si>
  <si>
    <t xml:space="preserve">JULIE BASSONVILLE</t>
  </si>
  <si>
    <t xml:space="preserve">LAVIVA</t>
  </si>
  <si>
    <t xml:space="preserve">LOXEA</t>
  </si>
  <si>
    <t xml:space="preserve">MISTRAL VOYAGES</t>
  </si>
  <si>
    <t xml:space="preserve">MTN C“te d'Ivoire</t>
  </si>
  <si>
    <t xml:space="preserve">NEYALA</t>
  </si>
  <si>
    <t xml:space="preserve">NOVAGO COTE D'IVOIRE</t>
  </si>
  <si>
    <t xml:space="preserve">OLEA CI</t>
  </si>
  <si>
    <t xml:space="preserve">ORANGE CI_TEL MOB</t>
  </si>
  <si>
    <t xml:space="preserve">SHERPA</t>
  </si>
  <si>
    <t xml:space="preserve">SODECI</t>
  </si>
  <si>
    <t xml:space="preserve">TBC</t>
  </si>
  <si>
    <t xml:space="preserve">IMPOT</t>
  </si>
  <si>
    <t xml:space="preserve">Remboursements avance en C/C FINAFRICA</t>
  </si>
  <si>
    <t xml:space="preserve">BOTANICA_BON</t>
  </si>
  <si>
    <t xml:space="preserve">C2A CONSEIL ASSOCIES</t>
  </si>
  <si>
    <t xml:space="preserve">ETUDE MAITRE NANOU - NOTAIRE</t>
  </si>
  <si>
    <t xml:space="preserve">FSSEUR DIVERS</t>
  </si>
  <si>
    <t xml:space="preserve">MAITRE YAPO KOYO FLORE</t>
  </si>
  <si>
    <t xml:space="preserve">METALUX</t>
  </si>
  <si>
    <t xml:space="preserve">MONDON CONSEIL INTERNATIONAL</t>
  </si>
  <si>
    <t xml:space="preserve">REDEVANCE DIABY</t>
  </si>
  <si>
    <t xml:space="preserve">SNEF</t>
  </si>
  <si>
    <t xml:space="preserve">TUNELIER INTERNATIONAL</t>
  </si>
  <si>
    <t xml:space="preserve">DADIE DIGRA</t>
  </si>
  <si>
    <t xml:space="preserve">ETUDE DE MAITRE YAPO-KOYO FLORE</t>
  </si>
  <si>
    <t xml:space="preserve">FORVIS MAZARS</t>
  </si>
  <si>
    <t xml:space="preserve">CABINET JLR</t>
  </si>
  <si>
    <t xml:space="preserve">FOURNISSEURS-FGX</t>
  </si>
  <si>
    <t xml:space="preserve">FOURNISSEURS-PROJET</t>
  </si>
  <si>
    <t xml:space="preserve">IMPOTS DGI</t>
  </si>
  <si>
    <t xml:space="preserve">CNPS/Arriéré</t>
  </si>
  <si>
    <t xml:space="preserve">SALAIRE NDF</t>
  </si>
  <si>
    <t xml:space="preserve">SALAIRE SEPTEMBRE</t>
  </si>
  <si>
    <t xml:space="preserve">PROTOCOLE THULIUM</t>
  </si>
  <si>
    <t xml:space="preserve">CLIENT</t>
  </si>
  <si>
    <t xml:space="preserve">AXA</t>
  </si>
  <si>
    <t xml:space="preserve">CABINET JEAN LUC RUELLE</t>
  </si>
  <si>
    <t xml:space="preserve">DBL SERVICE &amp; INVEST</t>
  </si>
  <si>
    <t xml:space="preserve">FSSEURS DIVERS</t>
  </si>
  <si>
    <t xml:space="preserve">HORUS TRAD</t>
  </si>
  <si>
    <t xml:space="preserve">KONAN LOAN</t>
  </si>
  <si>
    <t xml:space="preserve">MAITRE YAPO</t>
  </si>
  <si>
    <t xml:space="preserve">NAYELA</t>
  </si>
  <si>
    <t xml:space="preserve">NOVAGO</t>
  </si>
  <si>
    <t xml:space="preserve">SCOGES CONSEIL</t>
  </si>
  <si>
    <t xml:space="preserve">CABINET JEAN LUX RUELLE</t>
  </si>
  <si>
    <t xml:space="preserve">IMPACT DURABLE</t>
  </si>
  <si>
    <t xml:space="preserve">ADES</t>
  </si>
  <si>
    <t xml:space="preserve">OFFICE BUREAU</t>
  </si>
  <si>
    <t xml:space="preserve">MAITRE YAPO-KOYO</t>
  </si>
  <si>
    <t xml:space="preserve">ENTREPRISE IVOIRIENNE D'AIDE EN ASSAINISSEMENT</t>
  </si>
  <si>
    <t xml:space="preserve">FOX SECURITE</t>
  </si>
  <si>
    <t xml:space="preserve">GROUPE LA LAVANDIERE</t>
  </si>
  <si>
    <t xml:space="preserve">NIMITZ ASC ASSISTANCE SECURITE</t>
  </si>
  <si>
    <t xml:space="preserve">QUICKNET SERVICE</t>
  </si>
  <si>
    <t xml:space="preserve">SED SERVICE</t>
  </si>
  <si>
    <t xml:space="preserve">VISUEL</t>
  </si>
  <si>
    <t xml:space="preserve">BLUE LIONS</t>
  </si>
  <si>
    <t xml:space="preserve">N</t>
  </si>
  <si>
    <t xml:space="preserve">FINANCIERE DUVAL</t>
  </si>
  <si>
    <t xml:space="preserve">GROUPE DUVAL</t>
  </si>
  <si>
    <t xml:space="preserve">INFISOFTWARE</t>
  </si>
  <si>
    <t xml:space="preserve">PELEGRINA FRANCE</t>
  </si>
  <si>
    <t xml:space="preserve">SCI FIRST INVEST</t>
  </si>
  <si>
    <t xml:space="preserve">SOCITRANS SARL</t>
  </si>
  <si>
    <t xml:space="preserve">Enregistrements</t>
  </si>
  <si>
    <t xml:space="preserve">PEL FR - ASSISTANCE CONSEIL</t>
  </si>
  <si>
    <t xml:space="preserve">PELEGRINA AFRIQUE INVEST</t>
  </si>
  <si>
    <t xml:space="preserve">PEL IMMOBILIER CI CONSTRUCTEUR</t>
  </si>
  <si>
    <t xml:space="preserve">FOURNISSEURS-FGX – LOXEA URGENT 1/2</t>
  </si>
  <si>
    <t xml:space="preserve">FOURNISSEURS-PROJET AGORA</t>
  </si>
  <si>
    <t xml:space="preserve">FOURNISSEURS-PROJET – AGORA</t>
  </si>
  <si>
    <t xml:space="preserve">FOURNISSEURS-PROJET – VALYOS, NANDHAA</t>
  </si>
  <si>
    <t xml:space="preserve">IMPOTSDGI/DECL AOUT – échéance le 20/9</t>
  </si>
  <si>
    <t xml:space="preserve">FIN AFRICA FR</t>
  </si>
  <si>
    <t xml:space="preserve">AILLEURS BUSINESS</t>
  </si>
  <si>
    <t xml:space="preserve">ASSISTANCE TECHNIQUE PELEGRINA AFR</t>
  </si>
  <si>
    <t xml:space="preserve">SAS FINANCIERE DUVAL</t>
  </si>
  <si>
    <t xml:space="preserve">SAS GROUPE DUVAL</t>
  </si>
  <si>
    <t xml:space="preserve">Détail des flux projets &amp; dettes (comptes dédiés)</t>
  </si>
  <si>
    <t xml:space="preserve">Compte dédié (clé)</t>
  </si>
  <si>
    <t xml:space="preserve">Code</t>
  </si>
  <si>
    <t xml:space="preserve">Libellé</t>
  </si>
  <si>
    <t xml:space="preserve">Entreprise</t>
  </si>
  <si>
    <t xml:space="preserve">Montant € HT</t>
  </si>
  <si>
    <t xml:space="preserve">FON 0009</t>
  </si>
  <si>
    <t xml:space="preserve">Géomètre</t>
  </si>
  <si>
    <t xml:space="preserve">KOUAMELAN</t>
  </si>
  <si>
    <t xml:space="preserve">(sans code)</t>
  </si>
  <si>
    <t xml:space="preserve">09 BGTB</t>
  </si>
  <si>
    <t xml:space="preserve">BCC 0009</t>
  </si>
  <si>
    <t xml:space="preserve">Autres travaux</t>
  </si>
  <si>
    <t xml:space="preserve">BCC 0017</t>
  </si>
  <si>
    <t xml:space="preserve">02 GROS ŒUVRE &amp; INSTALLATION DE CHANTIER</t>
  </si>
  <si>
    <t xml:space="preserve">BCC 0023</t>
  </si>
  <si>
    <t xml:space="preserve">07 SERRURERIE</t>
  </si>
  <si>
    <t xml:space="preserve">BCC 0024</t>
  </si>
  <si>
    <t xml:space="preserve">08 CFO</t>
  </si>
  <si>
    <t xml:space="preserve">BCC 0025</t>
  </si>
  <si>
    <t xml:space="preserve">09A CFA /SSI /GTB</t>
  </si>
  <si>
    <t xml:space="preserve">HON 0001</t>
  </si>
  <si>
    <t xml:space="preserve">Architecte</t>
  </si>
  <si>
    <t xml:space="preserve">ARCHICONCEPT / MAP</t>
  </si>
  <si>
    <t xml:space="preserve">HON 0002</t>
  </si>
  <si>
    <t xml:space="preserve">BET / MOE / SSI</t>
  </si>
  <si>
    <t xml:space="preserve">SCO</t>
  </si>
  <si>
    <t xml:space="preserve">HON 0005</t>
  </si>
  <si>
    <t xml:space="preserve">Bureau de contrôle</t>
  </si>
  <si>
    <t xml:space="preserve">BUREAU VERITAS</t>
  </si>
  <si>
    <t xml:space="preserve">HON 0006</t>
  </si>
  <si>
    <t xml:space="preserve">CSPS</t>
  </si>
  <si>
    <t xml:space="preserve">SOCOTEC</t>
  </si>
  <si>
    <t xml:space="preserve">HON 0007</t>
  </si>
  <si>
    <t xml:space="preserve">E&amp;S</t>
  </si>
  <si>
    <t xml:space="preserve">ANDE / ENVAL / INSUCO / BIOTOPE / IVOIRE HYDROGENE</t>
  </si>
  <si>
    <t xml:space="preserve">HON 0009</t>
  </si>
  <si>
    <t xml:space="preserve">Divers honoraires</t>
  </si>
  <si>
    <t xml:space="preserve">PROJEX / DIPHONE / LUSEO / BET GAURY</t>
  </si>
  <si>
    <t xml:space="preserve">HON 0010</t>
  </si>
  <si>
    <t xml:space="preserve">Retenue à la source (prestataires étrangers)</t>
  </si>
  <si>
    <t xml:space="preserve">AUD 0007</t>
  </si>
  <si>
    <t xml:space="preserve">Frais Divers</t>
  </si>
  <si>
    <t xml:space="preserve">YABA &amp; KUMBA / SINTALI / VOLTERE</t>
  </si>
  <si>
    <t xml:space="preserve">AUD 0012</t>
  </si>
  <si>
    <t xml:space="preserve">Autres frais financiers (Frais de Due Diligence)</t>
  </si>
  <si>
    <t xml:space="preserve">DWF/IFC</t>
  </si>
  <si>
    <t xml:space="preserve">FFI 0001</t>
  </si>
  <si>
    <t xml:space="preserve">Intérêts sur compte courant</t>
  </si>
  <si>
    <t xml:space="preserve">FFI 0005</t>
  </si>
  <si>
    <t xml:space="preserve">Frais Financiers Coupons Invest</t>
  </si>
  <si>
    <t xml:space="preserve">ATELIER TOPOGRAPHIQUE KOTOKOU / CYGE / SG2T</t>
  </si>
  <si>
    <t xml:space="preserve">FON 0014</t>
  </si>
  <si>
    <t xml:space="preserve">Sécurisation du site</t>
  </si>
  <si>
    <t xml:space="preserve">AIGLE ROYAL / RASCOM / SEG / ECS</t>
  </si>
  <si>
    <t xml:space="preserve">FON 0018</t>
  </si>
  <si>
    <t xml:space="preserve">Brche. Eau</t>
  </si>
  <si>
    <t xml:space="preserve">BCC 0001</t>
  </si>
  <si>
    <t xml:space="preserve">Démolitions</t>
  </si>
  <si>
    <t xml:space="preserve">BCC 0002</t>
  </si>
  <si>
    <t xml:space="preserve">Fondations spéciales</t>
  </si>
  <si>
    <t xml:space="preserve">BCC 0013</t>
  </si>
  <si>
    <t xml:space="preserve">1B-VRD Espaces verts</t>
  </si>
  <si>
    <t xml:space="preserve">UNISERV</t>
  </si>
  <si>
    <t xml:space="preserve">BCC 0014</t>
  </si>
  <si>
    <t xml:space="preserve">2-Gros oeuvre</t>
  </si>
  <si>
    <t xml:space="preserve">BCC 0015</t>
  </si>
  <si>
    <t xml:space="preserve">3-Etancheite</t>
  </si>
  <si>
    <t xml:space="preserve">BCC 0016</t>
  </si>
  <si>
    <t xml:space="preserve">4A-Charpente metallique</t>
  </si>
  <si>
    <t xml:space="preserve">4B-Couverture &amp; Bardage</t>
  </si>
  <si>
    <t xml:space="preserve">BCC 0018</t>
  </si>
  <si>
    <t xml:space="preserve">5-Menuiseries exterieures</t>
  </si>
  <si>
    <t xml:space="preserve">BCC 0020</t>
  </si>
  <si>
    <t xml:space="preserve">7-Serrurerie</t>
  </si>
  <si>
    <t xml:space="preserve">ZUO / CIA / MAP</t>
  </si>
  <si>
    <t xml:space="preserve">INSUCO / BRL INGENIERIE/ANDE</t>
  </si>
  <si>
    <t xml:space="preserve">HON 0008</t>
  </si>
  <si>
    <t xml:space="preserve">Diagnostic divers</t>
  </si>
  <si>
    <t xml:space="preserve">AUXO / PROJEX / GSPM / HORECAF / HILLEL</t>
  </si>
  <si>
    <t xml:space="preserve">AUD 0008</t>
  </si>
  <si>
    <t xml:space="preserve">Publicité</t>
  </si>
  <si>
    <t xml:space="preserve">SHERPA/LES ATELIERS COOK IMPRIM</t>
  </si>
  <si>
    <t xml:space="preserve">FFI 0002</t>
  </si>
  <si>
    <t xml:space="preserve">Produits financiers</t>
  </si>
  <si>
    <t xml:space="preserve">Stanbic – échéance de prêt (intérêts + capital)</t>
  </si>
  <si>
    <t xml:space="preserve">STANBIC</t>
  </si>
  <si>
    <t xml:space="preserve">03 ETANCHEITE</t>
  </si>
  <si>
    <t xml:space="preserve">BCC 0034</t>
  </si>
  <si>
    <t xml:space="preserve">CC ROOFTOP SURELEVATION BAT B</t>
  </si>
  <si>
    <t xml:space="preserve">FON 0017</t>
  </si>
  <si>
    <t xml:space="preserve">Brche. Electricité</t>
  </si>
  <si>
    <t xml:space="preserve">CI ENERGIES</t>
  </si>
  <si>
    <t xml:space="preserve">8-CFO Courants forts</t>
  </si>
  <si>
    <t xml:space="preserve">9-CFA Courants faibles</t>
  </si>
  <si>
    <t xml:space="preserve">10-Climatisation &amp; Ventilation</t>
  </si>
  <si>
    <t xml:space="preserve">11-Plomberie RIA FC</t>
  </si>
  <si>
    <t xml:space="preserve">THINKSTEP / YABA &amp; KUMBA / DOUG AND WOLF / CHANAN / REAL CONSULTING / HORECAF / GILLES DEVENDEVILLE</t>
  </si>
  <si>
    <t xml:space="preserve">AUD 0009</t>
  </si>
  <si>
    <t xml:space="preserve">Honoraires Juridiques et Fiscaux</t>
  </si>
  <si>
    <t xml:space="preserve">KSK / MONDON / CHAUVEAU</t>
  </si>
  <si>
    <t xml:space="preserve">FFI 0003</t>
  </si>
  <si>
    <t xml:space="preserve">Frais intercalaires</t>
  </si>
  <si>
    <t xml:space="preserve">FFI 0004</t>
  </si>
  <si>
    <t xml:space="preserve">Commissions d'engagement</t>
  </si>
  <si>
    <t xml:space="preserve">Nov. 2026</t>
  </si>
  <si>
    <t xml:space="preserve">BCC 0008</t>
  </si>
  <si>
    <t xml:space="preserve">Travaux aménagements preneurs</t>
  </si>
  <si>
    <t xml:space="preserve">BCC 0026</t>
  </si>
  <si>
    <t xml:space="preserve">10 CLIMATISATION / VENTILATION / DESENFUMAGE</t>
  </si>
  <si>
    <t xml:space="preserve">BCC 0027</t>
  </si>
  <si>
    <t xml:space="preserve">11 PLOMBERIE / RIA</t>
  </si>
  <si>
    <t xml:space="preserve">BCC 0028</t>
  </si>
  <si>
    <t xml:space="preserve">12 REVETEMENTS DURS &amp; SOUPLES</t>
  </si>
  <si>
    <t xml:space="preserve">BCC 0029</t>
  </si>
  <si>
    <t xml:space="preserve">13 FP &amp; CLOISONNEMENT</t>
  </si>
  <si>
    <t xml:space="preserve">BCC 0030</t>
  </si>
  <si>
    <t xml:space="preserve">14 PEINTURE</t>
  </si>
  <si>
    <t xml:space="preserve">MAZARS/DWF</t>
  </si>
  <si>
    <t xml:space="preserve">Honoraires de vente</t>
  </si>
  <si>
    <t xml:space="preserve">HOV 0004</t>
  </si>
  <si>
    <t xml:space="preserve">Fonds de concours</t>
  </si>
  <si>
    <t xml:space="preserve">HOV 0005</t>
  </si>
  <si>
    <t xml:space="preserve">FF&amp;E RT</t>
  </si>
  <si>
    <t xml:space="preserve">IFC/PROPARCO</t>
  </si>
  <si>
    <t xml:space="preserve">BCC 0010</t>
  </si>
  <si>
    <t xml:space="preserve">Exonérations Douanières</t>
  </si>
  <si>
    <t xml:space="preserve">AUD 0005</t>
  </si>
  <si>
    <t xml:space="preserve">Dossier Cdac / Et.Marché</t>
  </si>
  <si>
    <t xml:space="preserve">DEFINA AFRICA / SOLUTION RETAIL / NAWA REAL ESTATE/</t>
  </si>
  <si>
    <t xml:space="preserve">Fournisseurs projets (ancien reporting)</t>
  </si>
  <si>
    <t xml:space="preserve">FOURNISSEURS-PROJETS NP</t>
  </si>
  <si>
    <t xml:space="preserve">FOURNISSEURS-PROJETS RP</t>
  </si>
  <si>
    <t xml:space="preserve">Position de trésorerie CI – soldes bancaires au 30/09/2026</t>
  </si>
  <si>
    <t xml:space="preserve">Banque</t>
  </si>
  <si>
    <t xml:space="preserve">Compte</t>
  </si>
  <si>
    <t xml:space="preserve">Bloc du reporting</t>
  </si>
  <si>
    <t xml:space="preserve">Solde FCFA au 30/09</t>
  </si>
  <si>
    <t xml:space="preserve">Solde €</t>
  </si>
  <si>
    <t xml:space="preserve">Clé</t>
  </si>
  <si>
    <t xml:space="preserve">Source (cellule)</t>
  </si>
  <si>
    <t xml:space="preserve">SOCIETE GENERALE</t>
  </si>
  <si>
    <t xml:space="preserve">SOCIETE GENERALE-PICI</t>
  </si>
  <si>
    <t xml:space="preserve">Compte de société</t>
  </si>
  <si>
    <t xml:space="preserve">CIV position › H5</t>
  </si>
  <si>
    <t xml:space="preserve">STANBIC-PICI</t>
  </si>
  <si>
    <t xml:space="preserve">CIV position › H6</t>
  </si>
  <si>
    <t xml:space="preserve">ECOBANK</t>
  </si>
  <si>
    <t xml:space="preserve">ECOBANK-PICI</t>
  </si>
  <si>
    <t xml:space="preserve">CIV position › H7</t>
  </si>
  <si>
    <t xml:space="preserve">SOCIETE GENERALE-FIRST</t>
  </si>
  <si>
    <t xml:space="preserve">CIV position › H9</t>
  </si>
  <si>
    <t xml:space="preserve">STANBIC-FIRST</t>
  </si>
  <si>
    <t xml:space="preserve">CIV position › H10</t>
  </si>
  <si>
    <t xml:space="preserve">Compte dédié</t>
  </si>
  <si>
    <t xml:space="preserve">CIV position › H11</t>
  </si>
  <si>
    <t xml:space="preserve">CIV position › H12</t>
  </si>
  <si>
    <t xml:space="preserve">CIV position › H13</t>
  </si>
  <si>
    <t xml:space="preserve">SOCIETE GENERALE-TERASSON</t>
  </si>
  <si>
    <t xml:space="preserve">CIV position › H15</t>
  </si>
  <si>
    <t xml:space="preserve">ECOBANK -TERASSON</t>
  </si>
  <si>
    <t xml:space="preserve">CIV position › H16</t>
  </si>
  <si>
    <t xml:space="preserve">STANBIC-TERASSON</t>
  </si>
  <si>
    <t xml:space="preserve">CIV position › H17</t>
  </si>
  <si>
    <t xml:space="preserve">SOCIETE GENERALE-RIVIERA</t>
  </si>
  <si>
    <t xml:space="preserve">CIV position › H19</t>
  </si>
  <si>
    <t xml:space="preserve">BNI</t>
  </si>
  <si>
    <t xml:space="preserve">BNI-RIVIERA(Courant)</t>
  </si>
  <si>
    <t xml:space="preserve">CIV position › H20</t>
  </si>
  <si>
    <t xml:space="preserve">BNI-RIVIERA(Augmentation)</t>
  </si>
  <si>
    <t xml:space="preserve">CIV position › H21</t>
  </si>
  <si>
    <t xml:space="preserve">BANK OF AFRICA</t>
  </si>
  <si>
    <t xml:space="preserve">BANK OF AFRICA-SCO AO</t>
  </si>
  <si>
    <t xml:space="preserve">CIV position › H23</t>
  </si>
  <si>
    <t xml:space="preserve">BANQUE ATLANTIQUE</t>
  </si>
  <si>
    <t xml:space="preserve">BACI-CompteCourant</t>
  </si>
  <si>
    <t xml:space="preserve">CIV position › H24</t>
  </si>
  <si>
    <t xml:space="preserve">BACI-Projet</t>
  </si>
  <si>
    <t xml:space="preserve">CIV position › H25</t>
  </si>
  <si>
    <t xml:space="preserve">BACI-AGORA</t>
  </si>
  <si>
    <t xml:space="preserve">CIV position › H26</t>
  </si>
  <si>
    <t xml:space="preserve">ECOBANK - SCO AO</t>
  </si>
  <si>
    <t xml:space="preserve">CIV position › H27</t>
  </si>
  <si>
    <t xml:space="preserve">SOCIETE GENERALE-FINAFRICA</t>
  </si>
  <si>
    <t xml:space="preserve">CIV position › H29</t>
  </si>
  <si>
    <t xml:space="preserve">ECOBANK-FINAFRICA</t>
  </si>
  <si>
    <t xml:space="preserve">CIV position › H30</t>
  </si>
  <si>
    <t xml:space="preserve">SOCIETE GENERALE-AB CENTER</t>
  </si>
  <si>
    <t xml:space="preserve">CIV position › H32</t>
  </si>
  <si>
    <t xml:space="preserve">ECOBANK- AB CENTER</t>
  </si>
  <si>
    <t xml:space="preserve">CIV position › H33</t>
  </si>
  <si>
    <t xml:space="preserve">SOCIETE GENERALE-IMMONEUF</t>
  </si>
  <si>
    <t xml:space="preserve">CIV position › H35</t>
  </si>
  <si>
    <t xml:space="preserve">ECOBANK-IMMONEUF</t>
  </si>
  <si>
    <t xml:space="preserve">CIV position › H36</t>
  </si>
  <si>
    <t xml:space="preserve">BACI - IMMONEUF</t>
  </si>
  <si>
    <t xml:space="preserve">CIV position › H37</t>
  </si>
  <si>
    <t xml:space="preserve">SIB</t>
  </si>
  <si>
    <t xml:space="preserve">INFI SOFT - SIB</t>
  </si>
  <si>
    <t xml:space="preserve">CIV position › H39</t>
  </si>
  <si>
    <t xml:space="preserve">SOCIETE GENERALE-ODALYS</t>
  </si>
  <si>
    <t xml:space="preserve">CIV position › H41</t>
  </si>
  <si>
    <t xml:space="preserve">Dédié paiement CPI</t>
  </si>
  <si>
    <t xml:space="preserve">CIV position › H46</t>
  </si>
  <si>
    <t xml:space="preserve">CIV position › H47</t>
  </si>
  <si>
    <t xml:space="preserve">CIV position › H48</t>
  </si>
  <si>
    <t xml:space="preserve">CIV position › H49</t>
  </si>
  <si>
    <t xml:space="preserve">TOTAL</t>
  </si>
  <si>
    <t xml:space="preserve">Contrôles de cohérence entre les sources et le reporting</t>
  </si>
  <si>
    <t xml:space="preserve">1. Soldes bancaires au 30/09/2026 (FCFA)</t>
  </si>
  <si>
    <t xml:space="preserve">Contrôle</t>
  </si>
  <si>
    <t xml:space="preserve">Reporting</t>
  </si>
  <si>
    <t xml:space="preserve">Source</t>
  </si>
  <si>
    <t xml:space="preserve">Écart</t>
  </si>
  <si>
    <t xml:space="preserve">Commentaire</t>
  </si>
  <si>
    <t xml:space="preserve">Total comptes de sociétés + comptes dédiés</t>
  </si>
  <si>
    <t xml:space="preserve">Somme de toutes les lignes bancaires de la feuille « CIV position ».</t>
  </si>
  <si>
    <t xml:space="preserve">Position CI – total hors projets (H44) + projets (H50) + comptes FIRST DSR/LL/décaissement (H11:H13)</t>
  </si>
  <si>
    <t xml:space="preserve">Valeurs de la position (CIV position H44, H50, H11, H12, H13). Les comptes FIRST DSR/LL/décaissement sont isolés en comptes dédiés.</t>
  </si>
  <si>
    <t xml:space="preserve">2. Fournisseurs de fonctionnement retenus vs périmètre de l'audit (feuille CTRL, « Grand Total » Recap)</t>
  </si>
  <si>
    <t xml:space="preserve">Reporting (retenu, S1 à après S5)</t>
  </si>
  <si>
    <t xml:space="preserve">Audit CTRL</t>
  </si>
  <si>
    <t xml:space="preserve">Audit Décaissement fournisseurs RCI 300926.xlsx › CTRL › C2</t>
  </si>
  <si>
    <t xml:space="preserve">Audit Décaissement fournisseurs RCI 300926.xlsx › CTRL › I2</t>
  </si>
  <si>
    <t xml:space="preserve">Audit Décaissement fournisseurs RCI 300926.xlsx › CTRL › O2</t>
  </si>
  <si>
    <t xml:space="preserve">Audit Décaissement fournisseurs RCI 300926.xlsx › CTRL › U2</t>
  </si>
  <si>
    <t xml:space="preserve">Audit Décaissement fournisseurs RCI 300926.xlsx › CTRL › AA2</t>
  </si>
  <si>
    <t xml:space="preserve">Audit Décaissement fournisseurs RCI 300926.xlsx › CTRL › AG2</t>
  </si>
  <si>
    <t xml:space="preserve">Audit Décaissement fournisseurs RCI 300926.xlsx › CTRL › AM2</t>
  </si>
  <si>
    <t xml:space="preserve">Audit Décaissement fournisseurs RCI 300926.xlsx › CTRL › AS2</t>
  </si>
  <si>
    <t xml:space="preserve">3. Projets : cash plans des bilans financiers (€ HT, montants non réglés)</t>
  </si>
  <si>
    <t xml:space="preserve">Projet / période</t>
  </si>
  <si>
    <t xml:space="preserve">Reporting (détail)</t>
  </si>
  <si>
    <t xml:space="preserve">Bilan financier</t>
  </si>
  <si>
    <t xml:space="preserve">RIVIERA – antériorités + octobre 2026 → S1 à S4</t>
  </si>
  <si>
    <t xml:space="preserve">Bilan financier : cellules en vert (« Montant à étaler ») jusqu'à sept. 2026 + ligne TOTAL d'octobre 2026</t>
  </si>
  <si>
    <t xml:space="preserve">   dont octobre 2026 (bilan)</t>
  </si>
  <si>
    <t xml:space="preserve">2026-10-02_RIVIERA_Bilan financier.xlsm › Marchés et Depenses HT › DE102 (ligne TOTAL)</t>
  </si>
  <si>
    <t xml:space="preserve">RIVIERA – novembre 2026 (information)</t>
  </si>
  <si>
    <t xml:space="preserve">2026-10-02_RIVIERA_Bilan financier.xlsm › Marchés et Depenses HT › DF102 (ligne TOTAL)</t>
  </si>
  <si>
    <t xml:space="preserve">TERASSON – antériorités + octobre 2026 → S1 à S4</t>
  </si>
  <si>
    <t xml:space="preserve">2026-10-02_Village notre père_Bilan financier.xlsm › Marchés et Depenses HT › CO108 (ligne TOTAL)</t>
  </si>
  <si>
    <t xml:space="preserve">TERASSON – novembre 2026 (information)</t>
  </si>
  <si>
    <t xml:space="preserve">2026-10-02_Village notre père_Bilan financier.xlsm › Marchés et Depenses HT › CP108 (ligne TOTAL)</t>
  </si>
  <si>
    <t xml:space="preserve">4. Pour mémoire : cash plan hebdomadaire « PICI Projets » de l'audit (€ TTC, octobre 2026)</t>
  </si>
  <si>
    <t xml:space="preserve">Projet</t>
  </si>
  <si>
    <t xml:space="preserve">Sem. du 05/10</t>
  </si>
  <si>
    <t xml:space="preserve">Sem. du 12/10</t>
  </si>
  <si>
    <t xml:space="preserve">Sem. du 19/10</t>
  </si>
  <si>
    <t xml:space="preserve">Sem. du 26/10</t>
  </si>
  <si>
    <t xml:space="preserve">Total octobre</t>
  </si>
  <si>
    <t xml:space="preserve">Bilans (€ HT) octobre</t>
  </si>
  <si>
    <t xml:space="preserve">Audit Décaissement fournisseurs RCI 300926.xlsx › PICI Projets › colonnes P à S</t>
  </si>
  <si>
    <t xml:space="preserve">5. Lignes non retenues (Retenu = N) – à revoir</t>
  </si>
  <si>
    <t xml:space="preserve">Motif</t>
  </si>
  <si>
    <t xml:space="preserve">Nombre de lignes</t>
  </si>
  <si>
    <t xml:space="preserve">Feuille</t>
  </si>
  <si>
    <t xml:space="preserve">Intragroupe CI</t>
  </si>
  <si>
    <t xml:space="preserve">Détail fonctionnement</t>
  </si>
  <si>
    <t xml:space="preserve">Intragroupe</t>
  </si>
  <si>
    <t xml:space="preserve">Semaine du 21/09 au 27/09, antérieure aux soldes du 30/09 : présumée réglée. Saisir O si encore due</t>
  </si>
  <si>
    <t xml:space="preserve">Remplacé par les cash plans des bilans financiers du 02/10</t>
  </si>
  <si>
    <t xml:space="preserve">Détail projets &amp; dettes</t>
  </si>
  <si>
    <t xml:space="preserve">Remplacé par la balance âgée de l'audit au 30/09</t>
  </si>
  <si>
    <t xml:space="preserve">Semaine antérieure aux soldes du 30/09 : présumée réglée – saisir O si encore due</t>
  </si>
  <si>
    <t xml:space="preserve">Intragroupe France</t>
  </si>
  <si>
    <t xml:space="preserve">Non retenu par l'audit</t>
  </si>
  <si>
    <t xml:space="preserve">Doublon de la ligne 95 du reporting du 21/09</t>
  </si>
  <si>
    <t xml:space="preserve">Non retenu par l'audit : factures payées par la France</t>
  </si>
  <si>
    <t xml:space="preserve">Non retenu par l'audit : absent du total actuel de la balance</t>
  </si>
  <si>
    <t xml:space="preserve">Méthode, règles de semaine et sources</t>
  </si>
  <si>
    <t xml:space="preserve">Sources</t>
  </si>
  <si>
    <t xml:space="preserve">Soldes bancaires</t>
  </si>
  <si>
    <t xml:space="preserve">Position CI - 01_10_2026.xlsx – feuille « CIV position », soldes au 30/09/2026 (FCFA). Les comptes « Dédié paiement CPI », DSRA, TVA bloquée AGORA et les comptes FIRST Debt Service / LL / Décaissement forment le bloc « Comptes dédiés ».</t>
  </si>
  <si>
    <t xml:space="preserve">Fournisseurs de fonctionnement</t>
  </si>
  <si>
    <t xml:space="preserve">Audit Décaissement fournisseurs RCI 300926.xlsx – balances âgées par entité (feuilles « … ok »), colonnes par semaine (H = échu au 30/09 et semaine du 28/09 au 04/10, I = 05/10–11/10, J = 12/10–18/10, K = 19/10–25/10, L = 26/10–01/11). Périmètre identique à la feuille CTRL de l'audit (intragroupe et lignes non retenues exclues, voir colonne « Retenu » = N).</t>
  </si>
  <si>
    <t xml:space="preserve">Impôts, charges sociales, salaires, SCO AO, prêts FIRST</t>
  </si>
  <si>
    <t xml:space="preserve">Reporting Hebdo CIV 2VF.xlsx – feuille « Reporting Hebdo » (prévisions saisies par la trésorerie). Ces éléments ne figurent dans aucune autre source fournie.</t>
  </si>
  <si>
    <t xml:space="preserve">Projets (Village Notre Père = TERASSON, Riviera Park = RIVIERA)</t>
  </si>
  <si>
    <t xml:space="preserve">Bilans financiers du 02/10/2026 – feuille « Marchés et Depenses HT », colonnes mensuelles en € HT. Statut lu sur la couleur de police (convention du fichier, ligne 5) : bleu = « Total facturé » (réglé), rouge = FNP, vert = « Montant à étaler » (à décaisser).</t>
  </si>
  <si>
    <t xml:space="preserve">Cash plan hebdomadaire projets</t>
  </si>
  <si>
    <t xml:space="preserve">Audit Décaissement fournisseurs RCI 300926.xlsx – feuille « PICI Projets » (€ TTC, par semaine) : sert uniquement à situer dans la semaine les paiements d'octobre.</t>
  </si>
  <si>
    <t xml:space="preserve">Règles de semaine</t>
  </si>
  <si>
    <t xml:space="preserve">S1 = 05/10 au 11/10</t>
  </si>
  <si>
    <t xml:space="preserve">Fonctionnement : toutes les antériorités (échu au 30/09, semaine du 28/09 au 04/10) + échéances de la semaine. Projets : toutes les antériorités (montants en vert jusqu'à septembre 2026, non réglés) + paiements d'octobre identifiés en S1.</t>
  </si>
  <si>
    <t xml:space="preserve">S2 = 12/10 au 18/10</t>
  </si>
  <si>
    <t xml:space="preserve">Fonctionnement : semaine concernée. Projets : paiements d'octobre dont la semaine n'est pas identifiée dans PICI Projets.</t>
  </si>
  <si>
    <t xml:space="preserve">S3, S4, S5</t>
  </si>
  <si>
    <t xml:space="preserve">Semaines concernées (19/10–25/10, 26/10–01/11, 02/11–08/11). Les cash plans de novembre sont affichés pour information, hors soldes.</t>
  </si>
  <si>
    <t xml:space="preserve">Rapprochement octobre</t>
  </si>
  <si>
    <t xml:space="preserve">Une ligne de bilan est rattachée à une semaine si son entreprise figure dans PICI Projets (même projet) avec un paiement en octobre (ex. ZUO, SCO, MAP/ARCHICONCEPT, UNISERV) ; le montant du bilan est réparti au prorata des semaines PICI Projets.</t>
  </si>
  <si>
    <t xml:space="preserve">Conventions</t>
  </si>
  <si>
    <t xml:space="preserve">Signes</t>
  </si>
  <si>
    <t xml:space="preserve">Décaissements en négatif, encaissements en positif. Solde théorique = solde de la semaine précédente + prévisions de la semaine.</t>
  </si>
  <si>
    <t xml:space="preserve">Devise</t>
  </si>
  <si>
    <t xml:space="preserve">Taux fixe 655,957 FCFA / € (cellule E3 de « Reporting Hebdo »). Projets en € HT (TVA non incluse, comme les montants communiqués par la Direction de programme).</t>
  </si>
  <si>
    <t xml:space="preserve">Colonnes « Retenu »</t>
  </si>
  <si>
    <t xml:space="preserve">O = intégré au reporting ; N = conservé pour traçabilité (intragroupe, doublon, remplacé par une source plus récente, semaine antérieure au 30/09). Passer une ligne à O l'intègre automatiquement.</t>
  </si>
  <si>
    <t xml:space="preserve">Réel</t>
  </si>
  <si>
    <t xml:space="preserve">Saisir le réalisé FCFA dans la colonne « Montant réel FCFA » du bloc des prévisions : l'écart se calcule automatiquement.</t>
  </si>
  <si>
    <t xml:space="preserve">Points à valider</t>
  </si>
  <si>
    <t xml:space="preserve">PICI – remboursement avance C/C FINAFRICA</t>
  </si>
  <si>
    <t xml:space="preserve">+655 957 000 FCFA (1 M€) repris du reporting du 21/09 (S2) comme encaissement en S1 : à confirmer.</t>
  </si>
  <si>
    <t xml:space="preserve">Lignes de la semaine du 21/09 au 27/09</t>
  </si>
  <si>
    <t xml:space="preserve">Impôts (PICI 137 M, TERASSON 290 M, FINAFRICA 119 M…), enregistrements RIVIERA / TERASSON (811 M / 861 M) : présumés réglés, non repris (Retenu = N). À passer en O s'ils restent dus.</t>
  </si>
  <si>
    <t xml:space="preserve">Due diligence Village Notre Père</t>
  </si>
  <si>
    <t xml:space="preserve">AUD 0012 « Autres frais financiers (frais de due diligence) » : 1 255 555 € HT en antériorité (S1).</t>
  </si>
  <si>
    <t xml:space="preserve">INFI SOFT, RHD CI</t>
  </si>
  <si>
    <t xml:space="preserve">Pas de balance fournisseurs exploitable (INFI SOFT : feuille masquée « à ne pas payer », données de 2025). RHD CI n'a pas de compte bancaire dans la position.</t>
  </si>
  <si>
    <t xml:space="preserve">Salaires d'octobre</t>
  </si>
  <si>
    <t xml:space="preserve">Aucune source fournie pour les salaires de fin octobre (hors SCO AO) : à ajouter dans « Détail fonctionnement » si besoin.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</si>
</sst>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0.000"/>
    <numFmt numFmtId="167" formatCode="[$-40C]d\-mmm;@"/>
    <numFmt numFmtId="168" formatCode="#,##0"/>
    <numFmt numFmtId="169" formatCode="0"/>
    <numFmt numFmtId="170" formatCode="#,##0;[RED]\-#,##0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alibri"/>
      <family val="0"/>
      <charset val="1"/>
    </font>
    <font>
      <b val="true"/>
      <sz val="14"/>
      <color theme="1"/>
      <name val="Calibri"/>
      <family val="0"/>
      <charset val="1"/>
    </font>
    <font>
      <b val="true"/>
      <sz val="10"/>
      <color theme="1"/>
      <name val="Calibri"/>
      <family val="0"/>
      <charset val="1"/>
    </font>
    <font>
      <i val="true"/>
      <sz val="10"/>
      <color theme="1"/>
      <name val="Calibri"/>
      <family val="0"/>
      <charset val="1"/>
    </font>
    <font>
      <b val="true"/>
      <i val="true"/>
      <sz val="11"/>
      <color theme="1"/>
      <name val="Calibri"/>
      <family val="0"/>
      <charset val="1"/>
    </font>
    <font>
      <sz val="10"/>
      <color theme="0"/>
      <name val="Calibri"/>
      <family val="0"/>
      <charset val="1"/>
    </font>
    <font>
      <sz val="10"/>
      <color rgb="FF00B050"/>
      <name val="Calibri"/>
      <family val="0"/>
      <charset val="1"/>
    </font>
    <font>
      <sz val="8"/>
      <color theme="1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theme="0"/>
      <name val="Calibri"/>
      <family val="0"/>
      <charset val="1"/>
    </font>
    <font>
      <sz val="10"/>
      <color theme="0" tint="-0.5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theme="4" tint="0.5999"/>
        <bgColor rgb="FFBFBFBF"/>
      </patternFill>
    </fill>
    <fill>
      <patternFill patternType="solid">
        <fgColor theme="6"/>
        <bgColor rgb="FF969696"/>
      </patternFill>
    </fill>
    <fill>
      <patternFill patternType="solid">
        <fgColor theme="5" tint="0.7999"/>
        <bgColor rgb="FFFFFFCC"/>
      </patternFill>
    </fill>
    <fill>
      <patternFill patternType="solid">
        <fgColor theme="5" tint="0.3999"/>
        <bgColor rgb="FFFF99CC"/>
      </patternFill>
    </fill>
    <fill>
      <patternFill patternType="solid">
        <fgColor theme="1"/>
        <bgColor rgb="FF003300"/>
      </patternFill>
    </fill>
    <fill>
      <patternFill patternType="solid">
        <fgColor theme="0"/>
        <bgColor rgb="FFFFFFCC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>
        <color rgb="FFBFBFBF"/>
      </right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7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7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8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B9CD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0808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D99694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2DCDB"/>
      <rgbColor rgb="FF3366FF"/>
      <rgbColor rgb="FF33CCCC"/>
      <rgbColor rgb="FF9BBB59"/>
      <rgbColor rgb="FFFFCC00"/>
      <rgbColor rgb="FFFF9900"/>
      <rgbColor rgb="FFFF6600"/>
      <rgbColor rgb="FF666699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63"/>
  <sheetViews>
    <sheetView showFormulas="false" showGridLines="false" showRowColHeaders="true" showZeros="true" rightToLeft="false" tabSelected="true" showOutlineSymbols="true" defaultGridColor="true" view="normal" topLeftCell="C1" colorId="64" zoomScale="90" zoomScaleNormal="90" zoomScalePageLayoutView="100" workbookViewId="0">
      <pane xSplit="0" ySplit="10" topLeftCell="A11" activePane="bottomLeft" state="frozen"/>
      <selection pane="topLeft" activeCell="C1" activeCellId="0" sqref="C1"/>
      <selection pane="bottomLeft" activeCell="N11" activeCellId="0" sqref="N1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7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11" min="6" style="0" width="11.5"/>
    <col collapsed="false" customWidth="true" hidden="false" outlineLevel="0" max="12" min="12" style="0" width="1.5"/>
    <col collapsed="false" customWidth="true" hidden="false" outlineLevel="0" max="23" min="13" style="0" width="15.5"/>
    <col collapsed="false" customWidth="true" hidden="false" outlineLevel="0" max="24" min="24" style="0" width="2"/>
    <col collapsed="false" customWidth="true" hidden="false" outlineLevel="0" max="25" min="25" style="0" width="47"/>
  </cols>
  <sheetData>
    <row r="1" customFormat="false" ht="18" hidden="false" customHeight="true" outlineLevel="0" collapsed="false">
      <c r="A1" s="1"/>
      <c r="B1" s="1"/>
      <c r="C1" s="1"/>
      <c r="D1" s="2" t="s">
        <v>0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15" hidden="false" customHeight="true" outlineLevel="0" collapsed="false">
      <c r="A2" s="1"/>
      <c r="B2" s="1"/>
      <c r="C2" s="3" t="s">
        <v>1</v>
      </c>
      <c r="D2" s="1"/>
      <c r="E2" s="4" t="n">
        <v>46295</v>
      </c>
      <c r="F2" s="1"/>
      <c r="G2" s="1"/>
      <c r="H2" s="1"/>
      <c r="I2" s="1"/>
      <c r="J2" s="1"/>
      <c r="K2" s="1"/>
      <c r="L2" s="1"/>
      <c r="M2" s="5" t="s">
        <v>2</v>
      </c>
      <c r="N2" s="6" t="s">
        <v>3</v>
      </c>
      <c r="O2" s="6"/>
      <c r="P2" s="6" t="s">
        <v>4</v>
      </c>
      <c r="Q2" s="6"/>
      <c r="R2" s="6" t="s">
        <v>5</v>
      </c>
      <c r="S2" s="6"/>
      <c r="T2" s="6" t="s">
        <v>6</v>
      </c>
      <c r="U2" s="6"/>
      <c r="V2" s="6" t="s">
        <v>7</v>
      </c>
      <c r="W2" s="6"/>
      <c r="X2" s="1"/>
      <c r="Y2" s="7"/>
    </row>
    <row r="3" customFormat="false" ht="14.25" hidden="false" customHeight="false" outlineLevel="0" collapsed="false">
      <c r="A3" s="1"/>
      <c r="B3" s="1"/>
      <c r="C3" s="3" t="s">
        <v>8</v>
      </c>
      <c r="D3" s="1"/>
      <c r="E3" s="8" t="n">
        <v>655.957</v>
      </c>
      <c r="F3" s="1"/>
      <c r="G3" s="1"/>
      <c r="H3" s="1"/>
      <c r="I3" s="1"/>
      <c r="J3" s="1"/>
      <c r="K3" s="1"/>
      <c r="L3" s="1"/>
      <c r="M3" s="5" t="s">
        <v>9</v>
      </c>
      <c r="N3" s="9" t="n">
        <v>46300</v>
      </c>
      <c r="O3" s="9"/>
      <c r="P3" s="9" t="n">
        <f aca="false">N3+7</f>
        <v>46307</v>
      </c>
      <c r="Q3" s="9"/>
      <c r="R3" s="9" t="n">
        <f aca="false">P3+7</f>
        <v>46314</v>
      </c>
      <c r="S3" s="9"/>
      <c r="T3" s="9" t="n">
        <f aca="false">R3+7</f>
        <v>46321</v>
      </c>
      <c r="U3" s="9"/>
      <c r="V3" s="9" t="n">
        <f aca="false">T3+7</f>
        <v>46328</v>
      </c>
      <c r="W3" s="9"/>
      <c r="X3" s="1"/>
      <c r="Y3" s="7"/>
    </row>
    <row r="4" customFormat="false" ht="14.25" hidden="false" customHeight="false" outlineLevel="0" collapsed="false">
      <c r="A4" s="1"/>
      <c r="B4" s="1"/>
      <c r="C4" s="3" t="s">
        <v>10</v>
      </c>
      <c r="D4" s="1"/>
      <c r="E4" s="4" t="n">
        <v>46297</v>
      </c>
      <c r="F4" s="1"/>
      <c r="G4" s="1"/>
      <c r="H4" s="1"/>
      <c r="I4" s="1"/>
      <c r="J4" s="1"/>
      <c r="K4" s="1"/>
      <c r="L4" s="1"/>
      <c r="M4" s="5" t="s">
        <v>11</v>
      </c>
      <c r="N4" s="10" t="n">
        <f aca="false">N3+6</f>
        <v>46306</v>
      </c>
      <c r="O4" s="10"/>
      <c r="P4" s="10" t="n">
        <f aca="false">P3+6</f>
        <v>46313</v>
      </c>
      <c r="Q4" s="10"/>
      <c r="R4" s="10" t="n">
        <f aca="false">R3+6</f>
        <v>46320</v>
      </c>
      <c r="S4" s="10"/>
      <c r="T4" s="10" t="n">
        <f aca="false">T3+6</f>
        <v>46327</v>
      </c>
      <c r="U4" s="10"/>
      <c r="V4" s="10" t="n">
        <f aca="false">V3+6</f>
        <v>46334</v>
      </c>
      <c r="W4" s="10"/>
      <c r="X4" s="1"/>
      <c r="Y4" s="7"/>
    </row>
    <row r="5" customFormat="false" ht="14.2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customFormat="false" ht="14.25" hidden="false" customHeight="false" outlineLevel="0" collapsed="false">
      <c r="A6" s="1"/>
      <c r="B6" s="1"/>
      <c r="C6" s="3" t="s">
        <v>12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customFormat="false" ht="14.25" hidden="false" customHeight="false" outlineLevel="0" collapsed="false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customFormat="false" ht="15" hidden="false" customHeight="true" outlineLevel="0" collapsed="false">
      <c r="A8" s="1"/>
      <c r="B8" s="1"/>
      <c r="C8" s="1"/>
      <c r="D8" s="1"/>
      <c r="E8" s="1"/>
      <c r="F8" s="11" t="s">
        <v>13</v>
      </c>
      <c r="G8" s="12" t="s">
        <v>3</v>
      </c>
      <c r="H8" s="12" t="s">
        <v>4</v>
      </c>
      <c r="I8" s="12" t="s">
        <v>5</v>
      </c>
      <c r="J8" s="12" t="s">
        <v>6</v>
      </c>
      <c r="K8" s="12" t="s">
        <v>7</v>
      </c>
      <c r="L8" s="1"/>
      <c r="M8" s="11" t="s">
        <v>14</v>
      </c>
      <c r="N8" s="13" t="s">
        <v>3</v>
      </c>
      <c r="O8" s="13"/>
      <c r="P8" s="13" t="s">
        <v>4</v>
      </c>
      <c r="Q8" s="13"/>
      <c r="R8" s="13" t="s">
        <v>5</v>
      </c>
      <c r="S8" s="13"/>
      <c r="T8" s="13" t="s">
        <v>6</v>
      </c>
      <c r="U8" s="13"/>
      <c r="V8" s="13" t="s">
        <v>7</v>
      </c>
      <c r="W8" s="13"/>
      <c r="X8" s="1"/>
      <c r="Y8" s="1"/>
    </row>
    <row r="9" customFormat="false" ht="28.5" hidden="false" customHeight="true" outlineLevel="0" collapsed="false">
      <c r="A9" s="1"/>
      <c r="B9" s="1"/>
      <c r="C9" s="14" t="s">
        <v>15</v>
      </c>
      <c r="D9" s="14" t="s">
        <v>16</v>
      </c>
      <c r="E9" s="1"/>
      <c r="F9" s="15" t="n">
        <f aca="false">$E$2</f>
        <v>46295</v>
      </c>
      <c r="G9" s="15" t="n">
        <f aca="false">N4</f>
        <v>46306</v>
      </c>
      <c r="H9" s="15" t="n">
        <f aca="false">P4</f>
        <v>46313</v>
      </c>
      <c r="I9" s="15" t="n">
        <f aca="false">R4</f>
        <v>46320</v>
      </c>
      <c r="J9" s="15" t="n">
        <f aca="false">T4</f>
        <v>46327</v>
      </c>
      <c r="K9" s="15" t="n">
        <f aca="false">V4</f>
        <v>46334</v>
      </c>
      <c r="L9" s="1"/>
      <c r="M9" s="16" t="n">
        <f aca="false">$E$2</f>
        <v>46295</v>
      </c>
      <c r="N9" s="17" t="n">
        <f aca="false">N3</f>
        <v>46300</v>
      </c>
      <c r="O9" s="18" t="n">
        <f aca="false">N4</f>
        <v>46306</v>
      </c>
      <c r="P9" s="17" t="n">
        <f aca="false">P3</f>
        <v>46307</v>
      </c>
      <c r="Q9" s="18" t="n">
        <f aca="false">P4</f>
        <v>46313</v>
      </c>
      <c r="R9" s="17" t="n">
        <f aca="false">R3</f>
        <v>46314</v>
      </c>
      <c r="S9" s="18" t="n">
        <f aca="false">R4</f>
        <v>46320</v>
      </c>
      <c r="T9" s="17" t="n">
        <f aca="false">T3</f>
        <v>46321</v>
      </c>
      <c r="U9" s="18" t="n">
        <f aca="false">T4</f>
        <v>46327</v>
      </c>
      <c r="V9" s="17" t="n">
        <f aca="false">V3</f>
        <v>46328</v>
      </c>
      <c r="W9" s="18" t="n">
        <f aca="false">V4</f>
        <v>46334</v>
      </c>
      <c r="X9" s="1"/>
      <c r="Y9" s="19" t="s">
        <v>17</v>
      </c>
    </row>
    <row r="10" customFormat="false" ht="28.5" hidden="false" customHeight="true" outlineLevel="0" collapsed="false">
      <c r="A10" s="1"/>
      <c r="B10" s="1"/>
      <c r="C10" s="20"/>
      <c r="D10" s="20"/>
      <c r="E10" s="1"/>
      <c r="F10" s="21" t="s">
        <v>18</v>
      </c>
      <c r="G10" s="21" t="s">
        <v>19</v>
      </c>
      <c r="H10" s="21" t="s">
        <v>19</v>
      </c>
      <c r="I10" s="21" t="s">
        <v>19</v>
      </c>
      <c r="J10" s="21" t="s">
        <v>19</v>
      </c>
      <c r="K10" s="21" t="s">
        <v>19</v>
      </c>
      <c r="L10" s="1"/>
      <c r="M10" s="22" t="s">
        <v>18</v>
      </c>
      <c r="N10" s="23" t="s">
        <v>20</v>
      </c>
      <c r="O10" s="24" t="s">
        <v>19</v>
      </c>
      <c r="P10" s="23" t="s">
        <v>20</v>
      </c>
      <c r="Q10" s="24" t="s">
        <v>19</v>
      </c>
      <c r="R10" s="23" t="s">
        <v>20</v>
      </c>
      <c r="S10" s="24" t="s">
        <v>19</v>
      </c>
      <c r="T10" s="23" t="s">
        <v>20</v>
      </c>
      <c r="U10" s="24" t="s">
        <v>19</v>
      </c>
      <c r="V10" s="23" t="s">
        <v>20</v>
      </c>
      <c r="W10" s="24" t="s">
        <v>19</v>
      </c>
      <c r="X10" s="1"/>
      <c r="Y10" s="1"/>
    </row>
    <row r="11" customFormat="false" ht="14.25" hidden="false" customHeight="false" outlineLevel="0" collapsed="false">
      <c r="A11" s="25" t="s">
        <v>21</v>
      </c>
      <c r="B11" s="1"/>
      <c r="C11" s="26" t="s">
        <v>22</v>
      </c>
      <c r="D11" s="27"/>
      <c r="E11" s="28"/>
      <c r="F11" s="29" t="n">
        <f aca="false">M11/$E$3</f>
        <v>604562.419487863</v>
      </c>
      <c r="G11" s="29" t="n">
        <f aca="false">O11/$E$3</f>
        <v>1503782.00095433</v>
      </c>
      <c r="H11" s="29" t="n">
        <f aca="false">Q11/$E$3</f>
        <v>1503782.00095433</v>
      </c>
      <c r="I11" s="29" t="n">
        <f aca="false">S11/$E$3</f>
        <v>1503782.00095433</v>
      </c>
      <c r="J11" s="29" t="n">
        <f aca="false">U11/$E$3</f>
        <v>1503782.00095433</v>
      </c>
      <c r="K11" s="29" t="n">
        <f aca="false">W11/$E$3</f>
        <v>1503782.00095433</v>
      </c>
      <c r="L11" s="28"/>
      <c r="M11" s="29" t="n">
        <f aca="false">SUM(M12:M14)</f>
        <v>396566951</v>
      </c>
      <c r="N11" s="30" t="n">
        <f aca="false">SUMIFS('Détail fonctionnement'!$E$5:$E$463,'Détail fonctionnement'!$A$5:$A$463,N$2,'Détail fonctionnement'!$G$5:$G$463,"O",'Détail fonctionnement'!$B$5:$B$463,$A11)</f>
        <v>589849379</v>
      </c>
      <c r="O11" s="31" t="n">
        <f aca="false">M11+N11</f>
        <v>986416330</v>
      </c>
      <c r="P11" s="30" t="n">
        <f aca="false">SUMIFS('Détail fonctionnement'!$E$5:$E$463,'Détail fonctionnement'!$A$5:$A$463,P$2,'Détail fonctionnement'!$G$5:$G$463,"O",'Détail fonctionnement'!$B$5:$B$463,$A11)</f>
        <v>0</v>
      </c>
      <c r="Q11" s="31" t="n">
        <f aca="false">O11+P11</f>
        <v>986416330</v>
      </c>
      <c r="R11" s="30" t="n">
        <f aca="false">SUMIFS('Détail fonctionnement'!$E$5:$E$463,'Détail fonctionnement'!$A$5:$A$463,R$2,'Détail fonctionnement'!$G$5:$G$463,"O",'Détail fonctionnement'!$B$5:$B$463,$A11)</f>
        <v>0</v>
      </c>
      <c r="S11" s="31" t="n">
        <f aca="false">Q11+R11</f>
        <v>986416330</v>
      </c>
      <c r="T11" s="30" t="n">
        <f aca="false">SUMIFS('Détail fonctionnement'!$E$5:$E$463,'Détail fonctionnement'!$A$5:$A$463,T$2,'Détail fonctionnement'!$G$5:$G$463,"O",'Détail fonctionnement'!$B$5:$B$463,$A11)</f>
        <v>0</v>
      </c>
      <c r="U11" s="31" t="n">
        <f aca="false">S11+T11</f>
        <v>986416330</v>
      </c>
      <c r="V11" s="30" t="n">
        <f aca="false">SUMIFS('Détail fonctionnement'!$E$5:$E$463,'Détail fonctionnement'!$A$5:$A$463,V$2,'Détail fonctionnement'!$G$5:$G$463,"O",'Détail fonctionnement'!$B$5:$B$463,$A11)</f>
        <v>0</v>
      </c>
      <c r="W11" s="31" t="n">
        <f aca="false">U11+V11</f>
        <v>986416330</v>
      </c>
      <c r="X11" s="1"/>
      <c r="Y11" s="7"/>
    </row>
    <row r="12" customFormat="false" ht="14.25" hidden="false" customHeight="false" outlineLevel="0" collapsed="false">
      <c r="A12" s="1"/>
      <c r="B12" s="1"/>
      <c r="C12" s="32" t="s">
        <v>23</v>
      </c>
      <c r="D12" s="33" t="s">
        <v>24</v>
      </c>
      <c r="E12" s="1"/>
      <c r="F12" s="34" t="n">
        <f aca="false">M12/$E$3</f>
        <v>5458.82275819909</v>
      </c>
      <c r="G12" s="32"/>
      <c r="H12" s="32"/>
      <c r="I12" s="32"/>
      <c r="J12" s="32"/>
      <c r="K12" s="32"/>
      <c r="L12" s="1"/>
      <c r="M12" s="34" t="n">
        <f aca="false">'Position CI 30-09'!F5</f>
        <v>3580753</v>
      </c>
      <c r="N12" s="35"/>
      <c r="O12" s="36"/>
      <c r="P12" s="35"/>
      <c r="Q12" s="36"/>
      <c r="R12" s="35"/>
      <c r="S12" s="36"/>
      <c r="T12" s="35"/>
      <c r="U12" s="36"/>
      <c r="V12" s="35"/>
      <c r="W12" s="36"/>
      <c r="X12" s="1"/>
      <c r="Y12" s="1"/>
    </row>
    <row r="13" customFormat="false" ht="14.25" hidden="false" customHeight="false" outlineLevel="0" collapsed="false">
      <c r="A13" s="1"/>
      <c r="B13" s="1"/>
      <c r="C13" s="32" t="s">
        <v>25</v>
      </c>
      <c r="D13" s="33" t="s">
        <v>26</v>
      </c>
      <c r="E13" s="1"/>
      <c r="F13" s="34" t="n">
        <f aca="false">M13/$E$3</f>
        <v>37732.846817703</v>
      </c>
      <c r="G13" s="32"/>
      <c r="H13" s="32"/>
      <c r="I13" s="32"/>
      <c r="J13" s="32"/>
      <c r="K13" s="32"/>
      <c r="L13" s="1"/>
      <c r="M13" s="34" t="n">
        <f aca="false">'Position CI 30-09'!F6</f>
        <v>24751125</v>
      </c>
      <c r="N13" s="35"/>
      <c r="O13" s="36"/>
      <c r="P13" s="35"/>
      <c r="Q13" s="36"/>
      <c r="R13" s="35"/>
      <c r="S13" s="36"/>
      <c r="T13" s="35"/>
      <c r="U13" s="36"/>
      <c r="V13" s="35"/>
      <c r="W13" s="36"/>
      <c r="X13" s="1"/>
      <c r="Y13" s="1"/>
    </row>
    <row r="14" customFormat="false" ht="14.25" hidden="false" customHeight="false" outlineLevel="0" collapsed="false">
      <c r="A14" s="1"/>
      <c r="B14" s="1"/>
      <c r="C14" s="32" t="s">
        <v>27</v>
      </c>
      <c r="D14" s="33" t="s">
        <v>26</v>
      </c>
      <c r="E14" s="1"/>
      <c r="F14" s="34" t="n">
        <f aca="false">M14/$E$3</f>
        <v>561370.749911961</v>
      </c>
      <c r="G14" s="32"/>
      <c r="H14" s="32"/>
      <c r="I14" s="32"/>
      <c r="J14" s="32"/>
      <c r="K14" s="32"/>
      <c r="L14" s="1"/>
      <c r="M14" s="34" t="n">
        <f aca="false">'Position CI 30-09'!F7</f>
        <v>368235073</v>
      </c>
      <c r="N14" s="35"/>
      <c r="O14" s="36"/>
      <c r="P14" s="35"/>
      <c r="Q14" s="36"/>
      <c r="R14" s="35"/>
      <c r="S14" s="36"/>
      <c r="T14" s="35"/>
      <c r="U14" s="36"/>
      <c r="V14" s="35"/>
      <c r="W14" s="36"/>
      <c r="X14" s="1"/>
      <c r="Y14" s="1"/>
    </row>
    <row r="15" customFormat="false" ht="14.25" hidden="false" customHeight="false" outlineLevel="0" collapsed="false">
      <c r="A15" s="25" t="s">
        <v>28</v>
      </c>
      <c r="B15" s="1"/>
      <c r="C15" s="26" t="s">
        <v>29</v>
      </c>
      <c r="D15" s="27"/>
      <c r="E15" s="28"/>
      <c r="F15" s="29" t="n">
        <f aca="false">M15/$E$3</f>
        <v>359968.189988063</v>
      </c>
      <c r="G15" s="29" t="n">
        <f aca="false">O15/$E$3</f>
        <v>264788.178188509</v>
      </c>
      <c r="H15" s="29" t="n">
        <f aca="false">Q15/$E$3</f>
        <v>220822.921319538</v>
      </c>
      <c r="I15" s="29" t="n">
        <f aca="false">S15/$E$3</f>
        <v>220822.921319538</v>
      </c>
      <c r="J15" s="29" t="n">
        <f aca="false">U15/$E$3</f>
        <v>220822.921319538</v>
      </c>
      <c r="K15" s="29" t="n">
        <f aca="false">W15/$E$3</f>
        <v>220822.921319538</v>
      </c>
      <c r="L15" s="28"/>
      <c r="M15" s="29" t="n">
        <f aca="false">SUM(M16:M17)</f>
        <v>236123654</v>
      </c>
      <c r="N15" s="30" t="n">
        <f aca="false">SUMIFS('Détail fonctionnement'!$E$5:$E$463,'Détail fonctionnement'!$A$5:$A$463,N$2,'Détail fonctionnement'!$G$5:$G$463,"O",'Détail fonctionnement'!$B$5:$B$463,$A15)</f>
        <v>-62433995</v>
      </c>
      <c r="O15" s="31" t="n">
        <f aca="false">M15+N15</f>
        <v>173689659</v>
      </c>
      <c r="P15" s="30" t="n">
        <f aca="false">SUMIFS('Détail fonctionnement'!$E$5:$E$463,'Détail fonctionnement'!$A$5:$A$463,P$2,'Détail fonctionnement'!$G$5:$G$463,"O",'Détail fonctionnement'!$B$5:$B$463,$A15)</f>
        <v>-28839318</v>
      </c>
      <c r="Q15" s="31" t="n">
        <f aca="false">O15+P15</f>
        <v>144850341</v>
      </c>
      <c r="R15" s="30" t="n">
        <f aca="false">SUMIFS('Détail fonctionnement'!$E$5:$E$463,'Détail fonctionnement'!$A$5:$A$463,R$2,'Détail fonctionnement'!$G$5:$G$463,"O",'Détail fonctionnement'!$B$5:$B$463,$A15)</f>
        <v>0</v>
      </c>
      <c r="S15" s="31" t="n">
        <f aca="false">Q15+R15</f>
        <v>144850341</v>
      </c>
      <c r="T15" s="30" t="n">
        <f aca="false">SUMIFS('Détail fonctionnement'!$E$5:$E$463,'Détail fonctionnement'!$A$5:$A$463,T$2,'Détail fonctionnement'!$G$5:$G$463,"O",'Détail fonctionnement'!$B$5:$B$463,$A15)</f>
        <v>0</v>
      </c>
      <c r="U15" s="31" t="n">
        <f aca="false">S15+T15</f>
        <v>144850341</v>
      </c>
      <c r="V15" s="30" t="n">
        <f aca="false">SUMIFS('Détail fonctionnement'!$E$5:$E$463,'Détail fonctionnement'!$A$5:$A$463,V$2,'Détail fonctionnement'!$G$5:$G$463,"O",'Détail fonctionnement'!$B$5:$B$463,$A15)</f>
        <v>0</v>
      </c>
      <c r="W15" s="31" t="n">
        <f aca="false">U15+V15</f>
        <v>144850341</v>
      </c>
      <c r="X15" s="1"/>
      <c r="Y15" s="7"/>
    </row>
    <row r="16" customFormat="false" ht="14.25" hidden="false" customHeight="false" outlineLevel="0" collapsed="false">
      <c r="A16" s="1"/>
      <c r="B16" s="1"/>
      <c r="C16" s="32" t="s">
        <v>30</v>
      </c>
      <c r="D16" s="33" t="s">
        <v>26</v>
      </c>
      <c r="E16" s="1"/>
      <c r="F16" s="34" t="n">
        <f aca="false">M16/$E$3</f>
        <v>12850.4414161294</v>
      </c>
      <c r="G16" s="32"/>
      <c r="H16" s="32"/>
      <c r="I16" s="32"/>
      <c r="J16" s="32"/>
      <c r="K16" s="32"/>
      <c r="L16" s="1"/>
      <c r="M16" s="34" t="n">
        <f aca="false">'Position CI 30-09'!F8</f>
        <v>8429337</v>
      </c>
      <c r="N16" s="35"/>
      <c r="O16" s="36"/>
      <c r="P16" s="35"/>
      <c r="Q16" s="36"/>
      <c r="R16" s="35"/>
      <c r="S16" s="36"/>
      <c r="T16" s="35"/>
      <c r="U16" s="36"/>
      <c r="V16" s="35"/>
      <c r="W16" s="36"/>
      <c r="X16" s="1"/>
      <c r="Y16" s="1"/>
    </row>
    <row r="17" customFormat="false" ht="14.25" hidden="false" customHeight="false" outlineLevel="0" collapsed="false">
      <c r="A17" s="1"/>
      <c r="B17" s="1"/>
      <c r="C17" s="32" t="s">
        <v>31</v>
      </c>
      <c r="D17" s="33" t="s">
        <v>26</v>
      </c>
      <c r="E17" s="1"/>
      <c r="F17" s="34" t="n">
        <f aca="false">M17/$E$3</f>
        <v>347117.748571934</v>
      </c>
      <c r="G17" s="32"/>
      <c r="H17" s="32"/>
      <c r="I17" s="32"/>
      <c r="J17" s="32"/>
      <c r="K17" s="32"/>
      <c r="L17" s="1"/>
      <c r="M17" s="34" t="n">
        <f aca="false">'Position CI 30-09'!F9</f>
        <v>227694317</v>
      </c>
      <c r="N17" s="35"/>
      <c r="O17" s="36"/>
      <c r="P17" s="35"/>
      <c r="Q17" s="36"/>
      <c r="R17" s="35"/>
      <c r="S17" s="36"/>
      <c r="T17" s="35"/>
      <c r="U17" s="36"/>
      <c r="V17" s="35"/>
      <c r="W17" s="36"/>
      <c r="X17" s="1"/>
      <c r="Y17" s="1"/>
    </row>
    <row r="18" customFormat="false" ht="14.25" hidden="false" customHeight="false" outlineLevel="0" collapsed="false">
      <c r="A18" s="25" t="s">
        <v>32</v>
      </c>
      <c r="B18" s="1"/>
      <c r="C18" s="26" t="s">
        <v>32</v>
      </c>
      <c r="D18" s="27"/>
      <c r="E18" s="28"/>
      <c r="F18" s="29" t="n">
        <f aca="false">M18/$E$3</f>
        <v>88809.2085304372</v>
      </c>
      <c r="G18" s="29" t="n">
        <f aca="false">O18/$E$3</f>
        <v>73997.4312340596</v>
      </c>
      <c r="H18" s="29" t="n">
        <f aca="false">Q18/$E$3</f>
        <v>73997.4312340596</v>
      </c>
      <c r="I18" s="29" t="n">
        <f aca="false">S18/$E$3</f>
        <v>73997.4312340596</v>
      </c>
      <c r="J18" s="29" t="n">
        <f aca="false">U18/$E$3</f>
        <v>73997.4312340596</v>
      </c>
      <c r="K18" s="29" t="n">
        <f aca="false">W18/$E$3</f>
        <v>73997.4312340596</v>
      </c>
      <c r="L18" s="28"/>
      <c r="M18" s="29" t="n">
        <f aca="false">SUM(M19:M21)</f>
        <v>58255022</v>
      </c>
      <c r="N18" s="30" t="n">
        <f aca="false">SUMIFS('Détail fonctionnement'!$E$5:$E$463,'Détail fonctionnement'!$A$5:$A$463,N$2,'Détail fonctionnement'!$G$5:$G$463,"O",'Détail fonctionnement'!$B$5:$B$463,$A18)</f>
        <v>-9715889</v>
      </c>
      <c r="O18" s="31" t="n">
        <f aca="false">M18+N18</f>
        <v>48539133</v>
      </c>
      <c r="P18" s="30" t="n">
        <f aca="false">SUMIFS('Détail fonctionnement'!$E$5:$E$463,'Détail fonctionnement'!$A$5:$A$463,P$2,'Détail fonctionnement'!$G$5:$G$463,"O",'Détail fonctionnement'!$B$5:$B$463,$A18)</f>
        <v>0</v>
      </c>
      <c r="Q18" s="31" t="n">
        <f aca="false">O18+P18</f>
        <v>48539133</v>
      </c>
      <c r="R18" s="30" t="n">
        <f aca="false">SUMIFS('Détail fonctionnement'!$E$5:$E$463,'Détail fonctionnement'!$A$5:$A$463,R$2,'Détail fonctionnement'!$G$5:$G$463,"O",'Détail fonctionnement'!$B$5:$B$463,$A18)</f>
        <v>0</v>
      </c>
      <c r="S18" s="31" t="n">
        <f aca="false">Q18+R18</f>
        <v>48539133</v>
      </c>
      <c r="T18" s="30" t="n">
        <f aca="false">SUMIFS('Détail fonctionnement'!$E$5:$E$463,'Détail fonctionnement'!$A$5:$A$463,T$2,'Détail fonctionnement'!$G$5:$G$463,"O",'Détail fonctionnement'!$B$5:$B$463,$A18)</f>
        <v>0</v>
      </c>
      <c r="U18" s="31" t="n">
        <f aca="false">S18+T18</f>
        <v>48539133</v>
      </c>
      <c r="V18" s="30" t="n">
        <f aca="false">SUMIFS('Détail fonctionnement'!$E$5:$E$463,'Détail fonctionnement'!$A$5:$A$463,V$2,'Détail fonctionnement'!$G$5:$G$463,"O",'Détail fonctionnement'!$B$5:$B$463,$A18)</f>
        <v>0</v>
      </c>
      <c r="W18" s="31" t="n">
        <f aca="false">U18+V18</f>
        <v>48539133</v>
      </c>
      <c r="X18" s="1"/>
      <c r="Y18" s="1"/>
    </row>
    <row r="19" customFormat="false" ht="14.25" hidden="false" customHeight="false" outlineLevel="0" collapsed="false">
      <c r="A19" s="1"/>
      <c r="B19" s="1"/>
      <c r="C19" s="32" t="s">
        <v>33</v>
      </c>
      <c r="D19" s="33" t="s">
        <v>26</v>
      </c>
      <c r="E19" s="1"/>
      <c r="F19" s="34" t="n">
        <f aca="false">M19/$E$3</f>
        <v>88714.69013975</v>
      </c>
      <c r="G19" s="32"/>
      <c r="H19" s="32"/>
      <c r="I19" s="32"/>
      <c r="J19" s="32"/>
      <c r="K19" s="32"/>
      <c r="L19" s="1"/>
      <c r="M19" s="34" t="n">
        <f aca="false">'Position CI 30-09'!F13</f>
        <v>58193022</v>
      </c>
      <c r="N19" s="35"/>
      <c r="O19" s="36"/>
      <c r="P19" s="35"/>
      <c r="Q19" s="36"/>
      <c r="R19" s="35"/>
      <c r="S19" s="36"/>
      <c r="T19" s="35"/>
      <c r="U19" s="36"/>
      <c r="V19" s="35"/>
      <c r="W19" s="36"/>
      <c r="X19" s="1"/>
      <c r="Y19" s="1"/>
    </row>
    <row r="20" customFormat="false" ht="14.25" hidden="false" customHeight="false" outlineLevel="0" collapsed="false">
      <c r="A20" s="1"/>
      <c r="B20" s="1"/>
      <c r="C20" s="32" t="s">
        <v>34</v>
      </c>
      <c r="D20" s="33" t="s">
        <v>26</v>
      </c>
      <c r="E20" s="1"/>
      <c r="F20" s="34" t="n">
        <f aca="false">M20/$E$3</f>
        <v>94.5183906871944</v>
      </c>
      <c r="G20" s="32"/>
      <c r="H20" s="32"/>
      <c r="I20" s="32"/>
      <c r="J20" s="32"/>
      <c r="K20" s="32"/>
      <c r="L20" s="1"/>
      <c r="M20" s="34" t="n">
        <f aca="false">'Position CI 30-09'!F14</f>
        <v>62000</v>
      </c>
      <c r="N20" s="35"/>
      <c r="O20" s="36"/>
      <c r="P20" s="35"/>
      <c r="Q20" s="36"/>
      <c r="R20" s="35"/>
      <c r="S20" s="36"/>
      <c r="T20" s="35"/>
      <c r="U20" s="36"/>
      <c r="V20" s="35"/>
      <c r="W20" s="36"/>
      <c r="X20" s="1"/>
      <c r="Y20" s="1"/>
    </row>
    <row r="21" customFormat="false" ht="14.25" hidden="false" customHeight="false" outlineLevel="0" collapsed="false">
      <c r="A21" s="1"/>
      <c r="B21" s="1"/>
      <c r="C21" s="32" t="s">
        <v>35</v>
      </c>
      <c r="D21" s="33"/>
      <c r="E21" s="1"/>
      <c r="F21" s="34" t="n">
        <f aca="false">M21/$E$3</f>
        <v>0</v>
      </c>
      <c r="G21" s="32"/>
      <c r="H21" s="32"/>
      <c r="I21" s="32"/>
      <c r="J21" s="32"/>
      <c r="K21" s="32"/>
      <c r="L21" s="1"/>
      <c r="M21" s="34" t="n">
        <f aca="false">'Position CI 30-09'!F15</f>
        <v>0</v>
      </c>
      <c r="N21" s="35"/>
      <c r="O21" s="36"/>
      <c r="P21" s="35"/>
      <c r="Q21" s="36"/>
      <c r="R21" s="35"/>
      <c r="S21" s="36"/>
      <c r="T21" s="35"/>
      <c r="U21" s="36"/>
      <c r="V21" s="35"/>
      <c r="W21" s="36"/>
      <c r="X21" s="1"/>
      <c r="Y21" s="1"/>
    </row>
    <row r="22" customFormat="false" ht="14.25" hidden="false" customHeight="false" outlineLevel="0" collapsed="false">
      <c r="A22" s="25" t="s">
        <v>36</v>
      </c>
      <c r="B22" s="1"/>
      <c r="C22" s="26" t="s">
        <v>37</v>
      </c>
      <c r="D22" s="27"/>
      <c r="E22" s="28"/>
      <c r="F22" s="29" t="n">
        <f aca="false">M22/$E$3</f>
        <v>2703607.77459498</v>
      </c>
      <c r="G22" s="29" t="n">
        <f aca="false">O22/$E$3</f>
        <v>2684760.34709592</v>
      </c>
      <c r="H22" s="29" t="n">
        <f aca="false">Q22/$E$3</f>
        <v>2684760.34709592</v>
      </c>
      <c r="I22" s="29" t="n">
        <f aca="false">S22/$E$3</f>
        <v>2684760.34709592</v>
      </c>
      <c r="J22" s="29" t="n">
        <f aca="false">U22/$E$3</f>
        <v>2684760.34709592</v>
      </c>
      <c r="K22" s="29" t="n">
        <f aca="false">W22/$E$3</f>
        <v>2684760.34709592</v>
      </c>
      <c r="L22" s="28"/>
      <c r="M22" s="29" t="n">
        <f aca="false">SUM(M23:M25)</f>
        <v>1773450445</v>
      </c>
      <c r="N22" s="30" t="n">
        <f aca="false">SUMIFS('Détail fonctionnement'!$E$5:$E$463,'Détail fonctionnement'!$A$5:$A$463,N$2,'Détail fonctionnement'!$G$5:$G$463,"O",'Détail fonctionnement'!$B$5:$B$463,$A22)</f>
        <v>-12363102</v>
      </c>
      <c r="O22" s="31" t="n">
        <f aca="false">M22+N22</f>
        <v>1761087343</v>
      </c>
      <c r="P22" s="30" t="n">
        <f aca="false">SUMIFS('Détail fonctionnement'!$E$5:$E$463,'Détail fonctionnement'!$A$5:$A$463,P$2,'Détail fonctionnement'!$G$5:$G$463,"O",'Détail fonctionnement'!$B$5:$B$463,$A22)</f>
        <v>0</v>
      </c>
      <c r="Q22" s="31" t="n">
        <f aca="false">O22+P22</f>
        <v>1761087343</v>
      </c>
      <c r="R22" s="30" t="n">
        <f aca="false">SUMIFS('Détail fonctionnement'!$E$5:$E$463,'Détail fonctionnement'!$A$5:$A$463,R$2,'Détail fonctionnement'!$G$5:$G$463,"O",'Détail fonctionnement'!$B$5:$B$463,$A22)</f>
        <v>0</v>
      </c>
      <c r="S22" s="31" t="n">
        <f aca="false">Q22+R22</f>
        <v>1761087343</v>
      </c>
      <c r="T22" s="30" t="n">
        <f aca="false">SUMIFS('Détail fonctionnement'!$E$5:$E$463,'Détail fonctionnement'!$A$5:$A$463,T$2,'Détail fonctionnement'!$G$5:$G$463,"O",'Détail fonctionnement'!$B$5:$B$463,$A22)</f>
        <v>0</v>
      </c>
      <c r="U22" s="31" t="n">
        <f aca="false">S22+T22</f>
        <v>1761087343</v>
      </c>
      <c r="V22" s="30" t="n">
        <f aca="false">SUMIFS('Détail fonctionnement'!$E$5:$E$463,'Détail fonctionnement'!$A$5:$A$463,V$2,'Détail fonctionnement'!$G$5:$G$463,"O",'Détail fonctionnement'!$B$5:$B$463,$A22)</f>
        <v>0</v>
      </c>
      <c r="W22" s="31" t="n">
        <f aca="false">U22+V22</f>
        <v>1761087343</v>
      </c>
      <c r="X22" s="1"/>
      <c r="Y22" s="1"/>
    </row>
    <row r="23" customFormat="false" ht="14.25" hidden="false" customHeight="false" outlineLevel="0" collapsed="false">
      <c r="A23" s="1"/>
      <c r="B23" s="1"/>
      <c r="C23" s="32" t="s">
        <v>38</v>
      </c>
      <c r="D23" s="33" t="s">
        <v>26</v>
      </c>
      <c r="E23" s="1"/>
      <c r="F23" s="34" t="n">
        <f aca="false">M23/$E$3</f>
        <v>2245.90331378429</v>
      </c>
      <c r="G23" s="32"/>
      <c r="H23" s="32"/>
      <c r="I23" s="32"/>
      <c r="J23" s="32"/>
      <c r="K23" s="32"/>
      <c r="L23" s="1"/>
      <c r="M23" s="34" t="n">
        <f aca="false">'Position CI 30-09'!F16</f>
        <v>1473216</v>
      </c>
      <c r="N23" s="35"/>
      <c r="O23" s="36"/>
      <c r="P23" s="35"/>
      <c r="Q23" s="36"/>
      <c r="R23" s="35"/>
      <c r="S23" s="36"/>
      <c r="T23" s="35"/>
      <c r="U23" s="36"/>
      <c r="V23" s="35"/>
      <c r="W23" s="36"/>
      <c r="X23" s="1"/>
      <c r="Y23" s="1"/>
    </row>
    <row r="24" customFormat="false" ht="14.25" hidden="false" customHeight="false" outlineLevel="0" collapsed="false">
      <c r="A24" s="1"/>
      <c r="B24" s="1"/>
      <c r="C24" s="32" t="s">
        <v>39</v>
      </c>
      <c r="D24" s="33" t="s">
        <v>40</v>
      </c>
      <c r="E24" s="1"/>
      <c r="F24" s="34" t="n">
        <f aca="false">M24/$E$3</f>
        <v>2701361.8712812</v>
      </c>
      <c r="G24" s="32"/>
      <c r="H24" s="32"/>
      <c r="I24" s="32"/>
      <c r="J24" s="32"/>
      <c r="K24" s="32"/>
      <c r="L24" s="1"/>
      <c r="M24" s="34" t="n">
        <f aca="false">'Position CI 30-09'!F17</f>
        <v>1771977229</v>
      </c>
      <c r="N24" s="35"/>
      <c r="O24" s="36"/>
      <c r="P24" s="35"/>
      <c r="Q24" s="36"/>
      <c r="R24" s="35"/>
      <c r="S24" s="36"/>
      <c r="T24" s="35"/>
      <c r="U24" s="36"/>
      <c r="V24" s="35"/>
      <c r="W24" s="36"/>
      <c r="X24" s="1"/>
      <c r="Y24" s="1"/>
    </row>
    <row r="25" customFormat="false" ht="14.25" hidden="false" customHeight="false" outlineLevel="0" collapsed="false">
      <c r="A25" s="1"/>
      <c r="B25" s="1"/>
      <c r="C25" s="32" t="s">
        <v>41</v>
      </c>
      <c r="D25" s="33" t="s">
        <v>42</v>
      </c>
      <c r="E25" s="1"/>
      <c r="F25" s="34" t="n">
        <f aca="false">M25/$E$3</f>
        <v>0</v>
      </c>
      <c r="G25" s="32"/>
      <c r="H25" s="32"/>
      <c r="I25" s="32"/>
      <c r="J25" s="32"/>
      <c r="K25" s="32"/>
      <c r="L25" s="1"/>
      <c r="M25" s="34" t="n">
        <f aca="false">'Position CI 30-09'!F18</f>
        <v>0</v>
      </c>
      <c r="N25" s="35"/>
      <c r="O25" s="36"/>
      <c r="P25" s="35"/>
      <c r="Q25" s="36"/>
      <c r="R25" s="35"/>
      <c r="S25" s="36"/>
      <c r="T25" s="35"/>
      <c r="U25" s="36"/>
      <c r="V25" s="35"/>
      <c r="W25" s="36"/>
      <c r="X25" s="1"/>
      <c r="Y25" s="1"/>
    </row>
    <row r="26" customFormat="false" ht="14.25" hidden="false" customHeight="false" outlineLevel="0" collapsed="false">
      <c r="A26" s="25" t="s">
        <v>43</v>
      </c>
      <c r="B26" s="1"/>
      <c r="C26" s="26" t="s">
        <v>43</v>
      </c>
      <c r="D26" s="27"/>
      <c r="E26" s="28"/>
      <c r="F26" s="29" t="n">
        <f aca="false">M26/$E$3</f>
        <v>44410.5848401648</v>
      </c>
      <c r="G26" s="29" t="n">
        <f aca="false">O26/$E$3</f>
        <v>-123347.632542987</v>
      </c>
      <c r="H26" s="29" t="n">
        <f aca="false">Q26/$E$3</f>
        <v>-123347.632542987</v>
      </c>
      <c r="I26" s="29" t="n">
        <f aca="false">S26/$E$3</f>
        <v>-123347.632542987</v>
      </c>
      <c r="J26" s="29" t="n">
        <f aca="false">U26/$E$3</f>
        <v>-123347.632542987</v>
      </c>
      <c r="K26" s="29" t="n">
        <f aca="false">W26/$E$3</f>
        <v>-123347.632542987</v>
      </c>
      <c r="L26" s="28"/>
      <c r="M26" s="29" t="n">
        <f aca="false">SUM(M27:M31)</f>
        <v>29131434</v>
      </c>
      <c r="N26" s="30" t="n">
        <f aca="false">SUMIFS('Détail fonctionnement'!$E$5:$E$463,'Détail fonctionnement'!$A$5:$A$463,N$2,'Détail fonctionnement'!$G$5:$G$463,"O",'Détail fonctionnement'!$B$5:$B$463,$A26)</f>
        <v>-110042177</v>
      </c>
      <c r="O26" s="31" t="n">
        <f aca="false">M26+N26</f>
        <v>-80910743</v>
      </c>
      <c r="P26" s="30" t="n">
        <f aca="false">SUMIFS('Détail fonctionnement'!$E$5:$E$463,'Détail fonctionnement'!$A$5:$A$463,P$2,'Détail fonctionnement'!$G$5:$G$463,"O",'Détail fonctionnement'!$B$5:$B$463,$A26)</f>
        <v>0</v>
      </c>
      <c r="Q26" s="31" t="n">
        <f aca="false">O26+P26</f>
        <v>-80910743</v>
      </c>
      <c r="R26" s="30" t="n">
        <f aca="false">SUMIFS('Détail fonctionnement'!$E$5:$E$463,'Détail fonctionnement'!$A$5:$A$463,R$2,'Détail fonctionnement'!$G$5:$G$463,"O",'Détail fonctionnement'!$B$5:$B$463,$A26)</f>
        <v>0</v>
      </c>
      <c r="S26" s="31" t="n">
        <f aca="false">Q26+R26</f>
        <v>-80910743</v>
      </c>
      <c r="T26" s="30" t="n">
        <f aca="false">SUMIFS('Détail fonctionnement'!$E$5:$E$463,'Détail fonctionnement'!$A$5:$A$463,T$2,'Détail fonctionnement'!$G$5:$G$463,"O",'Détail fonctionnement'!$B$5:$B$463,$A26)</f>
        <v>0</v>
      </c>
      <c r="U26" s="31" t="n">
        <f aca="false">S26+T26</f>
        <v>-80910743</v>
      </c>
      <c r="V26" s="30" t="n">
        <f aca="false">SUMIFS('Détail fonctionnement'!$E$5:$E$463,'Détail fonctionnement'!$A$5:$A$463,V$2,'Détail fonctionnement'!$G$5:$G$463,"O",'Détail fonctionnement'!$B$5:$B$463,$A26)</f>
        <v>0</v>
      </c>
      <c r="W26" s="31" t="n">
        <f aca="false">U26+V26</f>
        <v>-80910743</v>
      </c>
      <c r="X26" s="1"/>
      <c r="Y26" s="7"/>
    </row>
    <row r="27" customFormat="false" ht="14.25" hidden="false" customHeight="false" outlineLevel="0" collapsed="false">
      <c r="A27" s="1"/>
      <c r="B27" s="1"/>
      <c r="C27" s="32" t="s">
        <v>44</v>
      </c>
      <c r="D27" s="33" t="s">
        <v>26</v>
      </c>
      <c r="E27" s="1"/>
      <c r="F27" s="34" t="n">
        <f aca="false">M27/$E$3</f>
        <v>1367.98296229783</v>
      </c>
      <c r="G27" s="32"/>
      <c r="H27" s="32"/>
      <c r="I27" s="32"/>
      <c r="J27" s="32"/>
      <c r="K27" s="32"/>
      <c r="L27" s="1"/>
      <c r="M27" s="34" t="n">
        <f aca="false">'Position CI 30-09'!F19</f>
        <v>897338</v>
      </c>
      <c r="N27" s="35"/>
      <c r="O27" s="36"/>
      <c r="P27" s="35"/>
      <c r="Q27" s="36"/>
      <c r="R27" s="35"/>
      <c r="S27" s="36"/>
      <c r="T27" s="35"/>
      <c r="U27" s="36"/>
      <c r="V27" s="35"/>
      <c r="W27" s="36"/>
      <c r="X27" s="1"/>
      <c r="Y27" s="1"/>
    </row>
    <row r="28" customFormat="false" ht="14.25" hidden="false" customHeight="false" outlineLevel="0" collapsed="false">
      <c r="A28" s="1"/>
      <c r="B28" s="1"/>
      <c r="C28" s="32" t="s">
        <v>45</v>
      </c>
      <c r="D28" s="33" t="s">
        <v>26</v>
      </c>
      <c r="E28" s="1"/>
      <c r="F28" s="34" t="n">
        <f aca="false">M28/$E$3</f>
        <v>8194.38011942856</v>
      </c>
      <c r="G28" s="32"/>
      <c r="H28" s="32"/>
      <c r="I28" s="32"/>
      <c r="J28" s="32"/>
      <c r="K28" s="32"/>
      <c r="L28" s="1"/>
      <c r="M28" s="34" t="n">
        <f aca="false">'Position CI 30-09'!F20</f>
        <v>5375161</v>
      </c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1"/>
      <c r="Y28" s="1"/>
    </row>
    <row r="29" customFormat="false" ht="14.25" hidden="false" customHeight="false" outlineLevel="0" collapsed="false">
      <c r="A29" s="1"/>
      <c r="B29" s="1"/>
      <c r="C29" s="32" t="s">
        <v>46</v>
      </c>
      <c r="D29" s="33" t="s">
        <v>47</v>
      </c>
      <c r="E29" s="1"/>
      <c r="F29" s="34" t="n">
        <f aca="false">M29/$E$3</f>
        <v>34407.2050454527</v>
      </c>
      <c r="G29" s="32"/>
      <c r="H29" s="32"/>
      <c r="I29" s="32"/>
      <c r="J29" s="32"/>
      <c r="K29" s="32"/>
      <c r="L29" s="1"/>
      <c r="M29" s="34" t="n">
        <f aca="false">'Position CI 30-09'!F21</f>
        <v>22569647</v>
      </c>
      <c r="N29" s="35"/>
      <c r="O29" s="36"/>
      <c r="P29" s="35"/>
      <c r="Q29" s="36"/>
      <c r="R29" s="35"/>
      <c r="S29" s="36"/>
      <c r="T29" s="35"/>
      <c r="U29" s="36"/>
      <c r="V29" s="35"/>
      <c r="W29" s="36"/>
      <c r="X29" s="1"/>
      <c r="Y29" s="1"/>
    </row>
    <row r="30" customFormat="false" ht="14.25" hidden="false" customHeight="false" outlineLevel="0" collapsed="false">
      <c r="A30" s="1"/>
      <c r="B30" s="1"/>
      <c r="C30" s="32" t="s">
        <v>48</v>
      </c>
      <c r="D30" s="33" t="s">
        <v>47</v>
      </c>
      <c r="E30" s="1"/>
      <c r="F30" s="34" t="n">
        <f aca="false">M30/$E$3</f>
        <v>346.498322298565</v>
      </c>
      <c r="G30" s="32"/>
      <c r="H30" s="32"/>
      <c r="I30" s="32"/>
      <c r="J30" s="32"/>
      <c r="K30" s="32"/>
      <c r="L30" s="1"/>
      <c r="M30" s="34" t="n">
        <f aca="false">'Position CI 30-09'!F22</f>
        <v>227288</v>
      </c>
      <c r="N30" s="35"/>
      <c r="O30" s="36"/>
      <c r="P30" s="35"/>
      <c r="Q30" s="36"/>
      <c r="R30" s="35"/>
      <c r="S30" s="36"/>
      <c r="T30" s="35"/>
      <c r="U30" s="36"/>
      <c r="V30" s="35"/>
      <c r="W30" s="36"/>
      <c r="X30" s="1"/>
      <c r="Y30" s="1"/>
    </row>
    <row r="31" customFormat="false" ht="14.25" hidden="false" customHeight="false" outlineLevel="0" collapsed="false">
      <c r="A31" s="1"/>
      <c r="B31" s="1"/>
      <c r="C31" s="32" t="s">
        <v>49</v>
      </c>
      <c r="D31" s="33" t="s">
        <v>26</v>
      </c>
      <c r="E31" s="1"/>
      <c r="F31" s="34" t="n">
        <f aca="false">M31/$E$3</f>
        <v>94.5183906871944</v>
      </c>
      <c r="G31" s="32"/>
      <c r="H31" s="32"/>
      <c r="I31" s="32"/>
      <c r="J31" s="32"/>
      <c r="K31" s="32"/>
      <c r="L31" s="1"/>
      <c r="M31" s="34" t="n">
        <f aca="false">'Position CI 30-09'!F23</f>
        <v>62000</v>
      </c>
      <c r="N31" s="35"/>
      <c r="O31" s="36"/>
      <c r="P31" s="35"/>
      <c r="Q31" s="36"/>
      <c r="R31" s="35"/>
      <c r="S31" s="36"/>
      <c r="T31" s="35"/>
      <c r="U31" s="36"/>
      <c r="V31" s="35"/>
      <c r="W31" s="36"/>
      <c r="X31" s="1"/>
      <c r="Y31" s="1"/>
    </row>
    <row r="32" customFormat="false" ht="14.25" hidden="false" customHeight="false" outlineLevel="0" collapsed="false">
      <c r="A32" s="25" t="s">
        <v>50</v>
      </c>
      <c r="B32" s="1"/>
      <c r="C32" s="26" t="s">
        <v>51</v>
      </c>
      <c r="D32" s="27"/>
      <c r="E32" s="28"/>
      <c r="F32" s="29" t="n">
        <f aca="false">M32/$E$3</f>
        <v>53469.5597424831</v>
      </c>
      <c r="G32" s="29" t="n">
        <f aca="false">O32/$E$3</f>
        <v>-61313.947408138</v>
      </c>
      <c r="H32" s="29" t="n">
        <f aca="false">Q32/$E$3</f>
        <v>-61313.947408138</v>
      </c>
      <c r="I32" s="29" t="n">
        <f aca="false">S32/$E$3</f>
        <v>-61313.947408138</v>
      </c>
      <c r="J32" s="29" t="n">
        <f aca="false">U32/$E$3</f>
        <v>-61313.947408138</v>
      </c>
      <c r="K32" s="29" t="n">
        <f aca="false">W32/$E$3</f>
        <v>-61313.947408138</v>
      </c>
      <c r="L32" s="28"/>
      <c r="M32" s="29" t="n">
        <f aca="false">SUM(M33:M34)</f>
        <v>35073732</v>
      </c>
      <c r="N32" s="30" t="n">
        <f aca="false">SUMIFS('Détail fonctionnement'!$E$5:$E$463,'Détail fonctionnement'!$A$5:$A$463,N$2,'Détail fonctionnement'!$G$5:$G$463,"O",'Détail fonctionnement'!$B$5:$B$463,$A32)</f>
        <v>-75293045</v>
      </c>
      <c r="O32" s="31" t="n">
        <f aca="false">M32+N32</f>
        <v>-40219313</v>
      </c>
      <c r="P32" s="30" t="n">
        <f aca="false">SUMIFS('Détail fonctionnement'!$E$5:$E$463,'Détail fonctionnement'!$A$5:$A$463,P$2,'Détail fonctionnement'!$G$5:$G$463,"O",'Détail fonctionnement'!$B$5:$B$463,$A32)</f>
        <v>0</v>
      </c>
      <c r="Q32" s="31" t="n">
        <f aca="false">O32+P32</f>
        <v>-40219313</v>
      </c>
      <c r="R32" s="30" t="n">
        <f aca="false">SUMIFS('Détail fonctionnement'!$E$5:$E$463,'Détail fonctionnement'!$A$5:$A$463,R$2,'Détail fonctionnement'!$G$5:$G$463,"O",'Détail fonctionnement'!$B$5:$B$463,$A32)</f>
        <v>0</v>
      </c>
      <c r="S32" s="31" t="n">
        <f aca="false">Q32+R32</f>
        <v>-40219313</v>
      </c>
      <c r="T32" s="30" t="n">
        <f aca="false">SUMIFS('Détail fonctionnement'!$E$5:$E$463,'Détail fonctionnement'!$A$5:$A$463,T$2,'Détail fonctionnement'!$G$5:$G$463,"O",'Détail fonctionnement'!$B$5:$B$463,$A32)</f>
        <v>0</v>
      </c>
      <c r="U32" s="31" t="n">
        <f aca="false">S32+T32</f>
        <v>-40219313</v>
      </c>
      <c r="V32" s="30" t="n">
        <f aca="false">SUMIFS('Détail fonctionnement'!$E$5:$E$463,'Détail fonctionnement'!$A$5:$A$463,V$2,'Détail fonctionnement'!$G$5:$G$463,"O",'Détail fonctionnement'!$B$5:$B$463,$A32)</f>
        <v>0</v>
      </c>
      <c r="W32" s="31" t="n">
        <f aca="false">U32+V32</f>
        <v>-40219313</v>
      </c>
      <c r="X32" s="1"/>
      <c r="Y32" s="1"/>
    </row>
    <row r="33" customFormat="false" ht="14.25" hidden="false" customHeight="false" outlineLevel="0" collapsed="false">
      <c r="A33" s="1"/>
      <c r="B33" s="1"/>
      <c r="C33" s="32" t="s">
        <v>52</v>
      </c>
      <c r="D33" s="33" t="s">
        <v>26</v>
      </c>
      <c r="E33" s="1"/>
      <c r="F33" s="34" t="n">
        <f aca="false">M33/$E$3</f>
        <v>53375.0413517959</v>
      </c>
      <c r="G33" s="32"/>
      <c r="H33" s="32"/>
      <c r="I33" s="32"/>
      <c r="J33" s="32"/>
      <c r="K33" s="32"/>
      <c r="L33" s="1"/>
      <c r="M33" s="34" t="n">
        <f aca="false">'Position CI 30-09'!F24</f>
        <v>35011732</v>
      </c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1"/>
      <c r="Y33" s="1"/>
    </row>
    <row r="34" customFormat="false" ht="14.25" hidden="false" customHeight="false" outlineLevel="0" collapsed="false">
      <c r="A34" s="1"/>
      <c r="B34" s="1"/>
      <c r="C34" s="32" t="s">
        <v>53</v>
      </c>
      <c r="D34" s="33" t="s">
        <v>26</v>
      </c>
      <c r="E34" s="1"/>
      <c r="F34" s="34" t="n">
        <f aca="false">M34/$E$3</f>
        <v>94.5183906871944</v>
      </c>
      <c r="G34" s="32"/>
      <c r="H34" s="32"/>
      <c r="I34" s="32"/>
      <c r="J34" s="32"/>
      <c r="K34" s="32"/>
      <c r="L34" s="1"/>
      <c r="M34" s="34" t="n">
        <f aca="false">'Position CI 30-09'!F25</f>
        <v>62000</v>
      </c>
      <c r="N34" s="35"/>
      <c r="O34" s="36"/>
      <c r="P34" s="35"/>
      <c r="Q34" s="36"/>
      <c r="R34" s="35"/>
      <c r="S34" s="36"/>
      <c r="T34" s="35"/>
      <c r="U34" s="36"/>
      <c r="V34" s="35"/>
      <c r="W34" s="36"/>
      <c r="X34" s="1"/>
      <c r="Y34" s="1"/>
    </row>
    <row r="35" customFormat="false" ht="14.25" hidden="false" customHeight="false" outlineLevel="0" collapsed="false">
      <c r="A35" s="25" t="s">
        <v>54</v>
      </c>
      <c r="B35" s="1"/>
      <c r="C35" s="26" t="s">
        <v>54</v>
      </c>
      <c r="D35" s="27"/>
      <c r="E35" s="28"/>
      <c r="F35" s="29" t="n">
        <f aca="false">M35/$E$3</f>
        <v>-18.8152577074412</v>
      </c>
      <c r="G35" s="29" t="n">
        <f aca="false">O35/$E$3</f>
        <v>-3889.49580536529</v>
      </c>
      <c r="H35" s="29" t="n">
        <f aca="false">Q35/$E$3</f>
        <v>-3889.49580536529</v>
      </c>
      <c r="I35" s="29" t="n">
        <f aca="false">S35/$E$3</f>
        <v>-3889.49580536529</v>
      </c>
      <c r="J35" s="29" t="n">
        <f aca="false">U35/$E$3</f>
        <v>-3889.49580536529</v>
      </c>
      <c r="K35" s="29" t="n">
        <f aca="false">W35/$E$3</f>
        <v>-3889.49580536529</v>
      </c>
      <c r="L35" s="28"/>
      <c r="M35" s="29" t="n">
        <f aca="false">SUM(M36:M37)</f>
        <v>-12342</v>
      </c>
      <c r="N35" s="30" t="n">
        <f aca="false">SUMIFS('Détail fonctionnement'!$E$5:$E$463,'Détail fonctionnement'!$A$5:$A$463,N$2,'Détail fonctionnement'!$G$5:$G$463,"O",'Détail fonctionnement'!$B$5:$B$463,$A35)</f>
        <v>-2539000</v>
      </c>
      <c r="O35" s="31" t="n">
        <f aca="false">M35+N35</f>
        <v>-2551342</v>
      </c>
      <c r="P35" s="30" t="n">
        <f aca="false">SUMIFS('Détail fonctionnement'!$E$5:$E$463,'Détail fonctionnement'!$A$5:$A$463,P$2,'Détail fonctionnement'!$G$5:$G$463,"O",'Détail fonctionnement'!$B$5:$B$463,$A35)</f>
        <v>0</v>
      </c>
      <c r="Q35" s="31" t="n">
        <f aca="false">O35+P35</f>
        <v>-2551342</v>
      </c>
      <c r="R35" s="30" t="n">
        <f aca="false">SUMIFS('Détail fonctionnement'!$E$5:$E$463,'Détail fonctionnement'!$A$5:$A$463,R$2,'Détail fonctionnement'!$G$5:$G$463,"O",'Détail fonctionnement'!$B$5:$B$463,$A35)</f>
        <v>0</v>
      </c>
      <c r="S35" s="31" t="n">
        <f aca="false">Q35+R35</f>
        <v>-2551342</v>
      </c>
      <c r="T35" s="30" t="n">
        <f aca="false">SUMIFS('Détail fonctionnement'!$E$5:$E$463,'Détail fonctionnement'!$A$5:$A$463,T$2,'Détail fonctionnement'!$G$5:$G$463,"O",'Détail fonctionnement'!$B$5:$B$463,$A35)</f>
        <v>0</v>
      </c>
      <c r="U35" s="31" t="n">
        <f aca="false">S35+T35</f>
        <v>-2551342</v>
      </c>
      <c r="V35" s="30" t="n">
        <f aca="false">SUMIFS('Détail fonctionnement'!$E$5:$E$463,'Détail fonctionnement'!$A$5:$A$463,V$2,'Détail fonctionnement'!$G$5:$G$463,"O",'Détail fonctionnement'!$B$5:$B$463,$A35)</f>
        <v>0</v>
      </c>
      <c r="W35" s="31" t="n">
        <f aca="false">U35+V35</f>
        <v>-2551342</v>
      </c>
      <c r="X35" s="1"/>
      <c r="Y35" s="1"/>
    </row>
    <row r="36" customFormat="false" ht="14.25" hidden="false" customHeight="false" outlineLevel="0" collapsed="false">
      <c r="A36" s="1"/>
      <c r="B36" s="1"/>
      <c r="C36" s="32" t="s">
        <v>55</v>
      </c>
      <c r="D36" s="33" t="s">
        <v>26</v>
      </c>
      <c r="E36" s="1"/>
      <c r="F36" s="34" t="n">
        <f aca="false">M36/$E$3</f>
        <v>-113.333648394636</v>
      </c>
      <c r="G36" s="32"/>
      <c r="H36" s="32"/>
      <c r="I36" s="32"/>
      <c r="J36" s="32"/>
      <c r="K36" s="32"/>
      <c r="L36" s="1"/>
      <c r="M36" s="34" t="n">
        <f aca="false">'Position CI 30-09'!F26</f>
        <v>-74342</v>
      </c>
      <c r="N36" s="35"/>
      <c r="O36" s="36"/>
      <c r="P36" s="35"/>
      <c r="Q36" s="36"/>
      <c r="R36" s="35"/>
      <c r="S36" s="36"/>
      <c r="T36" s="35"/>
      <c r="U36" s="36"/>
      <c r="V36" s="35"/>
      <c r="W36" s="36"/>
      <c r="X36" s="1"/>
      <c r="Y36" s="1"/>
    </row>
    <row r="37" customFormat="false" ht="14.25" hidden="false" customHeight="false" outlineLevel="0" collapsed="false">
      <c r="A37" s="1"/>
      <c r="B37" s="1"/>
      <c r="C37" s="32" t="s">
        <v>56</v>
      </c>
      <c r="D37" s="33" t="s">
        <v>26</v>
      </c>
      <c r="E37" s="1"/>
      <c r="F37" s="34" t="n">
        <f aca="false">M37/$E$3</f>
        <v>94.5183906871944</v>
      </c>
      <c r="G37" s="32"/>
      <c r="H37" s="32"/>
      <c r="I37" s="32"/>
      <c r="J37" s="32"/>
      <c r="K37" s="32"/>
      <c r="L37" s="1"/>
      <c r="M37" s="34" t="n">
        <f aca="false">'Position CI 30-09'!F27</f>
        <v>62000</v>
      </c>
      <c r="N37" s="35"/>
      <c r="O37" s="36"/>
      <c r="P37" s="35"/>
      <c r="Q37" s="36"/>
      <c r="R37" s="35"/>
      <c r="S37" s="36"/>
      <c r="T37" s="35"/>
      <c r="U37" s="36"/>
      <c r="V37" s="35"/>
      <c r="W37" s="36"/>
      <c r="X37" s="1"/>
      <c r="Y37" s="1"/>
    </row>
    <row r="38" customFormat="false" ht="14.25" hidden="false" customHeight="false" outlineLevel="0" collapsed="false">
      <c r="A38" s="25" t="s">
        <v>57</v>
      </c>
      <c r="B38" s="1"/>
      <c r="C38" s="26" t="s">
        <v>57</v>
      </c>
      <c r="D38" s="27"/>
      <c r="E38" s="28"/>
      <c r="F38" s="29" t="n">
        <f aca="false">M38/$E$3</f>
        <v>17934.9576267957</v>
      </c>
      <c r="G38" s="29" t="n">
        <f aca="false">O38/$E$3</f>
        <v>-3538.94996165907</v>
      </c>
      <c r="H38" s="29" t="n">
        <f aca="false">Q38/$E$3</f>
        <v>-3538.94996165907</v>
      </c>
      <c r="I38" s="29" t="n">
        <f aca="false">S38/$E$3</f>
        <v>-3538.94996165907</v>
      </c>
      <c r="J38" s="29" t="n">
        <f aca="false">U38/$E$3</f>
        <v>-3538.94996165907</v>
      </c>
      <c r="K38" s="29" t="n">
        <f aca="false">W38/$E$3</f>
        <v>-3538.94996165907</v>
      </c>
      <c r="L38" s="28"/>
      <c r="M38" s="29" t="n">
        <f aca="false">SUM(M39:M41)</f>
        <v>11764561</v>
      </c>
      <c r="N38" s="30" t="n">
        <f aca="false">SUMIFS('Détail fonctionnement'!$E$5:$E$463,'Détail fonctionnement'!$A$5:$A$463,N$2,'Détail fonctionnement'!$G$5:$G$463,"O",'Détail fonctionnement'!$B$5:$B$463,$A38)</f>
        <v>-14085960</v>
      </c>
      <c r="O38" s="31" t="n">
        <f aca="false">M38+N38</f>
        <v>-2321399</v>
      </c>
      <c r="P38" s="30" t="n">
        <f aca="false">SUMIFS('Détail fonctionnement'!$E$5:$E$463,'Détail fonctionnement'!$A$5:$A$463,P$2,'Détail fonctionnement'!$G$5:$G$463,"O",'Détail fonctionnement'!$B$5:$B$463,$A38)</f>
        <v>0</v>
      </c>
      <c r="Q38" s="31" t="n">
        <f aca="false">O38+P38</f>
        <v>-2321399</v>
      </c>
      <c r="R38" s="30" t="n">
        <f aca="false">SUMIFS('Détail fonctionnement'!$E$5:$E$463,'Détail fonctionnement'!$A$5:$A$463,R$2,'Détail fonctionnement'!$G$5:$G$463,"O",'Détail fonctionnement'!$B$5:$B$463,$A38)</f>
        <v>0</v>
      </c>
      <c r="S38" s="31" t="n">
        <f aca="false">Q38+R38</f>
        <v>-2321399</v>
      </c>
      <c r="T38" s="30" t="n">
        <f aca="false">SUMIFS('Détail fonctionnement'!$E$5:$E$463,'Détail fonctionnement'!$A$5:$A$463,T$2,'Détail fonctionnement'!$G$5:$G$463,"O",'Détail fonctionnement'!$B$5:$B$463,$A38)</f>
        <v>0</v>
      </c>
      <c r="U38" s="31" t="n">
        <f aca="false">S38+T38</f>
        <v>-2321399</v>
      </c>
      <c r="V38" s="30" t="n">
        <f aca="false">SUMIFS('Détail fonctionnement'!$E$5:$E$463,'Détail fonctionnement'!$A$5:$A$463,V$2,'Détail fonctionnement'!$G$5:$G$463,"O",'Détail fonctionnement'!$B$5:$B$463,$A38)</f>
        <v>0</v>
      </c>
      <c r="W38" s="31" t="n">
        <f aca="false">U38+V38</f>
        <v>-2321399</v>
      </c>
      <c r="X38" s="1"/>
      <c r="Y38" s="1"/>
    </row>
    <row r="39" customFormat="false" ht="14.25" hidden="false" customHeight="false" outlineLevel="0" collapsed="false">
      <c r="A39" s="1"/>
      <c r="B39" s="1"/>
      <c r="C39" s="32" t="s">
        <v>58</v>
      </c>
      <c r="D39" s="33" t="s">
        <v>26</v>
      </c>
      <c r="E39" s="1"/>
      <c r="F39" s="34" t="n">
        <f aca="false">M39/$E$3</f>
        <v>17791.6555505925</v>
      </c>
      <c r="G39" s="32"/>
      <c r="H39" s="32"/>
      <c r="I39" s="32"/>
      <c r="J39" s="32"/>
      <c r="K39" s="32"/>
      <c r="L39" s="1"/>
      <c r="M39" s="34" t="n">
        <f aca="false">'Position CI 30-09'!F28</f>
        <v>11670561</v>
      </c>
      <c r="N39" s="35"/>
      <c r="O39" s="36"/>
      <c r="P39" s="35"/>
      <c r="Q39" s="36"/>
      <c r="R39" s="35"/>
      <c r="S39" s="36"/>
      <c r="T39" s="35"/>
      <c r="U39" s="36"/>
      <c r="V39" s="35"/>
      <c r="W39" s="36"/>
      <c r="X39" s="1"/>
      <c r="Y39" s="1"/>
    </row>
    <row r="40" customFormat="false" ht="14.25" hidden="false" customHeight="false" outlineLevel="0" collapsed="false">
      <c r="A40" s="1"/>
      <c r="B40" s="1"/>
      <c r="C40" s="32" t="s">
        <v>59</v>
      </c>
      <c r="D40" s="33" t="s">
        <v>26</v>
      </c>
      <c r="E40" s="1"/>
      <c r="F40" s="34" t="n">
        <f aca="false">M40/$E$3</f>
        <v>54.8816462054677</v>
      </c>
      <c r="G40" s="32"/>
      <c r="H40" s="32"/>
      <c r="I40" s="32"/>
      <c r="J40" s="32"/>
      <c r="K40" s="32"/>
      <c r="L40" s="1"/>
      <c r="M40" s="34" t="n">
        <f aca="false">'Position CI 30-09'!F29</f>
        <v>36000</v>
      </c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1"/>
      <c r="Y40" s="1"/>
    </row>
    <row r="41" customFormat="false" ht="14.25" hidden="false" customHeight="false" outlineLevel="0" collapsed="false">
      <c r="A41" s="1"/>
      <c r="B41" s="1"/>
      <c r="C41" s="32" t="s">
        <v>60</v>
      </c>
      <c r="D41" s="33" t="s">
        <v>26</v>
      </c>
      <c r="E41" s="1"/>
      <c r="F41" s="34" t="n">
        <f aca="false">M41/$E$3</f>
        <v>88.420429997698</v>
      </c>
      <c r="G41" s="32"/>
      <c r="H41" s="32"/>
      <c r="I41" s="32"/>
      <c r="J41" s="32"/>
      <c r="K41" s="32"/>
      <c r="L41" s="1"/>
      <c r="M41" s="34" t="n">
        <f aca="false">'Position CI 30-09'!F30</f>
        <v>58000</v>
      </c>
      <c r="N41" s="35"/>
      <c r="O41" s="36"/>
      <c r="P41" s="35"/>
      <c r="Q41" s="36"/>
      <c r="R41" s="35"/>
      <c r="S41" s="36"/>
      <c r="T41" s="35"/>
      <c r="U41" s="36"/>
      <c r="V41" s="35"/>
      <c r="W41" s="36"/>
      <c r="X41" s="1"/>
      <c r="Y41" s="1"/>
    </row>
    <row r="42" customFormat="false" ht="14.25" hidden="false" customHeight="false" outlineLevel="0" collapsed="false">
      <c r="A42" s="25" t="s">
        <v>61</v>
      </c>
      <c r="B42" s="1"/>
      <c r="C42" s="26" t="s">
        <v>61</v>
      </c>
      <c r="D42" s="27"/>
      <c r="E42" s="28"/>
      <c r="F42" s="29" t="n">
        <f aca="false">M42/$E$3</f>
        <v>4195.21401555285</v>
      </c>
      <c r="G42" s="29" t="n">
        <f aca="false">O42/$E$3</f>
        <v>4195.21401555285</v>
      </c>
      <c r="H42" s="29" t="n">
        <f aca="false">Q42/$E$3</f>
        <v>4195.21401555285</v>
      </c>
      <c r="I42" s="29" t="n">
        <f aca="false">S42/$E$3</f>
        <v>4195.21401555285</v>
      </c>
      <c r="J42" s="29" t="n">
        <f aca="false">U42/$E$3</f>
        <v>4195.21401555285</v>
      </c>
      <c r="K42" s="29" t="n">
        <f aca="false">W42/$E$3</f>
        <v>4195.21401555285</v>
      </c>
      <c r="L42" s="28"/>
      <c r="M42" s="29" t="n">
        <f aca="false">SUM(M43:M43)</f>
        <v>2751880</v>
      </c>
      <c r="N42" s="30" t="n">
        <f aca="false">SUMIFS('Détail fonctionnement'!$E$5:$E$463,'Détail fonctionnement'!$A$5:$A$463,N$2,'Détail fonctionnement'!$G$5:$G$463,"O",'Détail fonctionnement'!$B$5:$B$463,$A42)</f>
        <v>0</v>
      </c>
      <c r="O42" s="31" t="n">
        <f aca="false">M42+N42</f>
        <v>2751880</v>
      </c>
      <c r="P42" s="30" t="n">
        <f aca="false">SUMIFS('Détail fonctionnement'!$E$5:$E$463,'Détail fonctionnement'!$A$5:$A$463,P$2,'Détail fonctionnement'!$G$5:$G$463,"O",'Détail fonctionnement'!$B$5:$B$463,$A42)</f>
        <v>0</v>
      </c>
      <c r="Q42" s="31" t="n">
        <f aca="false">O42+P42</f>
        <v>2751880</v>
      </c>
      <c r="R42" s="30" t="n">
        <f aca="false">SUMIFS('Détail fonctionnement'!$E$5:$E$463,'Détail fonctionnement'!$A$5:$A$463,R$2,'Détail fonctionnement'!$G$5:$G$463,"O",'Détail fonctionnement'!$B$5:$B$463,$A42)</f>
        <v>0</v>
      </c>
      <c r="S42" s="31" t="n">
        <f aca="false">Q42+R42</f>
        <v>2751880</v>
      </c>
      <c r="T42" s="30" t="n">
        <f aca="false">SUMIFS('Détail fonctionnement'!$E$5:$E$463,'Détail fonctionnement'!$A$5:$A$463,T$2,'Détail fonctionnement'!$G$5:$G$463,"O",'Détail fonctionnement'!$B$5:$B$463,$A42)</f>
        <v>0</v>
      </c>
      <c r="U42" s="31" t="n">
        <f aca="false">S42+T42</f>
        <v>2751880</v>
      </c>
      <c r="V42" s="30" t="n">
        <f aca="false">SUMIFS('Détail fonctionnement'!$E$5:$E$463,'Détail fonctionnement'!$A$5:$A$463,V$2,'Détail fonctionnement'!$G$5:$G$463,"O",'Détail fonctionnement'!$B$5:$B$463,$A42)</f>
        <v>0</v>
      </c>
      <c r="W42" s="31" t="n">
        <f aca="false">U42+V42</f>
        <v>2751880</v>
      </c>
      <c r="X42" s="1"/>
      <c r="Y42" s="7"/>
    </row>
    <row r="43" customFormat="false" ht="14.25" hidden="false" customHeight="false" outlineLevel="0" collapsed="false">
      <c r="A43" s="1"/>
      <c r="B43" s="1"/>
      <c r="C43" s="32" t="s">
        <v>62</v>
      </c>
      <c r="D43" s="33" t="s">
        <v>26</v>
      </c>
      <c r="E43" s="1"/>
      <c r="F43" s="34" t="n">
        <f aca="false">M43/$E$3</f>
        <v>4195.21401555285</v>
      </c>
      <c r="G43" s="32"/>
      <c r="H43" s="32"/>
      <c r="I43" s="32"/>
      <c r="J43" s="32"/>
      <c r="K43" s="32"/>
      <c r="L43" s="1"/>
      <c r="M43" s="34" t="n">
        <f aca="false">'Position CI 30-09'!F31</f>
        <v>2751880</v>
      </c>
      <c r="N43" s="35"/>
      <c r="O43" s="36"/>
      <c r="P43" s="35"/>
      <c r="Q43" s="36"/>
      <c r="R43" s="35"/>
      <c r="S43" s="36"/>
      <c r="T43" s="35"/>
      <c r="U43" s="36"/>
      <c r="V43" s="35"/>
      <c r="W43" s="36"/>
      <c r="X43" s="1"/>
      <c r="Y43" s="1"/>
    </row>
    <row r="44" customFormat="false" ht="14.25" hidden="false" customHeight="false" outlineLevel="0" collapsed="false">
      <c r="A44" s="25" t="s">
        <v>63</v>
      </c>
      <c r="B44" s="1"/>
      <c r="C44" s="26" t="s">
        <v>63</v>
      </c>
      <c r="D44" s="27"/>
      <c r="E44" s="28"/>
      <c r="F44" s="29" t="n">
        <f aca="false">M44/$E$3</f>
        <v>9241.46247391216</v>
      </c>
      <c r="G44" s="29" t="n">
        <f aca="false">O44/$E$3</f>
        <v>8729.08132697723</v>
      </c>
      <c r="H44" s="29" t="n">
        <f aca="false">Q44/$E$3</f>
        <v>8729.08132697723</v>
      </c>
      <c r="I44" s="29" t="n">
        <f aca="false">S44/$E$3</f>
        <v>8729.08132697723</v>
      </c>
      <c r="J44" s="29" t="n">
        <f aca="false">U44/$E$3</f>
        <v>8729.08132697723</v>
      </c>
      <c r="K44" s="29" t="n">
        <f aca="false">W44/$E$3</f>
        <v>8729.08132697723</v>
      </c>
      <c r="L44" s="28"/>
      <c r="M44" s="29" t="n">
        <f aca="false">SUM(M45:M45)</f>
        <v>6062002</v>
      </c>
      <c r="N44" s="30" t="n">
        <f aca="false">SUMIFS('Détail fonctionnement'!$E$5:$E$463,'Détail fonctionnement'!$A$5:$A$463,N$2,'Détail fonctionnement'!$G$5:$G$463,"O",'Détail fonctionnement'!$B$5:$B$463,$A44)</f>
        <v>-336100</v>
      </c>
      <c r="O44" s="31" t="n">
        <f aca="false">M44+N44</f>
        <v>5725902</v>
      </c>
      <c r="P44" s="30" t="n">
        <f aca="false">SUMIFS('Détail fonctionnement'!$E$5:$E$463,'Détail fonctionnement'!$A$5:$A$463,P$2,'Détail fonctionnement'!$G$5:$G$463,"O",'Détail fonctionnement'!$B$5:$B$463,$A44)</f>
        <v>0</v>
      </c>
      <c r="Q44" s="31" t="n">
        <f aca="false">O44+P44</f>
        <v>5725902</v>
      </c>
      <c r="R44" s="30" t="n">
        <f aca="false">SUMIFS('Détail fonctionnement'!$E$5:$E$463,'Détail fonctionnement'!$A$5:$A$463,R$2,'Détail fonctionnement'!$G$5:$G$463,"O",'Détail fonctionnement'!$B$5:$B$463,$A44)</f>
        <v>0</v>
      </c>
      <c r="S44" s="31" t="n">
        <f aca="false">Q44+R44</f>
        <v>5725902</v>
      </c>
      <c r="T44" s="30" t="n">
        <f aca="false">SUMIFS('Détail fonctionnement'!$E$5:$E$463,'Détail fonctionnement'!$A$5:$A$463,T$2,'Détail fonctionnement'!$G$5:$G$463,"O",'Détail fonctionnement'!$B$5:$B$463,$A44)</f>
        <v>0</v>
      </c>
      <c r="U44" s="31" t="n">
        <f aca="false">S44+T44</f>
        <v>5725902</v>
      </c>
      <c r="V44" s="30" t="n">
        <f aca="false">SUMIFS('Détail fonctionnement'!$E$5:$E$463,'Détail fonctionnement'!$A$5:$A$463,V$2,'Détail fonctionnement'!$G$5:$G$463,"O",'Détail fonctionnement'!$B$5:$B$463,$A44)</f>
        <v>0</v>
      </c>
      <c r="W44" s="31" t="n">
        <f aca="false">U44+V44</f>
        <v>5725902</v>
      </c>
      <c r="X44" s="1"/>
      <c r="Y44" s="1"/>
    </row>
    <row r="45" customFormat="false" ht="14.25" hidden="false" customHeight="false" outlineLevel="0" collapsed="false">
      <c r="A45" s="1"/>
      <c r="B45" s="1"/>
      <c r="C45" s="32" t="s">
        <v>64</v>
      </c>
      <c r="D45" s="33" t="s">
        <v>26</v>
      </c>
      <c r="E45" s="1"/>
      <c r="F45" s="34" t="n">
        <f aca="false">M45/$E$3</f>
        <v>9241.46247391216</v>
      </c>
      <c r="G45" s="32"/>
      <c r="H45" s="32"/>
      <c r="I45" s="32"/>
      <c r="J45" s="32"/>
      <c r="K45" s="32"/>
      <c r="L45" s="1"/>
      <c r="M45" s="34" t="n">
        <f aca="false">'Position CI 30-09'!F32</f>
        <v>6062002</v>
      </c>
      <c r="N45" s="35"/>
      <c r="O45" s="36"/>
      <c r="P45" s="35"/>
      <c r="Q45" s="36"/>
      <c r="R45" s="35"/>
      <c r="S45" s="36"/>
      <c r="T45" s="35"/>
      <c r="U45" s="36"/>
      <c r="V45" s="35"/>
      <c r="W45" s="36"/>
      <c r="X45" s="1"/>
      <c r="Y45" s="1"/>
    </row>
    <row r="46" customFormat="false" ht="14.25" hidden="false" customHeight="false" outlineLevel="0" collapsed="false">
      <c r="A46" s="25" t="s">
        <v>65</v>
      </c>
      <c r="B46" s="1"/>
      <c r="C46" s="26" t="s">
        <v>65</v>
      </c>
      <c r="D46" s="27"/>
      <c r="E46" s="28"/>
      <c r="F46" s="29" t="n">
        <f aca="false">M46/$E$3</f>
        <v>0</v>
      </c>
      <c r="G46" s="29" t="n">
        <f aca="false">O46/$E$3</f>
        <v>-6049.17700398044</v>
      </c>
      <c r="H46" s="29" t="n">
        <f aca="false">Q46/$E$3</f>
        <v>-6049.17700398044</v>
      </c>
      <c r="I46" s="29" t="n">
        <f aca="false">S46/$E$3</f>
        <v>-6049.17700398044</v>
      </c>
      <c r="J46" s="29" t="n">
        <f aca="false">U46/$E$3</f>
        <v>-6049.17700398044</v>
      </c>
      <c r="K46" s="29" t="n">
        <f aca="false">W46/$E$3</f>
        <v>-6049.17700398044</v>
      </c>
      <c r="L46" s="28"/>
      <c r="M46" s="29" t="n">
        <v>0</v>
      </c>
      <c r="N46" s="30" t="n">
        <f aca="false">SUMIFS('Détail fonctionnement'!$E$5:$E$463,'Détail fonctionnement'!$A$5:$A$463,N$2,'Détail fonctionnement'!$G$5:$G$463,"O",'Détail fonctionnement'!$B$5:$B$463,$A46)</f>
        <v>-3968000</v>
      </c>
      <c r="O46" s="31" t="n">
        <f aca="false">M46+N46</f>
        <v>-3968000</v>
      </c>
      <c r="P46" s="30" t="n">
        <f aca="false">SUMIFS('Détail fonctionnement'!$E$5:$E$463,'Détail fonctionnement'!$A$5:$A$463,P$2,'Détail fonctionnement'!$G$5:$G$463,"O",'Détail fonctionnement'!$B$5:$B$463,$A46)</f>
        <v>0</v>
      </c>
      <c r="Q46" s="31" t="n">
        <f aca="false">O46+P46</f>
        <v>-3968000</v>
      </c>
      <c r="R46" s="30" t="n">
        <f aca="false">SUMIFS('Détail fonctionnement'!$E$5:$E$463,'Détail fonctionnement'!$A$5:$A$463,R$2,'Détail fonctionnement'!$G$5:$G$463,"O",'Détail fonctionnement'!$B$5:$B$463,$A46)</f>
        <v>0</v>
      </c>
      <c r="S46" s="31" t="n">
        <f aca="false">Q46+R46</f>
        <v>-3968000</v>
      </c>
      <c r="T46" s="30" t="n">
        <f aca="false">SUMIFS('Détail fonctionnement'!$E$5:$E$463,'Détail fonctionnement'!$A$5:$A$463,T$2,'Détail fonctionnement'!$G$5:$G$463,"O",'Détail fonctionnement'!$B$5:$B$463,$A46)</f>
        <v>0</v>
      </c>
      <c r="U46" s="31" t="n">
        <f aca="false">S46+T46</f>
        <v>-3968000</v>
      </c>
      <c r="V46" s="30" t="n">
        <f aca="false">SUMIFS('Détail fonctionnement'!$E$5:$E$463,'Détail fonctionnement'!$A$5:$A$463,V$2,'Détail fonctionnement'!$G$5:$G$463,"O",'Détail fonctionnement'!$B$5:$B$463,$A46)</f>
        <v>0</v>
      </c>
      <c r="W46" s="31" t="n">
        <f aca="false">U46+V46</f>
        <v>-3968000</v>
      </c>
      <c r="X46" s="1"/>
      <c r="Y46" s="7"/>
    </row>
    <row r="47" customFormat="false" ht="14.25" hidden="false" customHeight="false" outlineLevel="0" collapsed="false">
      <c r="A47" s="1"/>
      <c r="B47" s="1"/>
      <c r="C47" s="37" t="s">
        <v>66</v>
      </c>
      <c r="D47" s="38"/>
      <c r="E47" s="1"/>
      <c r="F47" s="39" t="n">
        <f aca="false">F11+F15+F18+F22+F26+F32+F35+F38+F42+F44+F46</f>
        <v>3886180.55604255</v>
      </c>
      <c r="G47" s="39" t="n">
        <f aca="false">G11+G15+G18+G22+G26+G32+G35+G38+G42+G44+G46</f>
        <v>4342113.05009322</v>
      </c>
      <c r="H47" s="39" t="n">
        <f aca="false">H11+H15+H18+H22+H26+H32+H35+H38+H42+H44+H46</f>
        <v>4298147.79322425</v>
      </c>
      <c r="I47" s="39" t="n">
        <f aca="false">I11+I15+I18+I22+I26+I32+I35+I38+I42+I44+I46</f>
        <v>4298147.79322425</v>
      </c>
      <c r="J47" s="39" t="n">
        <f aca="false">J11+J15+J18+J22+J26+J32+J35+J38+J42+J44+J46</f>
        <v>4298147.79322425</v>
      </c>
      <c r="K47" s="39" t="n">
        <f aca="false">K11+K15+K18+K22+K26+K32+K35+K38+K42+K44+K46</f>
        <v>4298147.79322425</v>
      </c>
      <c r="L47" s="1"/>
      <c r="M47" s="39" t="n">
        <f aca="false">M11+M15+M18+M22+M26+M32+M35+M38+M42+M44+M46</f>
        <v>2549167339</v>
      </c>
      <c r="N47" s="40" t="n">
        <f aca="false">N11+N15+N18+N22+N26+N32+N35+N38+N42+N44+N46</f>
        <v>299072111</v>
      </c>
      <c r="O47" s="41" t="n">
        <f aca="false">O11+O15+O18+O22+O26+O32+O35+O38+O42+O44+O46</f>
        <v>2848239450</v>
      </c>
      <c r="P47" s="40" t="n">
        <f aca="false">P11+P15+P18+P22+P26+P32+P35+P38+P42+P44+P46</f>
        <v>-28839318</v>
      </c>
      <c r="Q47" s="41" t="n">
        <f aca="false">Q11+Q15+Q18+Q22+Q26+Q32+Q35+Q38+Q42+Q44+Q46</f>
        <v>2819400132</v>
      </c>
      <c r="R47" s="40" t="n">
        <f aca="false">R11+R15+R18+R22+R26+R32+R35+R38+R42+R44+R46</f>
        <v>0</v>
      </c>
      <c r="S47" s="41" t="n">
        <f aca="false">S11+S15+S18+S22+S26+S32+S35+S38+S42+S44+S46</f>
        <v>2819400132</v>
      </c>
      <c r="T47" s="40" t="n">
        <f aca="false">T11+T15+T18+T22+T26+T32+T35+T38+T42+T44+T46</f>
        <v>0</v>
      </c>
      <c r="U47" s="41" t="n">
        <f aca="false">U11+U15+U18+U22+U26+U32+U35+U38+U42+U44+U46</f>
        <v>2819400132</v>
      </c>
      <c r="V47" s="40" t="n">
        <f aca="false">V11+V15+V18+V22+V26+V32+V35+V38+V42+V44+V46</f>
        <v>0</v>
      </c>
      <c r="W47" s="41" t="n">
        <f aca="false">W11+W15+W18+W22+W26+W32+W35+W38+W42+W44+W46</f>
        <v>2819400132</v>
      </c>
      <c r="X47" s="1"/>
      <c r="Y47" s="1"/>
    </row>
    <row r="48" customFormat="false" ht="14.2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customFormat="false" ht="14.25" hidden="false" customHeight="false" outlineLevel="0" collapsed="false">
      <c r="A49" s="1"/>
      <c r="B49" s="1"/>
      <c r="C49" s="3" t="s">
        <v>67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customFormat="false" ht="14.25" hidden="false" customHeight="false" outlineLevel="0" collapsed="false">
      <c r="A50" s="25" t="s">
        <v>68</v>
      </c>
      <c r="B50" s="1"/>
      <c r="C50" s="42" t="s">
        <v>69</v>
      </c>
      <c r="D50" s="43" t="s">
        <v>70</v>
      </c>
      <c r="E50" s="1"/>
      <c r="F50" s="44" t="n">
        <f aca="false">M50/$E$3</f>
        <v>4029440.18129237</v>
      </c>
      <c r="G50" s="44" t="n">
        <f aca="false">O50/$E$3</f>
        <v>998089.024001592</v>
      </c>
      <c r="H50" s="44" t="n">
        <f aca="false">Q50/$E$3</f>
        <v>-896054.319928682</v>
      </c>
      <c r="I50" s="44" t="n">
        <f aca="false">S50/$E$3</f>
        <v>-896054.319928682</v>
      </c>
      <c r="J50" s="44" t="n">
        <f aca="false">U50/$E$3</f>
        <v>-916753.97344401</v>
      </c>
      <c r="K50" s="44" t="n">
        <f aca="false">W50/$E$3</f>
        <v>-916753.97344401</v>
      </c>
      <c r="L50" s="1"/>
      <c r="M50" s="44" t="n">
        <f aca="false">'Position CI 30-09'!F33</f>
        <v>2643139493</v>
      </c>
      <c r="N50" s="30" t="n">
        <f aca="false">SUMIFS('Détail projets &amp; dettes'!$I$5:$I$413,'Détail projets &amp; dettes'!$A$5:$A$413,N$2,'Détail projets &amp; dettes'!$J$5:$J$413,"O",'Détail projets &amp; dettes'!$B$5:$B$413,$A50)</f>
        <v>-1988436011.08299</v>
      </c>
      <c r="O50" s="31" t="n">
        <f aca="false">M50+N50</f>
        <v>654703481.917012</v>
      </c>
      <c r="P50" s="30" t="n">
        <f aca="false">SUMIFS('Détail projets &amp; dettes'!$I$5:$I$413,'Détail projets &amp; dettes'!$A$5:$A$413,P$2,'Détail projets &amp; dettes'!$J$5:$J$413,"O",'Détail projets &amp; dettes'!$B$5:$B$413,$A50)</f>
        <v>-1242476585.45447</v>
      </c>
      <c r="Q50" s="31" t="n">
        <f aca="false">O50+P50</f>
        <v>-587773103.537459</v>
      </c>
      <c r="R50" s="30" t="n">
        <f aca="false">SUMIFS('Détail projets &amp; dettes'!$I$5:$I$413,'Détail projets &amp; dettes'!$A$5:$A$413,R$2,'Détail projets &amp; dettes'!$J$5:$J$413,"O",'Détail projets &amp; dettes'!$B$5:$B$413,$A50)</f>
        <v>0</v>
      </c>
      <c r="S50" s="31" t="n">
        <f aca="false">Q50+R50</f>
        <v>-587773103.537459</v>
      </c>
      <c r="T50" s="30" t="n">
        <f aca="false">SUMIFS('Détail projets &amp; dettes'!$I$5:$I$413,'Détail projets &amp; dettes'!$A$5:$A$413,T$2,'Détail projets &amp; dettes'!$J$5:$J$413,"O",'Détail projets &amp; dettes'!$B$5:$B$413,$A50)</f>
        <v>-13578082.6209537</v>
      </c>
      <c r="U50" s="31" t="n">
        <f aca="false">S50+T50</f>
        <v>-601351186.158413</v>
      </c>
      <c r="V50" s="30" t="n">
        <f aca="false">SUMIFS('Détail projets &amp; dettes'!$I$5:$I$413,'Détail projets &amp; dettes'!$A$5:$A$413,V$2,'Détail projets &amp; dettes'!$J$5:$J$413,"O",'Détail projets &amp; dettes'!$B$5:$B$413,$A50)</f>
        <v>0</v>
      </c>
      <c r="W50" s="31" t="n">
        <f aca="false">U50+V50</f>
        <v>-601351186.158413</v>
      </c>
      <c r="X50" s="1"/>
      <c r="Y50" s="7"/>
    </row>
    <row r="51" customFormat="false" ht="14.25" hidden="false" customHeight="false" outlineLevel="0" collapsed="false">
      <c r="A51" s="25" t="s">
        <v>71</v>
      </c>
      <c r="B51" s="1"/>
      <c r="C51" s="42" t="s">
        <v>72</v>
      </c>
      <c r="D51" s="43" t="s">
        <v>73</v>
      </c>
      <c r="E51" s="1"/>
      <c r="F51" s="44" t="n">
        <f aca="false">M51/$E$3</f>
        <v>2259148.83140206</v>
      </c>
      <c r="G51" s="44" t="n">
        <f aca="false">O51/$E$3</f>
        <v>-1097895.41885759</v>
      </c>
      <c r="H51" s="44" t="n">
        <f aca="false">Q51/$E$3</f>
        <v>-1817834.11685867</v>
      </c>
      <c r="I51" s="44" t="n">
        <f aca="false">S51/$E$3</f>
        <v>-1817834.11685867</v>
      </c>
      <c r="J51" s="44" t="n">
        <f aca="false">U51/$E$3</f>
        <v>-1838414.91255107</v>
      </c>
      <c r="K51" s="44" t="n">
        <f aca="false">W51/$E$3</f>
        <v>-1838414.91255107</v>
      </c>
      <c r="L51" s="1"/>
      <c r="M51" s="44" t="n">
        <f aca="false">'Position CI 30-09'!F34</f>
        <v>1481904490</v>
      </c>
      <c r="N51" s="30" t="n">
        <f aca="false">SUMIFS('Détail projets &amp; dettes'!$I$5:$I$413,'Détail projets &amp; dettes'!$A$5:$A$413,N$2,'Détail projets &amp; dettes'!$J$5:$J$413,"O",'Détail projets &amp; dettes'!$B$5:$B$413,$A51)</f>
        <v>-2202076675.26757</v>
      </c>
      <c r="O51" s="31" t="n">
        <f aca="false">M51+N51</f>
        <v>-720172185.267569</v>
      </c>
      <c r="P51" s="30" t="n">
        <f aca="false">SUMIFS('Détail projets &amp; dettes'!$I$5:$I$413,'Détail projets &amp; dettes'!$A$5:$A$413,P$2,'Détail projets &amp; dettes'!$J$5:$J$413,"O",'Détail projets &amp; dettes'!$B$5:$B$413,$A51)</f>
        <v>-472248828.524694</v>
      </c>
      <c r="Q51" s="31" t="n">
        <f aca="false">O51+P51</f>
        <v>-1192421013.79226</v>
      </c>
      <c r="R51" s="30" t="n">
        <f aca="false">SUMIFS('Détail projets &amp; dettes'!$I$5:$I$413,'Détail projets &amp; dettes'!$A$5:$A$413,R$2,'Détail projets &amp; dettes'!$J$5:$J$413,"O",'Détail projets &amp; dettes'!$B$5:$B$413,$A51)</f>
        <v>0</v>
      </c>
      <c r="S51" s="31" t="n">
        <f aca="false">Q51+R51</f>
        <v>-1192421013.79226</v>
      </c>
      <c r="T51" s="30" t="n">
        <f aca="false">SUMIFS('Détail projets &amp; dettes'!$I$5:$I$413,'Détail projets &amp; dettes'!$A$5:$A$413,T$2,'Détail projets &amp; dettes'!$J$5:$J$413,"O",'Détail projets &amp; dettes'!$B$5:$B$413,$A51)</f>
        <v>-13500117</v>
      </c>
      <c r="U51" s="31" t="n">
        <f aca="false">S51+T51</f>
        <v>-1205921130.79226</v>
      </c>
      <c r="V51" s="30" t="n">
        <f aca="false">SUMIFS('Détail projets &amp; dettes'!$I$5:$I$413,'Détail projets &amp; dettes'!$A$5:$A$413,V$2,'Détail projets &amp; dettes'!$J$5:$J$413,"O",'Détail projets &amp; dettes'!$B$5:$B$413,$A51)</f>
        <v>0</v>
      </c>
      <c r="W51" s="31" t="n">
        <f aca="false">U51+V51</f>
        <v>-1205921130.79226</v>
      </c>
      <c r="X51" s="1"/>
      <c r="Y51" s="7"/>
    </row>
    <row r="52" customFormat="false" ht="14.25" hidden="false" customHeight="false" outlineLevel="0" collapsed="false">
      <c r="A52" s="25" t="s">
        <v>74</v>
      </c>
      <c r="B52" s="1"/>
      <c r="C52" s="42" t="s">
        <v>75</v>
      </c>
      <c r="D52" s="43" t="s">
        <v>76</v>
      </c>
      <c r="E52" s="1"/>
      <c r="F52" s="44" t="n">
        <f aca="false">M52/$E$3</f>
        <v>534680.000365878</v>
      </c>
      <c r="G52" s="44" t="n">
        <f aca="false">O52/$E$3</f>
        <v>10362.6320017928</v>
      </c>
      <c r="H52" s="44" t="n">
        <f aca="false">Q52/$E$3</f>
        <v>10362.6320017928</v>
      </c>
      <c r="I52" s="44" t="n">
        <f aca="false">S52/$E$3</f>
        <v>10362.6320017928</v>
      </c>
      <c r="J52" s="44" t="n">
        <f aca="false">U52/$E$3</f>
        <v>10362.6320017928</v>
      </c>
      <c r="K52" s="44" t="n">
        <f aca="false">W52/$E$3</f>
        <v>10362.6320017928</v>
      </c>
      <c r="L52" s="1"/>
      <c r="M52" s="44" t="n">
        <f aca="false">'Position CI 30-09'!F10</f>
        <v>350727089</v>
      </c>
      <c r="N52" s="30" t="n">
        <f aca="false">SUMIFS('Détail projets &amp; dettes'!$I$5:$I$413,'Détail projets &amp; dettes'!$A$5:$A$413,N$2,'Détail projets &amp; dettes'!$J$5:$J$413,"O",'Détail projets &amp; dettes'!$B$5:$B$413,$A52)</f>
        <v>-343929648</v>
      </c>
      <c r="O52" s="31" t="n">
        <f aca="false">M52+N52</f>
        <v>6797441</v>
      </c>
      <c r="P52" s="30" t="n">
        <f aca="false">SUMIFS('Détail projets &amp; dettes'!$I$5:$I$413,'Détail projets &amp; dettes'!$A$5:$A$413,P$2,'Détail projets &amp; dettes'!$J$5:$J$413,"O",'Détail projets &amp; dettes'!$B$5:$B$413,$A52)</f>
        <v>0</v>
      </c>
      <c r="Q52" s="31" t="n">
        <f aca="false">O52+P52</f>
        <v>6797441</v>
      </c>
      <c r="R52" s="30" t="n">
        <f aca="false">SUMIFS('Détail projets &amp; dettes'!$I$5:$I$413,'Détail projets &amp; dettes'!$A$5:$A$413,R$2,'Détail projets &amp; dettes'!$J$5:$J$413,"O",'Détail projets &amp; dettes'!$B$5:$B$413,$A52)</f>
        <v>0</v>
      </c>
      <c r="S52" s="31" t="n">
        <f aca="false">Q52+R52</f>
        <v>6797441</v>
      </c>
      <c r="T52" s="30" t="n">
        <f aca="false">SUMIFS('Détail projets &amp; dettes'!$I$5:$I$413,'Détail projets &amp; dettes'!$A$5:$A$413,T$2,'Détail projets &amp; dettes'!$J$5:$J$413,"O",'Détail projets &amp; dettes'!$B$5:$B$413,$A52)</f>
        <v>0</v>
      </c>
      <c r="U52" s="31" t="n">
        <f aca="false">S52+T52</f>
        <v>6797441</v>
      </c>
      <c r="V52" s="30" t="n">
        <f aca="false">SUMIFS('Détail projets &amp; dettes'!$I$5:$I$413,'Détail projets &amp; dettes'!$A$5:$A$413,V$2,'Détail projets &amp; dettes'!$J$5:$J$413,"O",'Détail projets &amp; dettes'!$B$5:$B$413,$A52)</f>
        <v>0</v>
      </c>
      <c r="W52" s="31" t="n">
        <f aca="false">U52+V52</f>
        <v>6797441</v>
      </c>
      <c r="X52" s="1"/>
      <c r="Y52" s="7"/>
    </row>
    <row r="53" customFormat="false" ht="14.25" hidden="false" customHeight="false" outlineLevel="0" collapsed="false">
      <c r="A53" s="25" t="s">
        <v>77</v>
      </c>
      <c r="B53" s="1"/>
      <c r="C53" s="42" t="s">
        <v>78</v>
      </c>
      <c r="D53" s="43" t="s">
        <v>79</v>
      </c>
      <c r="E53" s="1"/>
      <c r="F53" s="44" t="n">
        <f aca="false">M53/$E$3</f>
        <v>64790.8323258994</v>
      </c>
      <c r="G53" s="44" t="n">
        <f aca="false">O53/$E$3</f>
        <v>64790.8323258994</v>
      </c>
      <c r="H53" s="44" t="n">
        <f aca="false">Q53/$E$3</f>
        <v>64790.8323258994</v>
      </c>
      <c r="I53" s="44" t="n">
        <f aca="false">S53/$E$3</f>
        <v>64790.8323258994</v>
      </c>
      <c r="J53" s="44" t="n">
        <f aca="false">U53/$E$3</f>
        <v>64790.8323258994</v>
      </c>
      <c r="K53" s="44" t="n">
        <f aca="false">W53/$E$3</f>
        <v>64790.8323258994</v>
      </c>
      <c r="L53" s="1"/>
      <c r="M53" s="44" t="n">
        <f aca="false">'Position CI 30-09'!F11</f>
        <v>42500000</v>
      </c>
      <c r="N53" s="30" t="n">
        <f aca="false">SUMIFS('Détail projets &amp; dettes'!$I$5:$I$413,'Détail projets &amp; dettes'!$A$5:$A$413,N$2,'Détail projets &amp; dettes'!$J$5:$J$413,"O",'Détail projets &amp; dettes'!$B$5:$B$413,$A53)</f>
        <v>0</v>
      </c>
      <c r="O53" s="31" t="n">
        <f aca="false">M53+N53</f>
        <v>42500000</v>
      </c>
      <c r="P53" s="30" t="n">
        <f aca="false">SUMIFS('Détail projets &amp; dettes'!$I$5:$I$413,'Détail projets &amp; dettes'!$A$5:$A$413,P$2,'Détail projets &amp; dettes'!$J$5:$J$413,"O",'Détail projets &amp; dettes'!$B$5:$B$413,$A53)</f>
        <v>0</v>
      </c>
      <c r="Q53" s="31" t="n">
        <f aca="false">O53+P53</f>
        <v>42500000</v>
      </c>
      <c r="R53" s="30" t="n">
        <f aca="false">SUMIFS('Détail projets &amp; dettes'!$I$5:$I$413,'Détail projets &amp; dettes'!$A$5:$A$413,R$2,'Détail projets &amp; dettes'!$J$5:$J$413,"O",'Détail projets &amp; dettes'!$B$5:$B$413,$A53)</f>
        <v>0</v>
      </c>
      <c r="S53" s="31" t="n">
        <f aca="false">Q53+R53</f>
        <v>42500000</v>
      </c>
      <c r="T53" s="30" t="n">
        <f aca="false">SUMIFS('Détail projets &amp; dettes'!$I$5:$I$413,'Détail projets &amp; dettes'!$A$5:$A$413,T$2,'Détail projets &amp; dettes'!$J$5:$J$413,"O",'Détail projets &amp; dettes'!$B$5:$B$413,$A53)</f>
        <v>0</v>
      </c>
      <c r="U53" s="31" t="n">
        <f aca="false">S53+T53</f>
        <v>42500000</v>
      </c>
      <c r="V53" s="30" t="n">
        <f aca="false">SUMIFS('Détail projets &amp; dettes'!$I$5:$I$413,'Détail projets &amp; dettes'!$A$5:$A$413,V$2,'Détail projets &amp; dettes'!$J$5:$J$413,"O",'Détail projets &amp; dettes'!$B$5:$B$413,$A53)</f>
        <v>0</v>
      </c>
      <c r="W53" s="31" t="n">
        <f aca="false">U53+V53</f>
        <v>42500000</v>
      </c>
      <c r="X53" s="1"/>
      <c r="Y53" s="1"/>
    </row>
    <row r="54" customFormat="false" ht="14.25" hidden="false" customHeight="false" outlineLevel="0" collapsed="false">
      <c r="A54" s="25" t="s">
        <v>80</v>
      </c>
      <c r="B54" s="1"/>
      <c r="C54" s="42" t="s">
        <v>81</v>
      </c>
      <c r="D54" s="43" t="s">
        <v>82</v>
      </c>
      <c r="E54" s="1"/>
      <c r="F54" s="44" t="n">
        <f aca="false">M54/$E$3</f>
        <v>40077.8663845344</v>
      </c>
      <c r="G54" s="44" t="n">
        <f aca="false">O54/$E$3</f>
        <v>40077.8663845344</v>
      </c>
      <c r="H54" s="44" t="n">
        <f aca="false">Q54/$E$3</f>
        <v>40077.8663845344</v>
      </c>
      <c r="I54" s="44" t="n">
        <f aca="false">S54/$E$3</f>
        <v>40077.8663845344</v>
      </c>
      <c r="J54" s="44" t="n">
        <f aca="false">U54/$E$3</f>
        <v>40077.8663845344</v>
      </c>
      <c r="K54" s="44" t="n">
        <f aca="false">W54/$E$3</f>
        <v>40077.8663845344</v>
      </c>
      <c r="L54" s="1"/>
      <c r="M54" s="44" t="n">
        <f aca="false">'Position CI 30-09'!F12</f>
        <v>26289357</v>
      </c>
      <c r="N54" s="30" t="n">
        <f aca="false">SUMIFS('Détail projets &amp; dettes'!$I$5:$I$413,'Détail projets &amp; dettes'!$A$5:$A$413,N$2,'Détail projets &amp; dettes'!$J$5:$J$413,"O",'Détail projets &amp; dettes'!$B$5:$B$413,$A54)</f>
        <v>0</v>
      </c>
      <c r="O54" s="31" t="n">
        <f aca="false">M54+N54</f>
        <v>26289357</v>
      </c>
      <c r="P54" s="30" t="n">
        <f aca="false">SUMIFS('Détail projets &amp; dettes'!$I$5:$I$413,'Détail projets &amp; dettes'!$A$5:$A$413,P$2,'Détail projets &amp; dettes'!$J$5:$J$413,"O",'Détail projets &amp; dettes'!$B$5:$B$413,$A54)</f>
        <v>0</v>
      </c>
      <c r="Q54" s="31" t="n">
        <f aca="false">O54+P54</f>
        <v>26289357</v>
      </c>
      <c r="R54" s="30" t="n">
        <f aca="false">SUMIFS('Détail projets &amp; dettes'!$I$5:$I$413,'Détail projets &amp; dettes'!$A$5:$A$413,R$2,'Détail projets &amp; dettes'!$J$5:$J$413,"O",'Détail projets &amp; dettes'!$B$5:$B$413,$A54)</f>
        <v>0</v>
      </c>
      <c r="S54" s="31" t="n">
        <f aca="false">Q54+R54</f>
        <v>26289357</v>
      </c>
      <c r="T54" s="30" t="n">
        <f aca="false">SUMIFS('Détail projets &amp; dettes'!$I$5:$I$413,'Détail projets &amp; dettes'!$A$5:$A$413,T$2,'Détail projets &amp; dettes'!$J$5:$J$413,"O",'Détail projets &amp; dettes'!$B$5:$B$413,$A54)</f>
        <v>0</v>
      </c>
      <c r="U54" s="31" t="n">
        <f aca="false">S54+T54</f>
        <v>26289357</v>
      </c>
      <c r="V54" s="30" t="n">
        <f aca="false">SUMIFS('Détail projets &amp; dettes'!$I$5:$I$413,'Détail projets &amp; dettes'!$A$5:$A$413,V$2,'Détail projets &amp; dettes'!$J$5:$J$413,"O",'Détail projets &amp; dettes'!$B$5:$B$413,$A54)</f>
        <v>0</v>
      </c>
      <c r="W54" s="31" t="n">
        <f aca="false">U54+V54</f>
        <v>26289357</v>
      </c>
      <c r="X54" s="1"/>
      <c r="Y54" s="1"/>
    </row>
    <row r="55" customFormat="false" ht="14.25" hidden="false" customHeight="false" outlineLevel="0" collapsed="false">
      <c r="A55" s="25" t="s">
        <v>83</v>
      </c>
      <c r="B55" s="1"/>
      <c r="C55" s="42" t="s">
        <v>84</v>
      </c>
      <c r="D55" s="43" t="s">
        <v>85</v>
      </c>
      <c r="E55" s="1"/>
      <c r="F55" s="44" t="n">
        <f aca="false">M55/$E$3</f>
        <v>1183172.21555681</v>
      </c>
      <c r="G55" s="44" t="n">
        <f aca="false">O55/$E$3</f>
        <v>1183172.21555681</v>
      </c>
      <c r="H55" s="44" t="n">
        <f aca="false">Q55/$E$3</f>
        <v>1183172.21555681</v>
      </c>
      <c r="I55" s="44" t="n">
        <f aca="false">S55/$E$3</f>
        <v>1183172.21555681</v>
      </c>
      <c r="J55" s="44" t="n">
        <f aca="false">U55/$E$3</f>
        <v>1183172.21555681</v>
      </c>
      <c r="K55" s="44" t="n">
        <f aca="false">W55/$E$3</f>
        <v>1183172.21555681</v>
      </c>
      <c r="L55" s="1"/>
      <c r="M55" s="44" t="n">
        <f aca="false">'Position CI 30-09'!F35</f>
        <v>776110097</v>
      </c>
      <c r="N55" s="30" t="n">
        <f aca="false">SUMIFS('Détail projets &amp; dettes'!$I$5:$I$413,'Détail projets &amp; dettes'!$A$5:$A$413,N$2,'Détail projets &amp; dettes'!$J$5:$J$413,"O",'Détail projets &amp; dettes'!$B$5:$B$413,$A55)</f>
        <v>0</v>
      </c>
      <c r="O55" s="31" t="n">
        <f aca="false">M55+N55</f>
        <v>776110097</v>
      </c>
      <c r="P55" s="30" t="n">
        <f aca="false">SUMIFS('Détail projets &amp; dettes'!$I$5:$I$413,'Détail projets &amp; dettes'!$A$5:$A$413,P$2,'Détail projets &amp; dettes'!$J$5:$J$413,"O",'Détail projets &amp; dettes'!$B$5:$B$413,$A55)</f>
        <v>0</v>
      </c>
      <c r="Q55" s="31" t="n">
        <f aca="false">O55+P55</f>
        <v>776110097</v>
      </c>
      <c r="R55" s="30" t="n">
        <f aca="false">SUMIFS('Détail projets &amp; dettes'!$I$5:$I$413,'Détail projets &amp; dettes'!$A$5:$A$413,R$2,'Détail projets &amp; dettes'!$J$5:$J$413,"O",'Détail projets &amp; dettes'!$B$5:$B$413,$A55)</f>
        <v>0</v>
      </c>
      <c r="S55" s="31" t="n">
        <f aca="false">Q55+R55</f>
        <v>776110097</v>
      </c>
      <c r="T55" s="30" t="n">
        <f aca="false">SUMIFS('Détail projets &amp; dettes'!$I$5:$I$413,'Détail projets &amp; dettes'!$A$5:$A$413,T$2,'Détail projets &amp; dettes'!$J$5:$J$413,"O",'Détail projets &amp; dettes'!$B$5:$B$413,$A55)</f>
        <v>0</v>
      </c>
      <c r="U55" s="31" t="n">
        <f aca="false">S55+T55</f>
        <v>776110097</v>
      </c>
      <c r="V55" s="30" t="n">
        <f aca="false">SUMIFS('Détail projets &amp; dettes'!$I$5:$I$413,'Détail projets &amp; dettes'!$A$5:$A$413,V$2,'Détail projets &amp; dettes'!$J$5:$J$413,"O",'Détail projets &amp; dettes'!$B$5:$B$413,$A55)</f>
        <v>0</v>
      </c>
      <c r="W55" s="31" t="n">
        <f aca="false">U55+V55</f>
        <v>776110097</v>
      </c>
      <c r="X55" s="1"/>
      <c r="Y55" s="1"/>
    </row>
    <row r="56" customFormat="false" ht="14.25" hidden="false" customHeight="false" outlineLevel="0" collapsed="false">
      <c r="A56" s="25" t="s">
        <v>86</v>
      </c>
      <c r="B56" s="1"/>
      <c r="C56" s="42" t="s">
        <v>87</v>
      </c>
      <c r="D56" s="43" t="s">
        <v>88</v>
      </c>
      <c r="E56" s="1"/>
      <c r="F56" s="44" t="n">
        <f aca="false">M56/$E$3</f>
        <v>116270.411017795</v>
      </c>
      <c r="G56" s="44" t="n">
        <f aca="false">O56/$E$3</f>
        <v>116270.411017795</v>
      </c>
      <c r="H56" s="44" t="n">
        <f aca="false">Q56/$E$3</f>
        <v>116270.411017795</v>
      </c>
      <c r="I56" s="44" t="n">
        <f aca="false">S56/$E$3</f>
        <v>116270.411017795</v>
      </c>
      <c r="J56" s="44" t="n">
        <f aca="false">U56/$E$3</f>
        <v>116270.411017795</v>
      </c>
      <c r="K56" s="44" t="n">
        <f aca="false">W56/$E$3</f>
        <v>116270.411017795</v>
      </c>
      <c r="L56" s="1"/>
      <c r="M56" s="44" t="n">
        <f aca="false">'Position CI 30-09'!F36</f>
        <v>76268390</v>
      </c>
      <c r="N56" s="30" t="n">
        <f aca="false">SUMIFS('Détail projets &amp; dettes'!$I$5:$I$413,'Détail projets &amp; dettes'!$A$5:$A$413,N$2,'Détail projets &amp; dettes'!$J$5:$J$413,"O",'Détail projets &amp; dettes'!$B$5:$B$413,$A56)</f>
        <v>0</v>
      </c>
      <c r="O56" s="31" t="n">
        <f aca="false">M56+N56</f>
        <v>76268390</v>
      </c>
      <c r="P56" s="30" t="n">
        <f aca="false">SUMIFS('Détail projets &amp; dettes'!$I$5:$I$413,'Détail projets &amp; dettes'!$A$5:$A$413,P$2,'Détail projets &amp; dettes'!$J$5:$J$413,"O",'Détail projets &amp; dettes'!$B$5:$B$413,$A56)</f>
        <v>0</v>
      </c>
      <c r="Q56" s="31" t="n">
        <f aca="false">O56+P56</f>
        <v>76268390</v>
      </c>
      <c r="R56" s="30" t="n">
        <f aca="false">SUMIFS('Détail projets &amp; dettes'!$I$5:$I$413,'Détail projets &amp; dettes'!$A$5:$A$413,R$2,'Détail projets &amp; dettes'!$J$5:$J$413,"O",'Détail projets &amp; dettes'!$B$5:$B$413,$A56)</f>
        <v>0</v>
      </c>
      <c r="S56" s="31" t="n">
        <f aca="false">Q56+R56</f>
        <v>76268390</v>
      </c>
      <c r="T56" s="30" t="n">
        <f aca="false">SUMIFS('Détail projets &amp; dettes'!$I$5:$I$413,'Détail projets &amp; dettes'!$A$5:$A$413,T$2,'Détail projets &amp; dettes'!$J$5:$J$413,"O",'Détail projets &amp; dettes'!$B$5:$B$413,$A56)</f>
        <v>0</v>
      </c>
      <c r="U56" s="31" t="n">
        <f aca="false">S56+T56</f>
        <v>76268390</v>
      </c>
      <c r="V56" s="30" t="n">
        <f aca="false">SUMIFS('Détail projets &amp; dettes'!$I$5:$I$413,'Détail projets &amp; dettes'!$A$5:$A$413,V$2,'Détail projets &amp; dettes'!$J$5:$J$413,"O",'Détail projets &amp; dettes'!$B$5:$B$413,$A56)</f>
        <v>0</v>
      </c>
      <c r="W56" s="31" t="n">
        <f aca="false">U56+V56</f>
        <v>76268390</v>
      </c>
      <c r="X56" s="1"/>
      <c r="Y56" s="1"/>
    </row>
    <row r="57" customFormat="false" ht="14.25" hidden="false" customHeight="false" outlineLevel="0" collapsed="false">
      <c r="A57" s="1"/>
      <c r="B57" s="1"/>
      <c r="C57" s="37" t="s">
        <v>89</v>
      </c>
      <c r="D57" s="38"/>
      <c r="E57" s="1"/>
      <c r="F57" s="39" t="n">
        <f aca="false">SUM(F50:F56)</f>
        <v>8227580.33834535</v>
      </c>
      <c r="G57" s="39" t="n">
        <f aca="false">SUM(G50:G56)</f>
        <v>1314867.56243083</v>
      </c>
      <c r="H57" s="39" t="n">
        <f aca="false">SUM(H50:H56)</f>
        <v>-1299214.47950052</v>
      </c>
      <c r="I57" s="39" t="n">
        <f aca="false">SUM(I50:I56)</f>
        <v>-1299214.47950052</v>
      </c>
      <c r="J57" s="39" t="n">
        <f aca="false">SUM(J50:J56)</f>
        <v>-1340494.92870825</v>
      </c>
      <c r="K57" s="39" t="n">
        <f aca="false">SUM(K50:K56)</f>
        <v>-1340494.92870825</v>
      </c>
      <c r="L57" s="1"/>
      <c r="M57" s="39" t="n">
        <f aca="false">SUM(M50:M56)</f>
        <v>5396938916</v>
      </c>
      <c r="N57" s="40" t="n">
        <f aca="false">SUM(N50:N56)</f>
        <v>-4534442334.35056</v>
      </c>
      <c r="O57" s="41" t="n">
        <f aca="false">SUM(O50:O56)</f>
        <v>862496581.649443</v>
      </c>
      <c r="P57" s="40" t="n">
        <f aca="false">SUM(P50:P56)</f>
        <v>-1714725413.97916</v>
      </c>
      <c r="Q57" s="41" t="n">
        <f aca="false">SUM(Q50:Q56)</f>
        <v>-852228832.329722</v>
      </c>
      <c r="R57" s="40" t="n">
        <f aca="false">SUM(R50:R56)</f>
        <v>0</v>
      </c>
      <c r="S57" s="41" t="n">
        <f aca="false">SUM(S50:S56)</f>
        <v>-852228832.329722</v>
      </c>
      <c r="T57" s="40" t="n">
        <f aca="false">SUM(T50:T56)</f>
        <v>-27078199.6209538</v>
      </c>
      <c r="U57" s="41" t="n">
        <f aca="false">SUM(U50:U56)</f>
        <v>-879307031.950676</v>
      </c>
      <c r="V57" s="40" t="n">
        <f aca="false">SUM(V50:V56)</f>
        <v>0</v>
      </c>
      <c r="W57" s="41" t="n">
        <f aca="false">SUM(W50:W56)</f>
        <v>-879307031.950676</v>
      </c>
      <c r="X57" s="1"/>
      <c r="Y57" s="1"/>
    </row>
    <row r="58" customFormat="false" ht="14.25" hidden="false" customHeight="false" outlineLevel="0" collapsed="false">
      <c r="A58" s="1"/>
      <c r="B58" s="1"/>
      <c r="C58" s="37" t="s">
        <v>90</v>
      </c>
      <c r="D58" s="38"/>
      <c r="E58" s="1"/>
      <c r="F58" s="39" t="n">
        <f aca="false">F47+F57</f>
        <v>12113760.8943879</v>
      </c>
      <c r="G58" s="39" t="n">
        <f aca="false">G47+G57</f>
        <v>5656980.61252406</v>
      </c>
      <c r="H58" s="39" t="n">
        <f aca="false">H47+H57</f>
        <v>2998933.31372373</v>
      </c>
      <c r="I58" s="39" t="n">
        <f aca="false">I47+I57</f>
        <v>2998933.31372373</v>
      </c>
      <c r="J58" s="39" t="n">
        <f aca="false">J47+J57</f>
        <v>2957652.86451601</v>
      </c>
      <c r="K58" s="39" t="n">
        <f aca="false">K47+K57</f>
        <v>2957652.86451601</v>
      </c>
      <c r="L58" s="1"/>
      <c r="M58" s="39" t="n">
        <f aca="false">M47+M57</f>
        <v>7946106255</v>
      </c>
      <c r="N58" s="40" t="n">
        <f aca="false">N47+N57</f>
        <v>-4235370223.35056</v>
      </c>
      <c r="O58" s="41" t="n">
        <f aca="false">O47+O57</f>
        <v>3710736031.64944</v>
      </c>
      <c r="P58" s="40" t="n">
        <f aca="false">P47+P57</f>
        <v>-1743564731.97916</v>
      </c>
      <c r="Q58" s="41" t="n">
        <f aca="false">Q47+Q57</f>
        <v>1967171299.67028</v>
      </c>
      <c r="R58" s="40" t="n">
        <f aca="false">R47+R57</f>
        <v>0</v>
      </c>
      <c r="S58" s="41" t="n">
        <f aca="false">S47+S57</f>
        <v>1967171299.67028</v>
      </c>
      <c r="T58" s="40" t="n">
        <f aca="false">T47+T57</f>
        <v>-27078199.6209538</v>
      </c>
      <c r="U58" s="41" t="n">
        <f aca="false">U47+U57</f>
        <v>1940093100.04932</v>
      </c>
      <c r="V58" s="40" t="n">
        <f aca="false">V47+V57</f>
        <v>0</v>
      </c>
      <c r="W58" s="41" t="n">
        <f aca="false">W47+W57</f>
        <v>1940093100.04932</v>
      </c>
      <c r="X58" s="1"/>
      <c r="Y58" s="7"/>
    </row>
    <row r="59" customFormat="false" ht="14.2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customFormat="false" ht="14.25" hidden="false" customHeight="false" outlineLevel="0" collapsed="false">
      <c r="A60" s="1"/>
      <c r="B60" s="1"/>
      <c r="C60" s="3" t="s">
        <v>91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customFormat="false" ht="14.25" hidden="false" customHeight="false" outlineLevel="0" collapsed="false">
      <c r="A61" s="1"/>
      <c r="B61" s="1"/>
      <c r="C61" s="45" t="s">
        <v>92</v>
      </c>
      <c r="D61" s="45"/>
      <c r="E61" s="1"/>
      <c r="F61" s="45"/>
      <c r="G61" s="46" t="n">
        <f aca="false">N61/$E$3</f>
        <v>455932.494050677</v>
      </c>
      <c r="H61" s="46" t="n">
        <f aca="false">P61/$E$3</f>
        <v>-43965.2568689716</v>
      </c>
      <c r="I61" s="46" t="n">
        <f aca="false">R61/$E$3</f>
        <v>0</v>
      </c>
      <c r="J61" s="46" t="n">
        <f aca="false">T61/$E$3</f>
        <v>0</v>
      </c>
      <c r="K61" s="46" t="n">
        <f aca="false">V61/$E$3</f>
        <v>0</v>
      </c>
      <c r="L61" s="1"/>
      <c r="M61" s="45"/>
      <c r="N61" s="47" t="n">
        <f aca="false">SUMIFS('Détail fonctionnement'!$E$5:$E$463,'Détail fonctionnement'!$A$5:$A$463,N$2,'Détail fonctionnement'!$G$5:$G$463,"O")</f>
        <v>299072111</v>
      </c>
      <c r="O61" s="48"/>
      <c r="P61" s="47" t="n">
        <f aca="false">SUMIFS('Détail fonctionnement'!$E$5:$E$463,'Détail fonctionnement'!$A$5:$A$463,P$2,'Détail fonctionnement'!$G$5:$G$463,"O")</f>
        <v>-28839318</v>
      </c>
      <c r="Q61" s="48"/>
      <c r="R61" s="47" t="n">
        <f aca="false">SUMIFS('Détail fonctionnement'!$E$5:$E$463,'Détail fonctionnement'!$A$5:$A$463,R$2,'Détail fonctionnement'!$G$5:$G$463,"O")</f>
        <v>0</v>
      </c>
      <c r="S61" s="48"/>
      <c r="T61" s="47" t="n">
        <f aca="false">SUMIFS('Détail fonctionnement'!$E$5:$E$463,'Détail fonctionnement'!$A$5:$A$463,T$2,'Détail fonctionnement'!$G$5:$G$463,"O")</f>
        <v>0</v>
      </c>
      <c r="U61" s="48"/>
      <c r="V61" s="47" t="n">
        <f aca="false">SUMIFS('Détail fonctionnement'!$E$5:$E$463,'Détail fonctionnement'!$A$5:$A$463,V$2,'Détail fonctionnement'!$G$5:$G$463,"O")</f>
        <v>0</v>
      </c>
      <c r="W61" s="48"/>
      <c r="X61" s="1"/>
      <c r="Y61" s="7"/>
    </row>
    <row r="62" customFormat="false" ht="14.25" hidden="false" customHeight="false" outlineLevel="0" collapsed="false">
      <c r="A62" s="1"/>
      <c r="B62" s="1"/>
      <c r="C62" s="45" t="s">
        <v>93</v>
      </c>
      <c r="D62" s="45"/>
      <c r="E62" s="1"/>
      <c r="F62" s="45"/>
      <c r="G62" s="46" t="n">
        <f aca="false">N62/$E$3</f>
        <v>-6912712.77591451</v>
      </c>
      <c r="H62" s="46" t="n">
        <f aca="false">P62/$E$3</f>
        <v>-2614082.04193135</v>
      </c>
      <c r="I62" s="46" t="n">
        <f aca="false">R62/$E$3</f>
        <v>0</v>
      </c>
      <c r="J62" s="46" t="n">
        <f aca="false">T62/$E$3</f>
        <v>-41280.4492077282</v>
      </c>
      <c r="K62" s="46" t="n">
        <f aca="false">V62/$E$3</f>
        <v>0</v>
      </c>
      <c r="L62" s="1"/>
      <c r="M62" s="45"/>
      <c r="N62" s="47" t="n">
        <f aca="false">SUMIFS('Détail projets &amp; dettes'!$I$5:$I$413,'Détail projets &amp; dettes'!$A$5:$A$413,N$2,'Détail projets &amp; dettes'!$J$5:$J$413,"O")</f>
        <v>-4534442334.35056</v>
      </c>
      <c r="O62" s="48"/>
      <c r="P62" s="47" t="n">
        <f aca="false">SUMIFS('Détail projets &amp; dettes'!$I$5:$I$413,'Détail projets &amp; dettes'!$A$5:$A$413,P$2,'Détail projets &amp; dettes'!$J$5:$J$413,"O")</f>
        <v>-1714725413.97916</v>
      </c>
      <c r="Q62" s="48"/>
      <c r="R62" s="47" t="n">
        <f aca="false">SUMIFS('Détail projets &amp; dettes'!$I$5:$I$413,'Détail projets &amp; dettes'!$A$5:$A$413,R$2,'Détail projets &amp; dettes'!$J$5:$J$413,"O")</f>
        <v>0</v>
      </c>
      <c r="S62" s="48"/>
      <c r="T62" s="47" t="n">
        <f aca="false">SUMIFS('Détail projets &amp; dettes'!$I$5:$I$413,'Détail projets &amp; dettes'!$A$5:$A$413,T$2,'Détail projets &amp; dettes'!$J$5:$J$413,"O")</f>
        <v>-27078199.6209538</v>
      </c>
      <c r="U62" s="48"/>
      <c r="V62" s="47" t="n">
        <f aca="false">SUMIFS('Détail projets &amp; dettes'!$I$5:$I$413,'Détail projets &amp; dettes'!$A$5:$A$413,V$2,'Détail projets &amp; dettes'!$J$5:$J$413,"O")</f>
        <v>0</v>
      </c>
      <c r="W62" s="48"/>
      <c r="X62" s="1"/>
      <c r="Y62" s="1"/>
    </row>
    <row r="63" customFormat="false" ht="14.25" hidden="false" customHeight="false" outlineLevel="0" collapsed="false">
      <c r="A63" s="1"/>
      <c r="B63" s="1"/>
      <c r="C63" s="49" t="s">
        <v>94</v>
      </c>
      <c r="D63" s="49"/>
      <c r="E63" s="1"/>
      <c r="F63" s="49"/>
      <c r="G63" s="50" t="n">
        <f aca="false">N63/$E$3</f>
        <v>-6456780.28186384</v>
      </c>
      <c r="H63" s="50" t="n">
        <f aca="false">P63/$E$3</f>
        <v>-2658047.29880033</v>
      </c>
      <c r="I63" s="50" t="n">
        <f aca="false">R63/$E$3</f>
        <v>0</v>
      </c>
      <c r="J63" s="50" t="n">
        <f aca="false">T63/$E$3</f>
        <v>-41280.4492077282</v>
      </c>
      <c r="K63" s="50" t="n">
        <f aca="false">V63/$E$3</f>
        <v>0</v>
      </c>
      <c r="L63" s="1"/>
      <c r="M63" s="49"/>
      <c r="N63" s="51" t="n">
        <f aca="false">N61+N62</f>
        <v>-4235370223.35056</v>
      </c>
      <c r="O63" s="52"/>
      <c r="P63" s="51" t="n">
        <f aca="false">P61+P62</f>
        <v>-1743564731.97916</v>
      </c>
      <c r="Q63" s="52"/>
      <c r="R63" s="51" t="n">
        <f aca="false">R61+R62</f>
        <v>0</v>
      </c>
      <c r="S63" s="52"/>
      <c r="T63" s="51" t="n">
        <f aca="false">T61+T62</f>
        <v>-27078199.6209538</v>
      </c>
      <c r="U63" s="52"/>
      <c r="V63" s="51" t="n">
        <f aca="false">V61+V62</f>
        <v>0</v>
      </c>
      <c r="W63" s="52"/>
      <c r="X63" s="1"/>
      <c r="Y63" s="1"/>
    </row>
    <row r="64" customFormat="false" ht="14.25" hidden="false" customHeight="false" outlineLevel="0" collapsed="false">
      <c r="A64" s="1"/>
      <c r="B64" s="1"/>
      <c r="C64" s="49" t="s">
        <v>95</v>
      </c>
      <c r="D64" s="49"/>
      <c r="E64" s="1"/>
      <c r="F64" s="49"/>
      <c r="G64" s="50" t="n">
        <f aca="false">O64/$E$3</f>
        <v>-198139.20272213</v>
      </c>
      <c r="H64" s="50" t="n">
        <f aca="false">Q64/$E$3</f>
        <v>-198139.20272213</v>
      </c>
      <c r="I64" s="50" t="n">
        <f aca="false">S64/$E$3</f>
        <v>-198139.20272213</v>
      </c>
      <c r="J64" s="50" t="n">
        <f aca="false">U64/$E$3</f>
        <v>-198139.20272213</v>
      </c>
      <c r="K64" s="50" t="n">
        <f aca="false">W64/$E$3</f>
        <v>-198139.20272213</v>
      </c>
      <c r="L64" s="1"/>
      <c r="M64" s="49"/>
      <c r="N64" s="53"/>
      <c r="O64" s="54" t="n">
        <f aca="false">MIN(O11,0)+MIN(O15,0)+MIN(O18,0)+MIN(O22,0)+MIN(O26,0)+MIN(O32,0)+MIN(O35,0)+MIN(O38,0)+MIN(O42,0)+MIN(O44,0)+MIN(O46,0)</f>
        <v>-129970797</v>
      </c>
      <c r="P64" s="53"/>
      <c r="Q64" s="54" t="n">
        <f aca="false">MIN(Q11,0)+MIN(Q15,0)+MIN(Q18,0)+MIN(Q22,0)+MIN(Q26,0)+MIN(Q32,0)+MIN(Q35,0)+MIN(Q38,0)+MIN(Q42,0)+MIN(Q44,0)+MIN(Q46,0)</f>
        <v>-129970797</v>
      </c>
      <c r="R64" s="53"/>
      <c r="S64" s="54" t="n">
        <f aca="false">MIN(S11,0)+MIN(S15,0)+MIN(S18,0)+MIN(S22,0)+MIN(S26,0)+MIN(S32,0)+MIN(S35,0)+MIN(S38,0)+MIN(S42,0)+MIN(S44,0)+MIN(S46,0)</f>
        <v>-129970797</v>
      </c>
      <c r="T64" s="53"/>
      <c r="U64" s="54" t="n">
        <f aca="false">MIN(U11,0)+MIN(U15,0)+MIN(U18,0)+MIN(U22,0)+MIN(U26,0)+MIN(U32,0)+MIN(U35,0)+MIN(U38,0)+MIN(U42,0)+MIN(U44,0)+MIN(U46,0)</f>
        <v>-129970797</v>
      </c>
      <c r="V64" s="53"/>
      <c r="W64" s="54" t="n">
        <f aca="false">MIN(W11,0)+MIN(W15,0)+MIN(W18,0)+MIN(W22,0)+MIN(W26,0)+MIN(W32,0)+MIN(W35,0)+MIN(W38,0)+MIN(W42,0)+MIN(W44,0)+MIN(W46,0)</f>
        <v>-129970797</v>
      </c>
      <c r="X64" s="1"/>
      <c r="Y64" s="7"/>
    </row>
    <row r="65" customFormat="false" ht="14.25" hidden="false" customHeight="false" outlineLevel="0" collapsed="false">
      <c r="A65" s="1"/>
      <c r="B65" s="1"/>
      <c r="C65" s="45" t="s">
        <v>96</v>
      </c>
      <c r="D65" s="45"/>
      <c r="E65" s="1"/>
      <c r="F65" s="45"/>
      <c r="G65" s="45"/>
      <c r="H65" s="45"/>
      <c r="I65" s="45"/>
      <c r="J65" s="45"/>
      <c r="K65" s="45"/>
      <c r="L65" s="1"/>
      <c r="M65" s="45"/>
      <c r="N65" s="55"/>
      <c r="O65" s="56" t="n">
        <f aca="false">(O11&lt;0)*1+(O15&lt;0)*1+(O18&lt;0)*1+(O22&lt;0)*1+(O26&lt;0)*1+(O32&lt;0)*1+(O35&lt;0)*1+(O38&lt;0)*1+(O42&lt;0)*1+(O44&lt;0)*1+(O46&lt;0)*1</f>
        <v>5</v>
      </c>
      <c r="P65" s="55"/>
      <c r="Q65" s="56" t="n">
        <f aca="false">(Q11&lt;0)*1+(Q15&lt;0)*1+(Q18&lt;0)*1+(Q22&lt;0)*1+(Q26&lt;0)*1+(Q32&lt;0)*1+(Q35&lt;0)*1+(Q38&lt;0)*1+(Q42&lt;0)*1+(Q44&lt;0)*1+(Q46&lt;0)*1</f>
        <v>5</v>
      </c>
      <c r="R65" s="55"/>
      <c r="S65" s="56" t="n">
        <f aca="false">(S11&lt;0)*1+(S15&lt;0)*1+(S18&lt;0)*1+(S22&lt;0)*1+(S26&lt;0)*1+(S32&lt;0)*1+(S35&lt;0)*1+(S38&lt;0)*1+(S42&lt;0)*1+(S44&lt;0)*1+(S46&lt;0)*1</f>
        <v>5</v>
      </c>
      <c r="T65" s="55"/>
      <c r="U65" s="56" t="n">
        <f aca="false">(U11&lt;0)*1+(U15&lt;0)*1+(U18&lt;0)*1+(U22&lt;0)*1+(U26&lt;0)*1+(U32&lt;0)*1+(U35&lt;0)*1+(U38&lt;0)*1+(U42&lt;0)*1+(U44&lt;0)*1+(U46&lt;0)*1</f>
        <v>5</v>
      </c>
      <c r="V65" s="55"/>
      <c r="W65" s="56" t="n">
        <f aca="false">(W11&lt;0)*1+(W15&lt;0)*1+(W18&lt;0)*1+(W22&lt;0)*1+(W26&lt;0)*1+(W32&lt;0)*1+(W35&lt;0)*1+(W38&lt;0)*1+(W42&lt;0)*1+(W44&lt;0)*1+(W46&lt;0)*1</f>
        <v>5</v>
      </c>
      <c r="X65" s="1"/>
      <c r="Y65" s="1"/>
    </row>
    <row r="66" customFormat="false" ht="14.25" hidden="false" customHeight="false" outlineLevel="0" collapsed="false">
      <c r="A66" s="1"/>
      <c r="B66" s="1"/>
      <c r="C66" s="49" t="s">
        <v>97</v>
      </c>
      <c r="D66" s="49"/>
      <c r="E66" s="1"/>
      <c r="F66" s="49"/>
      <c r="G66" s="50" t="n">
        <f aca="false">O66/$E$3</f>
        <v>-1097895.41885759</v>
      </c>
      <c r="H66" s="50" t="n">
        <f aca="false">Q66/$E$3</f>
        <v>-2713888.43678735</v>
      </c>
      <c r="I66" s="50" t="n">
        <f aca="false">S66/$E$3</f>
        <v>-2713888.43678735</v>
      </c>
      <c r="J66" s="50" t="n">
        <f aca="false">U66/$E$3</f>
        <v>-2755168.88599508</v>
      </c>
      <c r="K66" s="50" t="n">
        <f aca="false">W66/$E$3</f>
        <v>-2755168.88599508</v>
      </c>
      <c r="L66" s="1"/>
      <c r="M66" s="49"/>
      <c r="N66" s="53"/>
      <c r="O66" s="54" t="n">
        <f aca="false">MIN(O50,0)+MIN(O51,0)+MIN(O52,0)+MIN(O53,0)+MIN(O54,0)+MIN(O55,0)+MIN(O56,0)</f>
        <v>-720172185.267569</v>
      </c>
      <c r="P66" s="53"/>
      <c r="Q66" s="54" t="n">
        <f aca="false">MIN(Q50,0)+MIN(Q51,0)+MIN(Q52,0)+MIN(Q53,0)+MIN(Q54,0)+MIN(Q55,0)+MIN(Q56,0)</f>
        <v>-1780194117.32972</v>
      </c>
      <c r="R66" s="53"/>
      <c r="S66" s="54" t="n">
        <f aca="false">MIN(S50,0)+MIN(S51,0)+MIN(S52,0)+MIN(S53,0)+MIN(S54,0)+MIN(S55,0)+MIN(S56,0)</f>
        <v>-1780194117.32972</v>
      </c>
      <c r="T66" s="53"/>
      <c r="U66" s="54" t="n">
        <f aca="false">MIN(U50,0)+MIN(U51,0)+MIN(U52,0)+MIN(U53,0)+MIN(U54,0)+MIN(U55,0)+MIN(U56,0)</f>
        <v>-1807272316.95068</v>
      </c>
      <c r="V66" s="53"/>
      <c r="W66" s="54" t="n">
        <f aca="false">MIN(W50,0)+MIN(W51,0)+MIN(W52,0)+MIN(W53,0)+MIN(W54,0)+MIN(W55,0)+MIN(W56,0)</f>
        <v>-1807272316.95068</v>
      </c>
      <c r="X66" s="1"/>
      <c r="Y66" s="1"/>
    </row>
    <row r="67" customFormat="false" ht="14.2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customFormat="false" ht="14.25" hidden="false" customHeight="false" outlineLevel="0" collapsed="false">
      <c r="A68" s="1"/>
      <c r="B68" s="1"/>
      <c r="C68" s="3" t="s">
        <v>98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customFormat="false" ht="14.25" hidden="false" customHeight="false" outlineLevel="0" collapsed="false">
      <c r="A69" s="57" t="s">
        <v>99</v>
      </c>
      <c r="B69" s="58"/>
      <c r="C69" s="58"/>
      <c r="D69" s="58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customFormat="false" ht="28.5" hidden="false" customHeight="true" outlineLevel="0" collapsed="false">
      <c r="A70" s="1"/>
      <c r="B70" s="59" t="s">
        <v>2</v>
      </c>
      <c r="C70" s="59" t="s">
        <v>100</v>
      </c>
      <c r="D70" s="59" t="s">
        <v>101</v>
      </c>
      <c r="E70" s="1"/>
      <c r="F70" s="60" t="s">
        <v>102</v>
      </c>
      <c r="G70" s="60" t="s">
        <v>103</v>
      </c>
      <c r="H70" s="60" t="s">
        <v>104</v>
      </c>
      <c r="I70" s="1"/>
      <c r="J70" s="1"/>
      <c r="K70" s="1"/>
      <c r="L70" s="1"/>
      <c r="M70" s="61" t="s">
        <v>105</v>
      </c>
      <c r="N70" s="61" t="s">
        <v>106</v>
      </c>
      <c r="O70" s="61" t="s">
        <v>107</v>
      </c>
      <c r="P70" s="62" t="s">
        <v>108</v>
      </c>
      <c r="Q70" s="62"/>
      <c r="R70" s="62"/>
      <c r="S70" s="62"/>
      <c r="T70" s="62"/>
      <c r="U70" s="62"/>
      <c r="V70" s="62"/>
      <c r="W70" s="62"/>
      <c r="X70" s="62"/>
      <c r="Y70" s="62"/>
    </row>
    <row r="71" customFormat="false" ht="14.25" hidden="false" customHeight="false" outlineLevel="0" collapsed="false">
      <c r="A71" s="1"/>
      <c r="B71" s="1"/>
      <c r="C71" s="63" t="s">
        <v>109</v>
      </c>
      <c r="D71" s="64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customFormat="false" ht="14.25" hidden="false" customHeight="false" outlineLevel="0" collapsed="false">
      <c r="A72" s="1"/>
      <c r="B72" s="13" t="s">
        <v>3</v>
      </c>
      <c r="C72" s="32" t="s">
        <v>21</v>
      </c>
      <c r="D72" s="32" t="s">
        <v>110</v>
      </c>
      <c r="E72" s="1"/>
      <c r="F72" s="65" t="n">
        <f aca="false">M72/$E$3</f>
        <v>-86541.6803235578</v>
      </c>
      <c r="G72" s="65" t="str">
        <f aca="false">IF(N72="","",N72/$E$3)</f>
        <v/>
      </c>
      <c r="H72" s="65" t="str">
        <f aca="false">IF(G72="","",G72-F72)</f>
        <v/>
      </c>
      <c r="I72" s="1"/>
      <c r="J72" s="1"/>
      <c r="K72" s="1"/>
      <c r="L72" s="1"/>
      <c r="M72" s="65" t="n">
        <f aca="false">SUMIFS('Détail fonctionnement'!$E$5:$E$463,'Détail fonctionnement'!$A$5:$A$463,$B72,'Détail fonctionnement'!$G$5:$G$463,"O",'Détail fonctionnement'!$B$5:$B$463,$C72,'Détail fonctionnement'!$C$5:$C$463,$D72)</f>
        <v>-56767621</v>
      </c>
      <c r="N72" s="66"/>
      <c r="O72" s="65" t="str">
        <f aca="false">IF(N72="","",N72-M72)</f>
        <v/>
      </c>
      <c r="P72" s="67"/>
      <c r="Q72" s="67"/>
      <c r="R72" s="67"/>
      <c r="S72" s="67"/>
      <c r="T72" s="67"/>
      <c r="U72" s="67"/>
      <c r="V72" s="67"/>
      <c r="W72" s="67"/>
      <c r="X72" s="67"/>
      <c r="Y72" s="67"/>
    </row>
    <row r="73" customFormat="false" ht="14.25" hidden="false" customHeight="false" outlineLevel="0" collapsed="false">
      <c r="A73" s="1"/>
      <c r="B73" s="13" t="s">
        <v>3</v>
      </c>
      <c r="C73" s="32" t="s">
        <v>21</v>
      </c>
      <c r="D73" s="32" t="s">
        <v>111</v>
      </c>
      <c r="E73" s="1"/>
      <c r="F73" s="65" t="n">
        <f aca="false">M73/$E$3</f>
        <v>-9604.28808595685</v>
      </c>
      <c r="G73" s="65" t="str">
        <f aca="false">IF(N73="","",N73/$E$3)</f>
        <v/>
      </c>
      <c r="H73" s="65" t="str">
        <f aca="false">IF(G73="","",G73-F73)</f>
        <v/>
      </c>
      <c r="I73" s="1"/>
      <c r="J73" s="1"/>
      <c r="K73" s="1"/>
      <c r="L73" s="1"/>
      <c r="M73" s="65" t="n">
        <f aca="false">SUMIFS('Détail fonctionnement'!$E$5:$E$463,'Détail fonctionnement'!$A$5:$A$463,$B73,'Détail fonctionnement'!$G$5:$G$463,"O",'Détail fonctionnement'!$B$5:$B$463,$C73,'Détail fonctionnement'!$C$5:$C$463,$D73)</f>
        <v>-6300000</v>
      </c>
      <c r="N73" s="66"/>
      <c r="O73" s="65" t="str">
        <f aca="false">IF(N73="","",N73-M73)</f>
        <v/>
      </c>
      <c r="P73" s="67"/>
      <c r="Q73" s="67"/>
      <c r="R73" s="67"/>
      <c r="S73" s="67"/>
      <c r="T73" s="67"/>
      <c r="U73" s="67"/>
      <c r="V73" s="67"/>
      <c r="W73" s="67"/>
      <c r="X73" s="67"/>
      <c r="Y73" s="67"/>
    </row>
    <row r="74" customFormat="false" ht="14.25" hidden="false" customHeight="false" outlineLevel="0" collapsed="false">
      <c r="A74" s="1"/>
      <c r="B74" s="13" t="s">
        <v>3</v>
      </c>
      <c r="C74" s="32" t="s">
        <v>21</v>
      </c>
      <c r="D74" s="32" t="s">
        <v>112</v>
      </c>
      <c r="E74" s="1"/>
      <c r="F74" s="65" t="n">
        <f aca="false">M74/$E$3</f>
        <v>-4634.45012401728</v>
      </c>
      <c r="G74" s="65" t="str">
        <f aca="false">IF(N74="","",N74/$E$3)</f>
        <v/>
      </c>
      <c r="H74" s="65" t="str">
        <f aca="false">IF(G74="","",G74-F74)</f>
        <v/>
      </c>
      <c r="I74" s="1"/>
      <c r="J74" s="1"/>
      <c r="K74" s="1"/>
      <c r="L74" s="1"/>
      <c r="M74" s="65" t="n">
        <f aca="false">SUMIFS('Détail fonctionnement'!$E$5:$E$463,'Détail fonctionnement'!$A$5:$A$463,$B74,'Détail fonctionnement'!$G$5:$G$463,"O",'Détail fonctionnement'!$B$5:$B$463,$C74,'Détail fonctionnement'!$C$5:$C$463,$D74)</f>
        <v>-3040000</v>
      </c>
      <c r="N74" s="66"/>
      <c r="O74" s="65" t="str">
        <f aca="false">IF(N74="","",N74-M74)</f>
        <v/>
      </c>
      <c r="P74" s="67"/>
      <c r="Q74" s="67"/>
      <c r="R74" s="67"/>
      <c r="S74" s="67"/>
      <c r="T74" s="67"/>
      <c r="U74" s="67"/>
      <c r="V74" s="67"/>
      <c r="W74" s="67"/>
      <c r="X74" s="67"/>
      <c r="Y74" s="67"/>
    </row>
    <row r="75" customFormat="false" ht="14.25" hidden="false" customHeight="false" outlineLevel="0" collapsed="false">
      <c r="A75" s="1"/>
      <c r="B75" s="13" t="s">
        <v>3</v>
      </c>
      <c r="C75" s="32" t="s">
        <v>21</v>
      </c>
      <c r="D75" s="32" t="s">
        <v>113</v>
      </c>
      <c r="E75" s="1"/>
      <c r="F75" s="65" t="n">
        <f aca="false">M75/$E$3</f>
        <v>0</v>
      </c>
      <c r="G75" s="65" t="str">
        <f aca="false">IF(N75="","",N75/$E$3)</f>
        <v/>
      </c>
      <c r="H75" s="65" t="str">
        <f aca="false">IF(G75="","",G75-F75)</f>
        <v/>
      </c>
      <c r="I75" s="1"/>
      <c r="J75" s="1"/>
      <c r="K75" s="1"/>
      <c r="L75" s="1"/>
      <c r="M75" s="65" t="n">
        <f aca="false">SUMIFS('Détail fonctionnement'!$E$5:$E$463,'Détail fonctionnement'!$A$5:$A$463,$B75,'Détail fonctionnement'!$G$5:$G$463,"O",'Détail fonctionnement'!$B$5:$B$463,$C75,'Détail fonctionnement'!$C$5:$C$463,$D75)</f>
        <v>0</v>
      </c>
      <c r="N75" s="66"/>
      <c r="O75" s="65" t="str">
        <f aca="false">IF(N75="","",N75-M75)</f>
        <v/>
      </c>
      <c r="P75" s="67"/>
      <c r="Q75" s="67"/>
      <c r="R75" s="67"/>
      <c r="S75" s="67"/>
      <c r="T75" s="67"/>
      <c r="U75" s="67"/>
      <c r="V75" s="67"/>
      <c r="W75" s="67"/>
      <c r="X75" s="67"/>
      <c r="Y75" s="67"/>
    </row>
    <row r="76" customFormat="false" ht="14.25" hidden="false" customHeight="false" outlineLevel="0" collapsed="false">
      <c r="A76" s="1"/>
      <c r="B76" s="13" t="s">
        <v>3</v>
      </c>
      <c r="C76" s="32" t="s">
        <v>21</v>
      </c>
      <c r="D76" s="32" t="s">
        <v>114</v>
      </c>
      <c r="E76" s="1"/>
      <c r="F76" s="65" t="n">
        <f aca="false">M76/$E$3</f>
        <v>1000000</v>
      </c>
      <c r="G76" s="65" t="str">
        <f aca="false">IF(N76="","",N76/$E$3)</f>
        <v/>
      </c>
      <c r="H76" s="65" t="str">
        <f aca="false">IF(G76="","",G76-F76)</f>
        <v/>
      </c>
      <c r="I76" s="1"/>
      <c r="J76" s="1"/>
      <c r="K76" s="1"/>
      <c r="L76" s="1"/>
      <c r="M76" s="65" t="n">
        <f aca="false">SUMIFS('Détail fonctionnement'!$E$5:$E$463,'Détail fonctionnement'!$A$5:$A$463,$B76,'Détail fonctionnement'!$G$5:$G$463,"O",'Détail fonctionnement'!$B$5:$B$463,$C76,'Détail fonctionnement'!$C$5:$C$463,$D76)</f>
        <v>655957000</v>
      </c>
      <c r="N76" s="66"/>
      <c r="O76" s="65" t="str">
        <f aca="false">IF(N76="","",N76-M76)</f>
        <v/>
      </c>
      <c r="P76" s="67"/>
      <c r="Q76" s="67"/>
      <c r="R76" s="67"/>
      <c r="S76" s="67"/>
      <c r="T76" s="67"/>
      <c r="U76" s="67"/>
      <c r="V76" s="67"/>
      <c r="W76" s="67"/>
      <c r="X76" s="67"/>
      <c r="Y76" s="67"/>
    </row>
    <row r="77" customFormat="false" ht="14.25" hidden="false" customHeight="false" outlineLevel="0" collapsed="false">
      <c r="A77" s="1"/>
      <c r="B77" s="13" t="s">
        <v>3</v>
      </c>
      <c r="C77" s="32" t="s">
        <v>28</v>
      </c>
      <c r="D77" s="32" t="s">
        <v>110</v>
      </c>
      <c r="E77" s="1"/>
      <c r="F77" s="65" t="n">
        <f aca="false">M77/$E$3</f>
        <v>-95180.0117995539</v>
      </c>
      <c r="G77" s="65" t="str">
        <f aca="false">IF(N77="","",N77/$E$3)</f>
        <v/>
      </c>
      <c r="H77" s="65" t="str">
        <f aca="false">IF(G77="","",G77-F77)</f>
        <v/>
      </c>
      <c r="I77" s="1"/>
      <c r="J77" s="1"/>
      <c r="K77" s="1"/>
      <c r="L77" s="1"/>
      <c r="M77" s="65" t="n">
        <f aca="false">SUMIFS('Détail fonctionnement'!$E$5:$E$463,'Détail fonctionnement'!$A$5:$A$463,$B77,'Détail fonctionnement'!$G$5:$G$463,"O",'Détail fonctionnement'!$B$5:$B$463,$C77,'Détail fonctionnement'!$C$5:$C$463,$D77)</f>
        <v>-62433995</v>
      </c>
      <c r="N77" s="66"/>
      <c r="O77" s="65" t="str">
        <f aca="false">IF(N77="","",N77-M77)</f>
        <v/>
      </c>
      <c r="P77" s="67"/>
      <c r="Q77" s="67"/>
      <c r="R77" s="67"/>
      <c r="S77" s="67"/>
      <c r="T77" s="67"/>
      <c r="U77" s="67"/>
      <c r="V77" s="67"/>
      <c r="W77" s="67"/>
      <c r="X77" s="67"/>
      <c r="Y77" s="67"/>
    </row>
    <row r="78" customFormat="false" ht="14.25" hidden="false" customHeight="false" outlineLevel="0" collapsed="false">
      <c r="A78" s="1"/>
      <c r="B78" s="13" t="s">
        <v>3</v>
      </c>
      <c r="C78" s="32" t="s">
        <v>28</v>
      </c>
      <c r="D78" s="32" t="s">
        <v>111</v>
      </c>
      <c r="E78" s="1"/>
      <c r="F78" s="65" t="n">
        <f aca="false">M78/$E$3</f>
        <v>0</v>
      </c>
      <c r="G78" s="65" t="str">
        <f aca="false">IF(N78="","",N78/$E$3)</f>
        <v/>
      </c>
      <c r="H78" s="65" t="str">
        <f aca="false">IF(G78="","",G78-F78)</f>
        <v/>
      </c>
      <c r="I78" s="1"/>
      <c r="J78" s="1"/>
      <c r="K78" s="1"/>
      <c r="L78" s="1"/>
      <c r="M78" s="65" t="n">
        <f aca="false">SUMIFS('Détail fonctionnement'!$E$5:$E$463,'Détail fonctionnement'!$A$5:$A$463,$B78,'Détail fonctionnement'!$G$5:$G$463,"O",'Détail fonctionnement'!$B$5:$B$463,$C78,'Détail fonctionnement'!$C$5:$C$463,$D78)</f>
        <v>0</v>
      </c>
      <c r="N78" s="66"/>
      <c r="O78" s="65" t="str">
        <f aca="false">IF(N78="","",N78-M78)</f>
        <v/>
      </c>
      <c r="P78" s="67"/>
      <c r="Q78" s="67"/>
      <c r="R78" s="67"/>
      <c r="S78" s="67"/>
      <c r="T78" s="67"/>
      <c r="U78" s="67"/>
      <c r="V78" s="67"/>
      <c r="W78" s="67"/>
      <c r="X78" s="67"/>
      <c r="Y78" s="67"/>
    </row>
    <row r="79" customFormat="false" ht="14.25" hidden="false" customHeight="false" outlineLevel="0" collapsed="false">
      <c r="A79" s="1"/>
      <c r="B79" s="13" t="s">
        <v>3</v>
      </c>
      <c r="C79" s="32" t="s">
        <v>32</v>
      </c>
      <c r="D79" s="32" t="s">
        <v>110</v>
      </c>
      <c r="E79" s="1"/>
      <c r="F79" s="65" t="n">
        <f aca="false">M79/$E$3</f>
        <v>-14811.7772963777</v>
      </c>
      <c r="G79" s="65" t="str">
        <f aca="false">IF(N79="","",N79/$E$3)</f>
        <v/>
      </c>
      <c r="H79" s="65" t="str">
        <f aca="false">IF(G79="","",G79-F79)</f>
        <v/>
      </c>
      <c r="I79" s="1"/>
      <c r="J79" s="1"/>
      <c r="K79" s="1"/>
      <c r="L79" s="1"/>
      <c r="M79" s="65" t="n">
        <f aca="false">SUMIFS('Détail fonctionnement'!$E$5:$E$463,'Détail fonctionnement'!$A$5:$A$463,$B79,'Détail fonctionnement'!$G$5:$G$463,"O",'Détail fonctionnement'!$B$5:$B$463,$C79,'Détail fonctionnement'!$C$5:$C$463,$D79)</f>
        <v>-9715889</v>
      </c>
      <c r="N79" s="66"/>
      <c r="O79" s="65" t="str">
        <f aca="false">IF(N79="","",N79-M79)</f>
        <v/>
      </c>
      <c r="P79" s="67"/>
      <c r="Q79" s="67"/>
      <c r="R79" s="67"/>
      <c r="S79" s="67"/>
      <c r="T79" s="67"/>
      <c r="U79" s="67"/>
      <c r="V79" s="67"/>
      <c r="W79" s="67"/>
      <c r="X79" s="67"/>
      <c r="Y79" s="67"/>
    </row>
    <row r="80" customFormat="false" ht="14.25" hidden="false" customHeight="false" outlineLevel="0" collapsed="false">
      <c r="A80" s="1"/>
      <c r="B80" s="13" t="s">
        <v>3</v>
      </c>
      <c r="C80" s="32" t="s">
        <v>32</v>
      </c>
      <c r="D80" s="32" t="s">
        <v>111</v>
      </c>
      <c r="E80" s="1"/>
      <c r="F80" s="65" t="n">
        <f aca="false">M80/$E$3</f>
        <v>0</v>
      </c>
      <c r="G80" s="65" t="str">
        <f aca="false">IF(N80="","",N80/$E$3)</f>
        <v/>
      </c>
      <c r="H80" s="65" t="str">
        <f aca="false">IF(G80="","",G80-F80)</f>
        <v/>
      </c>
      <c r="I80" s="1"/>
      <c r="J80" s="1"/>
      <c r="K80" s="1"/>
      <c r="L80" s="1"/>
      <c r="M80" s="65" t="n">
        <f aca="false">SUMIFS('Détail fonctionnement'!$E$5:$E$463,'Détail fonctionnement'!$A$5:$A$463,$B80,'Détail fonctionnement'!$G$5:$G$463,"O",'Détail fonctionnement'!$B$5:$B$463,$C80,'Détail fonctionnement'!$C$5:$C$463,$D80)</f>
        <v>0</v>
      </c>
      <c r="N80" s="66"/>
      <c r="O80" s="65" t="str">
        <f aca="false">IF(N80="","",N80-M80)</f>
        <v/>
      </c>
      <c r="P80" s="67"/>
      <c r="Q80" s="67"/>
      <c r="R80" s="67"/>
      <c r="S80" s="67"/>
      <c r="T80" s="67"/>
      <c r="U80" s="67"/>
      <c r="V80" s="67"/>
      <c r="W80" s="67"/>
      <c r="X80" s="67"/>
      <c r="Y80" s="67"/>
    </row>
    <row r="81" customFormat="false" ht="14.25" hidden="false" customHeight="false" outlineLevel="0" collapsed="false">
      <c r="A81" s="1"/>
      <c r="B81" s="13" t="s">
        <v>3</v>
      </c>
      <c r="C81" s="32" t="s">
        <v>32</v>
      </c>
      <c r="D81" s="32" t="s">
        <v>113</v>
      </c>
      <c r="E81" s="1"/>
      <c r="F81" s="65" t="n">
        <f aca="false">M81/$E$3</f>
        <v>0</v>
      </c>
      <c r="G81" s="65" t="str">
        <f aca="false">IF(N81="","",N81/$E$3)</f>
        <v/>
      </c>
      <c r="H81" s="65" t="str">
        <f aca="false">IF(G81="","",G81-F81)</f>
        <v/>
      </c>
      <c r="I81" s="1"/>
      <c r="J81" s="1"/>
      <c r="K81" s="1"/>
      <c r="L81" s="1"/>
      <c r="M81" s="65" t="n">
        <f aca="false">SUMIFS('Détail fonctionnement'!$E$5:$E$463,'Détail fonctionnement'!$A$5:$A$463,$B81,'Détail fonctionnement'!$G$5:$G$463,"O",'Détail fonctionnement'!$B$5:$B$463,$C81,'Détail fonctionnement'!$C$5:$C$463,$D81)</f>
        <v>0</v>
      </c>
      <c r="N81" s="66"/>
      <c r="O81" s="65" t="str">
        <f aca="false">IF(N81="","",N81-M81)</f>
        <v/>
      </c>
      <c r="P81" s="67"/>
      <c r="Q81" s="67"/>
      <c r="R81" s="67"/>
      <c r="S81" s="67"/>
      <c r="T81" s="67"/>
      <c r="U81" s="67"/>
      <c r="V81" s="67"/>
      <c r="W81" s="67"/>
      <c r="X81" s="67"/>
      <c r="Y81" s="67"/>
    </row>
    <row r="82" customFormat="false" ht="14.25" hidden="false" customHeight="false" outlineLevel="0" collapsed="false">
      <c r="A82" s="1"/>
      <c r="B82" s="13" t="s">
        <v>3</v>
      </c>
      <c r="C82" s="32" t="s">
        <v>36</v>
      </c>
      <c r="D82" s="32" t="s">
        <v>110</v>
      </c>
      <c r="E82" s="1"/>
      <c r="F82" s="65" t="n">
        <f aca="false">M82/$E$3</f>
        <v>-18601.9845813064</v>
      </c>
      <c r="G82" s="65" t="str">
        <f aca="false">IF(N82="","",N82/$E$3)</f>
        <v/>
      </c>
      <c r="H82" s="65" t="str">
        <f aca="false">IF(G82="","",G82-F82)</f>
        <v/>
      </c>
      <c r="I82" s="1"/>
      <c r="J82" s="1"/>
      <c r="K82" s="1"/>
      <c r="L82" s="1"/>
      <c r="M82" s="65" t="n">
        <f aca="false">SUMIFS('Détail fonctionnement'!$E$5:$E$463,'Détail fonctionnement'!$A$5:$A$463,$B82,'Détail fonctionnement'!$G$5:$G$463,"O",'Détail fonctionnement'!$B$5:$B$463,$C82,'Détail fonctionnement'!$C$5:$C$463,$D82)</f>
        <v>-12202102</v>
      </c>
      <c r="N82" s="66"/>
      <c r="O82" s="65" t="str">
        <f aca="false">IF(N82="","",N82-M82)</f>
        <v/>
      </c>
      <c r="P82" s="67"/>
      <c r="Q82" s="67"/>
      <c r="R82" s="67"/>
      <c r="S82" s="67"/>
      <c r="T82" s="67"/>
      <c r="U82" s="67"/>
      <c r="V82" s="67"/>
      <c r="W82" s="67"/>
      <c r="X82" s="67"/>
      <c r="Y82" s="67"/>
    </row>
    <row r="83" customFormat="false" ht="14.25" hidden="false" customHeight="false" outlineLevel="0" collapsed="false">
      <c r="A83" s="1"/>
      <c r="B83" s="13" t="s">
        <v>3</v>
      </c>
      <c r="C83" s="32" t="s">
        <v>36</v>
      </c>
      <c r="D83" s="32" t="s">
        <v>111</v>
      </c>
      <c r="E83" s="1"/>
      <c r="F83" s="65" t="n">
        <f aca="false">M83/$E$3</f>
        <v>-106.714312066187</v>
      </c>
      <c r="G83" s="65" t="str">
        <f aca="false">IF(N83="","",N83/$E$3)</f>
        <v/>
      </c>
      <c r="H83" s="65" t="str">
        <f aca="false">IF(G83="","",G83-F83)</f>
        <v/>
      </c>
      <c r="I83" s="1"/>
      <c r="J83" s="1"/>
      <c r="K83" s="1"/>
      <c r="L83" s="1"/>
      <c r="M83" s="65" t="n">
        <f aca="false">SUMIFS('Détail fonctionnement'!$E$5:$E$463,'Détail fonctionnement'!$A$5:$A$463,$B83,'Détail fonctionnement'!$G$5:$G$463,"O",'Détail fonctionnement'!$B$5:$B$463,$C83,'Détail fonctionnement'!$C$5:$C$463,$D83)</f>
        <v>-70000</v>
      </c>
      <c r="N83" s="66"/>
      <c r="O83" s="65" t="str">
        <f aca="false">IF(N83="","",N83-M83)</f>
        <v/>
      </c>
      <c r="P83" s="67"/>
      <c r="Q83" s="67"/>
      <c r="R83" s="67"/>
      <c r="S83" s="67"/>
      <c r="T83" s="67"/>
      <c r="U83" s="67"/>
      <c r="V83" s="67"/>
      <c r="W83" s="67"/>
      <c r="X83" s="67"/>
      <c r="Y83" s="67"/>
    </row>
    <row r="84" customFormat="false" ht="14.25" hidden="false" customHeight="false" outlineLevel="0" collapsed="false">
      <c r="A84" s="1"/>
      <c r="B84" s="13" t="s">
        <v>3</v>
      </c>
      <c r="C84" s="32" t="s">
        <v>36</v>
      </c>
      <c r="D84" s="32" t="s">
        <v>112</v>
      </c>
      <c r="E84" s="1"/>
      <c r="F84" s="65" t="n">
        <f aca="false">M84/$E$3</f>
        <v>-138.728605686043</v>
      </c>
      <c r="G84" s="65" t="str">
        <f aca="false">IF(N84="","",N84/$E$3)</f>
        <v/>
      </c>
      <c r="H84" s="65" t="str">
        <f aca="false">IF(G84="","",G84-F84)</f>
        <v/>
      </c>
      <c r="I84" s="1"/>
      <c r="J84" s="1"/>
      <c r="K84" s="1"/>
      <c r="L84" s="1"/>
      <c r="M84" s="65" t="n">
        <f aca="false">SUMIFS('Détail fonctionnement'!$E$5:$E$463,'Détail fonctionnement'!$A$5:$A$463,$B84,'Détail fonctionnement'!$G$5:$G$463,"O",'Détail fonctionnement'!$B$5:$B$463,$C84,'Détail fonctionnement'!$C$5:$C$463,$D84)</f>
        <v>-91000</v>
      </c>
      <c r="N84" s="66"/>
      <c r="O84" s="65" t="str">
        <f aca="false">IF(N84="","",N84-M84)</f>
        <v/>
      </c>
      <c r="P84" s="67"/>
      <c r="Q84" s="67"/>
      <c r="R84" s="67"/>
      <c r="S84" s="67"/>
      <c r="T84" s="67"/>
      <c r="U84" s="67"/>
      <c r="V84" s="67"/>
      <c r="W84" s="67"/>
      <c r="X84" s="67"/>
      <c r="Y84" s="67"/>
    </row>
    <row r="85" customFormat="false" ht="14.25" hidden="false" customHeight="false" outlineLevel="0" collapsed="false">
      <c r="A85" s="1"/>
      <c r="B85" s="13" t="s">
        <v>3</v>
      </c>
      <c r="C85" s="32" t="s">
        <v>36</v>
      </c>
      <c r="D85" s="32" t="s">
        <v>113</v>
      </c>
      <c r="E85" s="1"/>
      <c r="F85" s="65" t="n">
        <f aca="false">M85/$E$3</f>
        <v>0</v>
      </c>
      <c r="G85" s="65" t="str">
        <f aca="false">IF(N85="","",N85/$E$3)</f>
        <v/>
      </c>
      <c r="H85" s="65" t="str">
        <f aca="false">IF(G85="","",G85-F85)</f>
        <v/>
      </c>
      <c r="I85" s="1"/>
      <c r="J85" s="1"/>
      <c r="K85" s="1"/>
      <c r="L85" s="1"/>
      <c r="M85" s="65" t="n">
        <f aca="false">SUMIFS('Détail fonctionnement'!$E$5:$E$463,'Détail fonctionnement'!$A$5:$A$463,$B85,'Détail fonctionnement'!$G$5:$G$463,"O",'Détail fonctionnement'!$B$5:$B$463,$C85,'Détail fonctionnement'!$C$5:$C$463,$D85)</f>
        <v>0</v>
      </c>
      <c r="N85" s="66"/>
      <c r="O85" s="65" t="str">
        <f aca="false">IF(N85="","",N85-M85)</f>
        <v/>
      </c>
      <c r="P85" s="67"/>
      <c r="Q85" s="67"/>
      <c r="R85" s="67"/>
      <c r="S85" s="67"/>
      <c r="T85" s="67"/>
      <c r="U85" s="67"/>
      <c r="V85" s="67"/>
      <c r="W85" s="67"/>
      <c r="X85" s="67"/>
      <c r="Y85" s="67"/>
    </row>
    <row r="86" customFormat="false" ht="14.25" hidden="false" customHeight="false" outlineLevel="0" collapsed="false">
      <c r="A86" s="1"/>
      <c r="B86" s="13" t="s">
        <v>3</v>
      </c>
      <c r="C86" s="32" t="s">
        <v>43</v>
      </c>
      <c r="D86" s="32" t="s">
        <v>110</v>
      </c>
      <c r="E86" s="1"/>
      <c r="F86" s="65" t="n">
        <f aca="false">M86/$E$3</f>
        <v>-33122.2671608047</v>
      </c>
      <c r="G86" s="65" t="str">
        <f aca="false">IF(N86="","",N86/$E$3)</f>
        <v/>
      </c>
      <c r="H86" s="65" t="str">
        <f aca="false">IF(G86="","",G86-F86)</f>
        <v/>
      </c>
      <c r="I86" s="1"/>
      <c r="J86" s="1"/>
      <c r="K86" s="1"/>
      <c r="L86" s="1"/>
      <c r="M86" s="65" t="n">
        <f aca="false">SUMIFS('Détail fonctionnement'!$E$5:$E$463,'Détail fonctionnement'!$A$5:$A$463,$B86,'Détail fonctionnement'!$G$5:$G$463,"O",'Détail fonctionnement'!$B$5:$B$463,$C86,'Détail fonctionnement'!$C$5:$C$463,$D86)</f>
        <v>-21726783</v>
      </c>
      <c r="N86" s="66"/>
      <c r="O86" s="65" t="str">
        <f aca="false">IF(N86="","",N86-M86)</f>
        <v/>
      </c>
      <c r="P86" s="67"/>
      <c r="Q86" s="67"/>
      <c r="R86" s="67"/>
      <c r="S86" s="67"/>
      <c r="T86" s="67"/>
      <c r="U86" s="67"/>
      <c r="V86" s="67"/>
      <c r="W86" s="67"/>
      <c r="X86" s="67"/>
      <c r="Y86" s="67"/>
    </row>
    <row r="87" customFormat="false" ht="14.25" hidden="false" customHeight="false" outlineLevel="0" collapsed="false">
      <c r="A87" s="1"/>
      <c r="B87" s="13" t="s">
        <v>3</v>
      </c>
      <c r="C87" s="32" t="s">
        <v>43</v>
      </c>
      <c r="D87" s="32" t="s">
        <v>115</v>
      </c>
      <c r="E87" s="1"/>
      <c r="F87" s="65" t="n">
        <f aca="false">M87/$E$3</f>
        <v>-40495.2733182206</v>
      </c>
      <c r="G87" s="65" t="str">
        <f aca="false">IF(N87="","",N87/$E$3)</f>
        <v/>
      </c>
      <c r="H87" s="65" t="str">
        <f aca="false">IF(G87="","",G87-F87)</f>
        <v/>
      </c>
      <c r="I87" s="1"/>
      <c r="J87" s="1"/>
      <c r="K87" s="1"/>
      <c r="L87" s="1"/>
      <c r="M87" s="65" t="n">
        <f aca="false">SUMIFS('Détail fonctionnement'!$E$5:$E$463,'Détail fonctionnement'!$A$5:$A$463,$B87,'Détail fonctionnement'!$G$5:$G$463,"O",'Détail fonctionnement'!$B$5:$B$463,$C87,'Détail fonctionnement'!$C$5:$C$463,$D87)</f>
        <v>-26563158</v>
      </c>
      <c r="N87" s="66"/>
      <c r="O87" s="65" t="str">
        <f aca="false">IF(N87="","",N87-M87)</f>
        <v/>
      </c>
      <c r="P87" s="67"/>
      <c r="Q87" s="67"/>
      <c r="R87" s="67"/>
      <c r="S87" s="67"/>
      <c r="T87" s="67"/>
      <c r="U87" s="67"/>
      <c r="V87" s="67"/>
      <c r="W87" s="67"/>
      <c r="X87" s="67"/>
      <c r="Y87" s="67"/>
    </row>
    <row r="88" customFormat="false" ht="14.25" hidden="false" customHeight="false" outlineLevel="0" collapsed="false">
      <c r="A88" s="1"/>
      <c r="B88" s="13" t="s">
        <v>3</v>
      </c>
      <c r="C88" s="32" t="s">
        <v>43</v>
      </c>
      <c r="D88" s="32" t="s">
        <v>111</v>
      </c>
      <c r="E88" s="1"/>
      <c r="F88" s="65" t="n">
        <f aca="false">M88/$E$3</f>
        <v>-14482.656637554</v>
      </c>
      <c r="G88" s="65" t="str">
        <f aca="false">IF(N88="","",N88/$E$3)</f>
        <v/>
      </c>
      <c r="H88" s="65" t="str">
        <f aca="false">IF(G88="","",G88-F88)</f>
        <v/>
      </c>
      <c r="I88" s="1"/>
      <c r="J88" s="1"/>
      <c r="K88" s="1"/>
      <c r="L88" s="1"/>
      <c r="M88" s="65" t="n">
        <f aca="false">SUMIFS('Détail fonctionnement'!$E$5:$E$463,'Détail fonctionnement'!$A$5:$A$463,$B88,'Détail fonctionnement'!$G$5:$G$463,"O",'Détail fonctionnement'!$B$5:$B$463,$C88,'Détail fonctionnement'!$C$5:$C$463,$D88)</f>
        <v>-9500000</v>
      </c>
      <c r="N88" s="66"/>
      <c r="O88" s="65" t="str">
        <f aca="false">IF(N88="","",N88-M88)</f>
        <v/>
      </c>
      <c r="P88" s="67"/>
      <c r="Q88" s="67"/>
      <c r="R88" s="67"/>
      <c r="S88" s="67"/>
      <c r="T88" s="67"/>
      <c r="U88" s="67"/>
      <c r="V88" s="67"/>
      <c r="W88" s="67"/>
      <c r="X88" s="67"/>
      <c r="Y88" s="67"/>
    </row>
    <row r="89" customFormat="false" ht="14.25" hidden="false" customHeight="false" outlineLevel="0" collapsed="false">
      <c r="A89" s="1"/>
      <c r="B89" s="13" t="s">
        <v>3</v>
      </c>
      <c r="C89" s="32" t="s">
        <v>43</v>
      </c>
      <c r="D89" s="32" t="s">
        <v>112</v>
      </c>
      <c r="E89" s="1"/>
      <c r="F89" s="65" t="n">
        <f aca="false">M89/$E$3</f>
        <v>-25256.1890489773</v>
      </c>
      <c r="G89" s="65" t="str">
        <f aca="false">IF(N89="","",N89/$E$3)</f>
        <v/>
      </c>
      <c r="H89" s="65" t="str">
        <f aca="false">IF(G89="","",G89-F89)</f>
        <v/>
      </c>
      <c r="I89" s="1"/>
      <c r="J89" s="1"/>
      <c r="K89" s="1"/>
      <c r="L89" s="1"/>
      <c r="M89" s="65" t="n">
        <f aca="false">SUMIFS('Détail fonctionnement'!$E$5:$E$463,'Détail fonctionnement'!$A$5:$A$463,$B89,'Détail fonctionnement'!$G$5:$G$463,"O",'Détail fonctionnement'!$B$5:$B$463,$C89,'Détail fonctionnement'!$C$5:$C$463,$D89)</f>
        <v>-16566974</v>
      </c>
      <c r="N89" s="66"/>
      <c r="O89" s="65" t="str">
        <f aca="false">IF(N89="","",N89-M89)</f>
        <v/>
      </c>
      <c r="P89" s="67"/>
      <c r="Q89" s="67"/>
      <c r="R89" s="67"/>
      <c r="S89" s="67"/>
      <c r="T89" s="67"/>
      <c r="U89" s="67"/>
      <c r="V89" s="67"/>
      <c r="W89" s="67"/>
      <c r="X89" s="67"/>
      <c r="Y89" s="67"/>
    </row>
    <row r="90" customFormat="false" ht="14.25" hidden="false" customHeight="false" outlineLevel="0" collapsed="false">
      <c r="A90" s="1"/>
      <c r="B90" s="13" t="s">
        <v>3</v>
      </c>
      <c r="C90" s="32" t="s">
        <v>43</v>
      </c>
      <c r="D90" s="32" t="s">
        <v>116</v>
      </c>
      <c r="E90" s="1"/>
      <c r="F90" s="65" t="n">
        <f aca="false">M90/$E$3</f>
        <v>-37022.6432525303</v>
      </c>
      <c r="G90" s="65" t="str">
        <f aca="false">IF(N90="","",N90/$E$3)</f>
        <v/>
      </c>
      <c r="H90" s="65" t="str">
        <f aca="false">IF(G90="","",G90-F90)</f>
        <v/>
      </c>
      <c r="I90" s="1"/>
      <c r="J90" s="1"/>
      <c r="K90" s="1"/>
      <c r="L90" s="1"/>
      <c r="M90" s="65" t="n">
        <f aca="false">SUMIFS('Détail fonctionnement'!$E$5:$E$463,'Détail fonctionnement'!$A$5:$A$463,$B90,'Détail fonctionnement'!$G$5:$G$463,"O",'Détail fonctionnement'!$B$5:$B$463,$C90,'Détail fonctionnement'!$C$5:$C$463,$D90)</f>
        <v>-24285262</v>
      </c>
      <c r="N90" s="66"/>
      <c r="O90" s="65" t="str">
        <f aca="false">IF(N90="","",N90-M90)</f>
        <v/>
      </c>
      <c r="P90" s="67"/>
      <c r="Q90" s="67"/>
      <c r="R90" s="67"/>
      <c r="S90" s="67"/>
      <c r="T90" s="67"/>
      <c r="U90" s="67"/>
      <c r="V90" s="67"/>
      <c r="W90" s="67"/>
      <c r="X90" s="67"/>
      <c r="Y90" s="67"/>
    </row>
    <row r="91" customFormat="false" ht="14.25" hidden="false" customHeight="false" outlineLevel="0" collapsed="false">
      <c r="A91" s="1"/>
      <c r="B91" s="13" t="s">
        <v>3</v>
      </c>
      <c r="C91" s="32" t="s">
        <v>43</v>
      </c>
      <c r="D91" s="32" t="s">
        <v>117</v>
      </c>
      <c r="E91" s="1"/>
      <c r="F91" s="65" t="n">
        <f aca="false">M91/$E$3</f>
        <v>-22867.3525856116</v>
      </c>
      <c r="G91" s="65" t="str">
        <f aca="false">IF(N91="","",N91/$E$3)</f>
        <v/>
      </c>
      <c r="H91" s="65" t="str">
        <f aca="false">IF(G91="","",G91-F91)</f>
        <v/>
      </c>
      <c r="I91" s="1"/>
      <c r="J91" s="1"/>
      <c r="K91" s="1"/>
      <c r="L91" s="1"/>
      <c r="M91" s="65" t="n">
        <f aca="false">SUMIFS('Détail fonctionnement'!$E$5:$E$463,'Détail fonctionnement'!$A$5:$A$463,$B91,'Détail fonctionnement'!$G$5:$G$463,"O",'Détail fonctionnement'!$B$5:$B$463,$C91,'Détail fonctionnement'!$C$5:$C$463,$D91)</f>
        <v>-15000000</v>
      </c>
      <c r="N91" s="66"/>
      <c r="O91" s="65" t="str">
        <f aca="false">IF(N91="","",N91-M91)</f>
        <v/>
      </c>
      <c r="P91" s="67"/>
      <c r="Q91" s="67"/>
      <c r="R91" s="67"/>
      <c r="S91" s="67"/>
      <c r="T91" s="67"/>
      <c r="U91" s="67"/>
      <c r="V91" s="67"/>
      <c r="W91" s="67"/>
      <c r="X91" s="67"/>
      <c r="Y91" s="67"/>
    </row>
    <row r="92" customFormat="false" ht="14.25" hidden="false" customHeight="false" outlineLevel="0" collapsed="false">
      <c r="A92" s="1"/>
      <c r="B92" s="13" t="s">
        <v>3</v>
      </c>
      <c r="C92" s="32" t="s">
        <v>43</v>
      </c>
      <c r="D92" s="32" t="s">
        <v>114</v>
      </c>
      <c r="E92" s="1"/>
      <c r="F92" s="65" t="n">
        <f aca="false">M92/$E$3</f>
        <v>5488.16462054677</v>
      </c>
      <c r="G92" s="65" t="str">
        <f aca="false">IF(N92="","",N92/$E$3)</f>
        <v/>
      </c>
      <c r="H92" s="65" t="str">
        <f aca="false">IF(G92="","",G92-F92)</f>
        <v/>
      </c>
      <c r="I92" s="1"/>
      <c r="J92" s="1"/>
      <c r="K92" s="1"/>
      <c r="L92" s="1"/>
      <c r="M92" s="65" t="n">
        <f aca="false">SUMIFS('Détail fonctionnement'!$E$5:$E$463,'Détail fonctionnement'!$A$5:$A$463,$B92,'Détail fonctionnement'!$G$5:$G$463,"O",'Détail fonctionnement'!$B$5:$B$463,$C92,'Détail fonctionnement'!$C$5:$C$463,$D92)</f>
        <v>3600000</v>
      </c>
      <c r="N92" s="66"/>
      <c r="O92" s="65" t="str">
        <f aca="false">IF(N92="","",N92-M92)</f>
        <v/>
      </c>
      <c r="P92" s="67"/>
      <c r="Q92" s="67"/>
      <c r="R92" s="67"/>
      <c r="S92" s="67"/>
      <c r="T92" s="67"/>
      <c r="U92" s="67"/>
      <c r="V92" s="67"/>
      <c r="W92" s="67"/>
      <c r="X92" s="67"/>
      <c r="Y92" s="67"/>
    </row>
    <row r="93" customFormat="false" ht="14.25" hidden="false" customHeight="false" outlineLevel="0" collapsed="false">
      <c r="A93" s="1"/>
      <c r="B93" s="13" t="s">
        <v>3</v>
      </c>
      <c r="C93" s="32" t="s">
        <v>50</v>
      </c>
      <c r="D93" s="32" t="s">
        <v>110</v>
      </c>
      <c r="E93" s="1"/>
      <c r="F93" s="65" t="n">
        <f aca="false">M93/$E$3</f>
        <v>-90300.1949822931</v>
      </c>
      <c r="G93" s="65" t="str">
        <f aca="false">IF(N93="","",N93/$E$3)</f>
        <v/>
      </c>
      <c r="H93" s="65" t="str">
        <f aca="false">IF(G93="","",G93-F93)</f>
        <v/>
      </c>
      <c r="I93" s="1"/>
      <c r="J93" s="1"/>
      <c r="K93" s="1"/>
      <c r="L93" s="1"/>
      <c r="M93" s="65" t="n">
        <f aca="false">SUMIFS('Détail fonctionnement'!$E$5:$E$463,'Détail fonctionnement'!$A$5:$A$463,$B93,'Détail fonctionnement'!$G$5:$G$463,"O",'Détail fonctionnement'!$B$5:$B$463,$C93,'Détail fonctionnement'!$C$5:$C$463,$D93)</f>
        <v>-59233045</v>
      </c>
      <c r="N93" s="66"/>
      <c r="O93" s="65" t="str">
        <f aca="false">IF(N93="","",N93-M93)</f>
        <v/>
      </c>
      <c r="P93" s="67"/>
      <c r="Q93" s="67"/>
      <c r="R93" s="67"/>
      <c r="S93" s="67"/>
      <c r="T93" s="67"/>
      <c r="U93" s="67"/>
      <c r="V93" s="67"/>
      <c r="W93" s="67"/>
      <c r="X93" s="67"/>
      <c r="Y93" s="67"/>
    </row>
    <row r="94" customFormat="false" ht="14.25" hidden="false" customHeight="false" outlineLevel="0" collapsed="false">
      <c r="A94" s="1"/>
      <c r="B94" s="13" t="s">
        <v>3</v>
      </c>
      <c r="C94" s="32" t="s">
        <v>50</v>
      </c>
      <c r="D94" s="32" t="s">
        <v>111</v>
      </c>
      <c r="E94" s="1"/>
      <c r="F94" s="65" t="n">
        <f aca="false">M94/$E$3</f>
        <v>-18293.8820684892</v>
      </c>
      <c r="G94" s="65" t="str">
        <f aca="false">IF(N94="","",N94/$E$3)</f>
        <v/>
      </c>
      <c r="H94" s="65" t="str">
        <f aca="false">IF(G94="","",G94-F94)</f>
        <v/>
      </c>
      <c r="I94" s="1"/>
      <c r="J94" s="1"/>
      <c r="K94" s="1"/>
      <c r="L94" s="1"/>
      <c r="M94" s="65" t="n">
        <f aca="false">SUMIFS('Détail fonctionnement'!$E$5:$E$463,'Détail fonctionnement'!$A$5:$A$463,$B94,'Détail fonctionnement'!$G$5:$G$463,"O",'Détail fonctionnement'!$B$5:$B$463,$C94,'Détail fonctionnement'!$C$5:$C$463,$D94)</f>
        <v>-12000000</v>
      </c>
      <c r="N94" s="66"/>
      <c r="O94" s="65" t="str">
        <f aca="false">IF(N94="","",N94-M94)</f>
        <v/>
      </c>
      <c r="P94" s="67"/>
      <c r="Q94" s="67"/>
      <c r="R94" s="67"/>
      <c r="S94" s="67"/>
      <c r="T94" s="67"/>
      <c r="U94" s="67"/>
      <c r="V94" s="67"/>
      <c r="W94" s="67"/>
      <c r="X94" s="67"/>
      <c r="Y94" s="67"/>
    </row>
    <row r="95" customFormat="false" ht="14.25" hidden="false" customHeight="false" outlineLevel="0" collapsed="false">
      <c r="A95" s="1"/>
      <c r="B95" s="13" t="s">
        <v>3</v>
      </c>
      <c r="C95" s="32" t="s">
        <v>50</v>
      </c>
      <c r="D95" s="32" t="s">
        <v>112</v>
      </c>
      <c r="E95" s="1"/>
      <c r="F95" s="65" t="n">
        <f aca="false">M95/$E$3</f>
        <v>-6189.43009983886</v>
      </c>
      <c r="G95" s="65" t="str">
        <f aca="false">IF(N95="","",N95/$E$3)</f>
        <v/>
      </c>
      <c r="H95" s="65" t="str">
        <f aca="false">IF(G95="","",G95-F95)</f>
        <v/>
      </c>
      <c r="I95" s="1"/>
      <c r="J95" s="1"/>
      <c r="K95" s="1"/>
      <c r="L95" s="1"/>
      <c r="M95" s="65" t="n">
        <f aca="false">SUMIFS('Détail fonctionnement'!$E$5:$E$463,'Détail fonctionnement'!$A$5:$A$463,$B95,'Détail fonctionnement'!$G$5:$G$463,"O",'Détail fonctionnement'!$B$5:$B$463,$C95,'Détail fonctionnement'!$C$5:$C$463,$D95)</f>
        <v>-4060000</v>
      </c>
      <c r="N95" s="66"/>
      <c r="O95" s="65" t="str">
        <f aca="false">IF(N95="","",N95-M95)</f>
        <v/>
      </c>
      <c r="P95" s="67"/>
      <c r="Q95" s="67"/>
      <c r="R95" s="67"/>
      <c r="S95" s="67"/>
      <c r="T95" s="67"/>
      <c r="U95" s="67"/>
      <c r="V95" s="67"/>
      <c r="W95" s="67"/>
      <c r="X95" s="67"/>
      <c r="Y95" s="67"/>
    </row>
    <row r="96" customFormat="false" ht="14.25" hidden="false" customHeight="false" outlineLevel="0" collapsed="false">
      <c r="A96" s="1"/>
      <c r="B96" s="13" t="s">
        <v>3</v>
      </c>
      <c r="C96" s="32" t="s">
        <v>54</v>
      </c>
      <c r="D96" s="32" t="s">
        <v>110</v>
      </c>
      <c r="E96" s="1"/>
      <c r="F96" s="65" t="n">
        <f aca="false">M96/$E$3</f>
        <v>-3870.68054765785</v>
      </c>
      <c r="G96" s="65" t="str">
        <f aca="false">IF(N96="","",N96/$E$3)</f>
        <v/>
      </c>
      <c r="H96" s="65" t="str">
        <f aca="false">IF(G96="","",G96-F96)</f>
        <v/>
      </c>
      <c r="I96" s="1"/>
      <c r="J96" s="1"/>
      <c r="K96" s="1"/>
      <c r="L96" s="1"/>
      <c r="M96" s="65" t="n">
        <f aca="false">SUMIFS('Détail fonctionnement'!$E$5:$E$463,'Détail fonctionnement'!$A$5:$A$463,$B96,'Détail fonctionnement'!$G$5:$G$463,"O",'Détail fonctionnement'!$B$5:$B$463,$C96,'Détail fonctionnement'!$C$5:$C$463,$D96)</f>
        <v>-2539000</v>
      </c>
      <c r="N96" s="66"/>
      <c r="O96" s="65" t="str">
        <f aca="false">IF(N96="","",N96-M96)</f>
        <v/>
      </c>
      <c r="P96" s="67"/>
      <c r="Q96" s="67"/>
      <c r="R96" s="67"/>
      <c r="S96" s="67"/>
      <c r="T96" s="67"/>
      <c r="U96" s="67"/>
      <c r="V96" s="67"/>
      <c r="W96" s="67"/>
      <c r="X96" s="67"/>
      <c r="Y96" s="67"/>
    </row>
    <row r="97" customFormat="false" ht="14.25" hidden="false" customHeight="false" outlineLevel="0" collapsed="false">
      <c r="A97" s="1"/>
      <c r="B97" s="13" t="s">
        <v>3</v>
      </c>
      <c r="C97" s="32" t="s">
        <v>54</v>
      </c>
      <c r="D97" s="32" t="s">
        <v>111</v>
      </c>
      <c r="E97" s="1"/>
      <c r="F97" s="65" t="n">
        <f aca="false">M97/$E$3</f>
        <v>0</v>
      </c>
      <c r="G97" s="65" t="str">
        <f aca="false">IF(N97="","",N97/$E$3)</f>
        <v/>
      </c>
      <c r="H97" s="65" t="str">
        <f aca="false">IF(G97="","",G97-F97)</f>
        <v/>
      </c>
      <c r="I97" s="1"/>
      <c r="J97" s="1"/>
      <c r="K97" s="1"/>
      <c r="L97" s="1"/>
      <c r="M97" s="65" t="n">
        <f aca="false">SUMIFS('Détail fonctionnement'!$E$5:$E$463,'Détail fonctionnement'!$A$5:$A$463,$B97,'Détail fonctionnement'!$G$5:$G$463,"O",'Détail fonctionnement'!$B$5:$B$463,$C97,'Détail fonctionnement'!$C$5:$C$463,$D97)</f>
        <v>0</v>
      </c>
      <c r="N97" s="66"/>
      <c r="O97" s="65" t="str">
        <f aca="false">IF(N97="","",N97-M97)</f>
        <v/>
      </c>
      <c r="P97" s="67"/>
      <c r="Q97" s="67"/>
      <c r="R97" s="67"/>
      <c r="S97" s="67"/>
      <c r="T97" s="67"/>
      <c r="U97" s="67"/>
      <c r="V97" s="67"/>
      <c r="W97" s="67"/>
      <c r="X97" s="67"/>
      <c r="Y97" s="67"/>
    </row>
    <row r="98" customFormat="false" ht="14.25" hidden="false" customHeight="false" outlineLevel="0" collapsed="false">
      <c r="A98" s="1"/>
      <c r="B98" s="13" t="s">
        <v>3</v>
      </c>
      <c r="C98" s="32" t="s">
        <v>54</v>
      </c>
      <c r="D98" s="32" t="s">
        <v>113</v>
      </c>
      <c r="E98" s="1"/>
      <c r="F98" s="65" t="n">
        <f aca="false">M98/$E$3</f>
        <v>0</v>
      </c>
      <c r="G98" s="65" t="str">
        <f aca="false">IF(N98="","",N98/$E$3)</f>
        <v/>
      </c>
      <c r="H98" s="65" t="str">
        <f aca="false">IF(G98="","",G98-F98)</f>
        <v/>
      </c>
      <c r="I98" s="1"/>
      <c r="J98" s="1"/>
      <c r="K98" s="1"/>
      <c r="L98" s="1"/>
      <c r="M98" s="65" t="n">
        <f aca="false">SUMIFS('Détail fonctionnement'!$E$5:$E$463,'Détail fonctionnement'!$A$5:$A$463,$B98,'Détail fonctionnement'!$G$5:$G$463,"O",'Détail fonctionnement'!$B$5:$B$463,$C98,'Détail fonctionnement'!$C$5:$C$463,$D98)</f>
        <v>0</v>
      </c>
      <c r="N98" s="66"/>
      <c r="O98" s="65" t="str">
        <f aca="false">IF(N98="","",N98-M98)</f>
        <v/>
      </c>
      <c r="P98" s="67"/>
      <c r="Q98" s="67"/>
      <c r="R98" s="67"/>
      <c r="S98" s="67"/>
      <c r="T98" s="67"/>
      <c r="U98" s="67"/>
      <c r="V98" s="67"/>
      <c r="W98" s="67"/>
      <c r="X98" s="67"/>
      <c r="Y98" s="67"/>
    </row>
    <row r="99" customFormat="false" ht="14.25" hidden="false" customHeight="false" outlineLevel="0" collapsed="false">
      <c r="A99" s="1"/>
      <c r="B99" s="13" t="s">
        <v>3</v>
      </c>
      <c r="C99" s="32" t="s">
        <v>57</v>
      </c>
      <c r="D99" s="32" t="s">
        <v>110</v>
      </c>
      <c r="E99" s="1"/>
      <c r="F99" s="65" t="n">
        <f aca="false">M99/$E$3</f>
        <v>-4353.88295269355</v>
      </c>
      <c r="G99" s="65" t="str">
        <f aca="false">IF(N99="","",N99/$E$3)</f>
        <v/>
      </c>
      <c r="H99" s="65" t="str">
        <f aca="false">IF(G99="","",G99-F99)</f>
        <v/>
      </c>
      <c r="I99" s="1"/>
      <c r="J99" s="1"/>
      <c r="K99" s="1"/>
      <c r="L99" s="1"/>
      <c r="M99" s="65" t="n">
        <f aca="false">SUMIFS('Détail fonctionnement'!$E$5:$E$463,'Détail fonctionnement'!$A$5:$A$463,$B99,'Détail fonctionnement'!$G$5:$G$463,"O",'Détail fonctionnement'!$B$5:$B$463,$C99,'Détail fonctionnement'!$C$5:$C$463,$D99)</f>
        <v>-2855960</v>
      </c>
      <c r="N99" s="66"/>
      <c r="O99" s="65" t="str">
        <f aca="false">IF(N99="","",N99-M99)</f>
        <v/>
      </c>
      <c r="P99" s="67"/>
      <c r="Q99" s="67"/>
      <c r="R99" s="67"/>
      <c r="S99" s="67"/>
      <c r="T99" s="67"/>
      <c r="U99" s="67"/>
      <c r="V99" s="67"/>
      <c r="W99" s="67"/>
      <c r="X99" s="67"/>
      <c r="Y99" s="67"/>
    </row>
    <row r="100" customFormat="false" ht="14.25" hidden="false" customHeight="false" outlineLevel="0" collapsed="false">
      <c r="A100" s="1"/>
      <c r="B100" s="13" t="s">
        <v>3</v>
      </c>
      <c r="C100" s="32" t="s">
        <v>57</v>
      </c>
      <c r="D100" s="32" t="s">
        <v>111</v>
      </c>
      <c r="E100" s="1"/>
      <c r="F100" s="65" t="n">
        <f aca="false">M100/$E$3</f>
        <v>-12195.9213789928</v>
      </c>
      <c r="G100" s="65" t="str">
        <f aca="false">IF(N100="","",N100/$E$3)</f>
        <v/>
      </c>
      <c r="H100" s="65" t="str">
        <f aca="false">IF(G100="","",G100-F100)</f>
        <v/>
      </c>
      <c r="I100" s="1"/>
      <c r="J100" s="1"/>
      <c r="K100" s="1"/>
      <c r="L100" s="1"/>
      <c r="M100" s="65" t="n">
        <f aca="false">SUMIFS('Détail fonctionnement'!$E$5:$E$463,'Détail fonctionnement'!$A$5:$A$463,$B100,'Détail fonctionnement'!$G$5:$G$463,"O",'Détail fonctionnement'!$B$5:$B$463,$C100,'Détail fonctionnement'!$C$5:$C$463,$D100)</f>
        <v>-8000000</v>
      </c>
      <c r="N100" s="66"/>
      <c r="O100" s="65" t="str">
        <f aca="false">IF(N100="","",N100-M100)</f>
        <v/>
      </c>
      <c r="P100" s="67"/>
      <c r="Q100" s="67"/>
      <c r="R100" s="67"/>
      <c r="S100" s="67"/>
      <c r="T100" s="67"/>
      <c r="U100" s="67"/>
      <c r="V100" s="67"/>
      <c r="W100" s="67"/>
      <c r="X100" s="67"/>
      <c r="Y100" s="67"/>
    </row>
    <row r="101" customFormat="false" ht="14.25" hidden="false" customHeight="false" outlineLevel="0" collapsed="false">
      <c r="A101" s="1"/>
      <c r="B101" s="13" t="s">
        <v>3</v>
      </c>
      <c r="C101" s="32" t="s">
        <v>57</v>
      </c>
      <c r="D101" s="32" t="s">
        <v>112</v>
      </c>
      <c r="E101" s="1"/>
      <c r="F101" s="65" t="n">
        <f aca="false">M101/$E$3</f>
        <v>-4924.10325676836</v>
      </c>
      <c r="G101" s="65" t="str">
        <f aca="false">IF(N101="","",N101/$E$3)</f>
        <v/>
      </c>
      <c r="H101" s="65" t="str">
        <f aca="false">IF(G101="","",G101-F101)</f>
        <v/>
      </c>
      <c r="I101" s="1"/>
      <c r="J101" s="1"/>
      <c r="K101" s="1"/>
      <c r="L101" s="1"/>
      <c r="M101" s="65" t="n">
        <f aca="false">SUMIFS('Détail fonctionnement'!$E$5:$E$463,'Détail fonctionnement'!$A$5:$A$463,$B101,'Détail fonctionnement'!$G$5:$G$463,"O",'Détail fonctionnement'!$B$5:$B$463,$C101,'Détail fonctionnement'!$C$5:$C$463,$D101)</f>
        <v>-3230000</v>
      </c>
      <c r="N101" s="66"/>
      <c r="O101" s="65" t="str">
        <f aca="false">IF(N101="","",N101-M101)</f>
        <v/>
      </c>
      <c r="P101" s="67"/>
      <c r="Q101" s="67"/>
      <c r="R101" s="67"/>
      <c r="S101" s="67"/>
      <c r="T101" s="67"/>
      <c r="U101" s="67"/>
      <c r="V101" s="67"/>
      <c r="W101" s="67"/>
      <c r="X101" s="67"/>
      <c r="Y101" s="67"/>
    </row>
    <row r="102" customFormat="false" ht="14.25" hidden="false" customHeight="false" outlineLevel="0" collapsed="false">
      <c r="A102" s="1"/>
      <c r="B102" s="13" t="s">
        <v>3</v>
      </c>
      <c r="C102" s="32" t="s">
        <v>57</v>
      </c>
      <c r="D102" s="32" t="s">
        <v>113</v>
      </c>
      <c r="E102" s="1"/>
      <c r="F102" s="65" t="n">
        <f aca="false">M102/$E$3</f>
        <v>0</v>
      </c>
      <c r="G102" s="65" t="str">
        <f aca="false">IF(N102="","",N102/$E$3)</f>
        <v/>
      </c>
      <c r="H102" s="65" t="str">
        <f aca="false">IF(G102="","",G102-F102)</f>
        <v/>
      </c>
      <c r="I102" s="1"/>
      <c r="J102" s="1"/>
      <c r="K102" s="1"/>
      <c r="L102" s="1"/>
      <c r="M102" s="65" t="n">
        <f aca="false">SUMIFS('Détail fonctionnement'!$E$5:$E$463,'Détail fonctionnement'!$A$5:$A$463,$B102,'Détail fonctionnement'!$G$5:$G$463,"O",'Détail fonctionnement'!$B$5:$B$463,$C102,'Détail fonctionnement'!$C$5:$C$463,$D102)</f>
        <v>0</v>
      </c>
      <c r="N102" s="66"/>
      <c r="O102" s="65" t="str">
        <f aca="false">IF(N102="","",N102-M102)</f>
        <v/>
      </c>
      <c r="P102" s="67"/>
      <c r="Q102" s="67"/>
      <c r="R102" s="67"/>
      <c r="S102" s="67"/>
      <c r="T102" s="67"/>
      <c r="U102" s="67"/>
      <c r="V102" s="67"/>
      <c r="W102" s="67"/>
      <c r="X102" s="67"/>
      <c r="Y102" s="67"/>
    </row>
    <row r="103" customFormat="false" ht="14.25" hidden="false" customHeight="false" outlineLevel="0" collapsed="false">
      <c r="A103" s="1"/>
      <c r="B103" s="13" t="s">
        <v>3</v>
      </c>
      <c r="C103" s="32" t="s">
        <v>61</v>
      </c>
      <c r="D103" s="32" t="s">
        <v>111</v>
      </c>
      <c r="E103" s="1"/>
      <c r="F103" s="65" t="n">
        <f aca="false">M103/$E$3</f>
        <v>0</v>
      </c>
      <c r="G103" s="65" t="str">
        <f aca="false">IF(N103="","",N103/$E$3)</f>
        <v/>
      </c>
      <c r="H103" s="65" t="str">
        <f aca="false">IF(G103="","",G103-F103)</f>
        <v/>
      </c>
      <c r="I103" s="1"/>
      <c r="J103" s="1"/>
      <c r="K103" s="1"/>
      <c r="L103" s="1"/>
      <c r="M103" s="65" t="n">
        <f aca="false">SUMIFS('Détail fonctionnement'!$E$5:$E$463,'Détail fonctionnement'!$A$5:$A$463,$B103,'Détail fonctionnement'!$G$5:$G$463,"O",'Détail fonctionnement'!$B$5:$B$463,$C103,'Détail fonctionnement'!$C$5:$C$463,$D103)</f>
        <v>0</v>
      </c>
      <c r="N103" s="66"/>
      <c r="O103" s="65" t="str">
        <f aca="false">IF(N103="","",N103-M103)</f>
        <v/>
      </c>
      <c r="P103" s="67"/>
      <c r="Q103" s="67"/>
      <c r="R103" s="67"/>
      <c r="S103" s="67"/>
      <c r="T103" s="67"/>
      <c r="U103" s="67"/>
      <c r="V103" s="67"/>
      <c r="W103" s="67"/>
      <c r="X103" s="67"/>
      <c r="Y103" s="67"/>
    </row>
    <row r="104" customFormat="false" ht="14.25" hidden="false" customHeight="false" outlineLevel="0" collapsed="false">
      <c r="A104" s="1"/>
      <c r="B104" s="13" t="s">
        <v>3</v>
      </c>
      <c r="C104" s="32" t="s">
        <v>63</v>
      </c>
      <c r="D104" s="32" t="s">
        <v>110</v>
      </c>
      <c r="E104" s="1"/>
      <c r="F104" s="65" t="n">
        <f aca="false">M104/$E$3</f>
        <v>-512.381146934936</v>
      </c>
      <c r="G104" s="65" t="str">
        <f aca="false">IF(N104="","",N104/$E$3)</f>
        <v/>
      </c>
      <c r="H104" s="65" t="str">
        <f aca="false">IF(G104="","",G104-F104)</f>
        <v/>
      </c>
      <c r="I104" s="1"/>
      <c r="J104" s="1"/>
      <c r="K104" s="1"/>
      <c r="L104" s="1"/>
      <c r="M104" s="65" t="n">
        <f aca="false">SUMIFS('Détail fonctionnement'!$E$5:$E$463,'Détail fonctionnement'!$A$5:$A$463,$B104,'Détail fonctionnement'!$G$5:$G$463,"O",'Détail fonctionnement'!$B$5:$B$463,$C104,'Détail fonctionnement'!$C$5:$C$463,$D104)</f>
        <v>-336100</v>
      </c>
      <c r="N104" s="66"/>
      <c r="O104" s="65" t="str">
        <f aca="false">IF(N104="","",N104-M104)</f>
        <v/>
      </c>
      <c r="P104" s="67"/>
      <c r="Q104" s="67"/>
      <c r="R104" s="67"/>
      <c r="S104" s="67"/>
      <c r="T104" s="67"/>
      <c r="U104" s="67"/>
      <c r="V104" s="67"/>
      <c r="W104" s="67"/>
      <c r="X104" s="67"/>
      <c r="Y104" s="67"/>
    </row>
    <row r="105" customFormat="false" ht="14.25" hidden="false" customHeight="false" outlineLevel="0" collapsed="false">
      <c r="A105" s="1"/>
      <c r="B105" s="13" t="s">
        <v>3</v>
      </c>
      <c r="C105" s="32" t="s">
        <v>65</v>
      </c>
      <c r="D105" s="32" t="s">
        <v>110</v>
      </c>
      <c r="E105" s="1"/>
      <c r="F105" s="65" t="n">
        <f aca="false">M105/$E$3</f>
        <v>0</v>
      </c>
      <c r="G105" s="65" t="str">
        <f aca="false">IF(N105="","",N105/$E$3)</f>
        <v/>
      </c>
      <c r="H105" s="65" t="str">
        <f aca="false">IF(G105="","",G105-F105)</f>
        <v/>
      </c>
      <c r="I105" s="1"/>
      <c r="J105" s="1"/>
      <c r="K105" s="1"/>
      <c r="L105" s="1"/>
      <c r="M105" s="65" t="n">
        <f aca="false">SUMIFS('Détail fonctionnement'!$E$5:$E$463,'Détail fonctionnement'!$A$5:$A$463,$B105,'Détail fonctionnement'!$G$5:$G$463,"O",'Détail fonctionnement'!$B$5:$B$463,$C105,'Détail fonctionnement'!$C$5:$C$463,$D105)</f>
        <v>0</v>
      </c>
      <c r="N105" s="66"/>
      <c r="O105" s="65" t="str">
        <f aca="false">IF(N105="","",N105-M105)</f>
        <v/>
      </c>
      <c r="P105" s="67"/>
      <c r="Q105" s="67"/>
      <c r="R105" s="67"/>
      <c r="S105" s="67"/>
      <c r="T105" s="67"/>
      <c r="U105" s="67"/>
      <c r="V105" s="67"/>
      <c r="W105" s="67"/>
      <c r="X105" s="67"/>
      <c r="Y105" s="67"/>
    </row>
    <row r="106" customFormat="false" ht="14.25" hidden="false" customHeight="false" outlineLevel="0" collapsed="false">
      <c r="A106" s="1"/>
      <c r="B106" s="13" t="s">
        <v>3</v>
      </c>
      <c r="C106" s="32" t="s">
        <v>65</v>
      </c>
      <c r="D106" s="32" t="s">
        <v>111</v>
      </c>
      <c r="E106" s="1"/>
      <c r="F106" s="65" t="n">
        <f aca="false">M106/$E$3</f>
        <v>-4573.47051712231</v>
      </c>
      <c r="G106" s="65" t="str">
        <f aca="false">IF(N106="","",N106/$E$3)</f>
        <v/>
      </c>
      <c r="H106" s="65" t="str">
        <f aca="false">IF(G106="","",G106-F106)</f>
        <v/>
      </c>
      <c r="I106" s="1"/>
      <c r="J106" s="1"/>
      <c r="K106" s="1"/>
      <c r="L106" s="1"/>
      <c r="M106" s="65" t="n">
        <f aca="false">SUMIFS('Détail fonctionnement'!$E$5:$E$463,'Détail fonctionnement'!$A$5:$A$463,$B106,'Détail fonctionnement'!$G$5:$G$463,"O",'Détail fonctionnement'!$B$5:$B$463,$C106,'Détail fonctionnement'!$C$5:$C$463,$D106)</f>
        <v>-3000000</v>
      </c>
      <c r="N106" s="66"/>
      <c r="O106" s="65" t="str">
        <f aca="false">IF(N106="","",N106-M106)</f>
        <v/>
      </c>
      <c r="P106" s="67"/>
      <c r="Q106" s="67"/>
      <c r="R106" s="67"/>
      <c r="S106" s="67"/>
      <c r="T106" s="67"/>
      <c r="U106" s="67"/>
      <c r="V106" s="67"/>
      <c r="W106" s="67"/>
      <c r="X106" s="67"/>
      <c r="Y106" s="67"/>
    </row>
    <row r="107" customFormat="false" ht="14.25" hidden="false" customHeight="false" outlineLevel="0" collapsed="false">
      <c r="A107" s="1"/>
      <c r="B107" s="13" t="s">
        <v>3</v>
      </c>
      <c r="C107" s="32" t="s">
        <v>65</v>
      </c>
      <c r="D107" s="32" t="s">
        <v>112</v>
      </c>
      <c r="E107" s="1"/>
      <c r="F107" s="65" t="n">
        <f aca="false">M107/$E$3</f>
        <v>-1475.70648685813</v>
      </c>
      <c r="G107" s="65" t="str">
        <f aca="false">IF(N107="","",N107/$E$3)</f>
        <v/>
      </c>
      <c r="H107" s="65" t="str">
        <f aca="false">IF(G107="","",G107-F107)</f>
        <v/>
      </c>
      <c r="I107" s="1"/>
      <c r="J107" s="1"/>
      <c r="K107" s="1"/>
      <c r="L107" s="1"/>
      <c r="M107" s="65" t="n">
        <f aca="false">SUMIFS('Détail fonctionnement'!$E$5:$E$463,'Détail fonctionnement'!$A$5:$A$463,$B107,'Détail fonctionnement'!$G$5:$G$463,"O",'Détail fonctionnement'!$B$5:$B$463,$C107,'Détail fonctionnement'!$C$5:$C$463,$D107)</f>
        <v>-968000</v>
      </c>
      <c r="N107" s="66"/>
      <c r="O107" s="65" t="str">
        <f aca="false">IF(N107="","",N107-M107)</f>
        <v/>
      </c>
      <c r="P107" s="67"/>
      <c r="Q107" s="67"/>
      <c r="R107" s="67"/>
      <c r="S107" s="67"/>
      <c r="T107" s="67"/>
      <c r="U107" s="67"/>
      <c r="V107" s="67"/>
      <c r="W107" s="67"/>
      <c r="X107" s="67"/>
      <c r="Y107" s="67"/>
    </row>
    <row r="108" customFormat="false" ht="14.25" hidden="false" customHeight="false" outlineLevel="0" collapsed="false">
      <c r="A108" s="1"/>
      <c r="B108" s="1"/>
      <c r="C108" s="49" t="s">
        <v>118</v>
      </c>
      <c r="D108" s="49"/>
      <c r="E108" s="1"/>
      <c r="F108" s="50" t="n">
        <f aca="false">SUM(F72:F107)</f>
        <v>455932.494050677</v>
      </c>
      <c r="G108" s="50" t="n">
        <f aca="false">SUM(G72:G107)</f>
        <v>0</v>
      </c>
      <c r="H108" s="50" t="n">
        <f aca="false">SUM(H72:H107)</f>
        <v>0</v>
      </c>
      <c r="I108" s="1"/>
      <c r="J108" s="1"/>
      <c r="K108" s="1"/>
      <c r="L108" s="1"/>
      <c r="M108" s="50" t="n">
        <f aca="false">SUM(M72:M107)</f>
        <v>299072111</v>
      </c>
      <c r="N108" s="50" t="n">
        <f aca="false">SUM(N72:N107)</f>
        <v>0</v>
      </c>
      <c r="O108" s="50" t="n">
        <f aca="false">SUM(O72:O107)</f>
        <v>0</v>
      </c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customFormat="false" ht="14.25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customFormat="false" ht="14.25" hidden="false" customHeight="false" outlineLevel="0" collapsed="false">
      <c r="A110" s="1"/>
      <c r="B110" s="1"/>
      <c r="C110" s="63" t="s">
        <v>119</v>
      </c>
      <c r="D110" s="64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customFormat="false" ht="14.25" hidden="false" customHeight="false" outlineLevel="0" collapsed="false">
      <c r="A111" s="1"/>
      <c r="B111" s="13" t="s">
        <v>4</v>
      </c>
      <c r="C111" s="32" t="s">
        <v>28</v>
      </c>
      <c r="D111" s="32" t="s">
        <v>110</v>
      </c>
      <c r="E111" s="1"/>
      <c r="F111" s="65" t="n">
        <f aca="false">M111/$E$3</f>
        <v>-43965.2568689716</v>
      </c>
      <c r="G111" s="65" t="str">
        <f aca="false">IF(N111="","",N111/$E$3)</f>
        <v/>
      </c>
      <c r="H111" s="65" t="str">
        <f aca="false">IF(G111="","",G111-F111)</f>
        <v/>
      </c>
      <c r="I111" s="1"/>
      <c r="J111" s="1"/>
      <c r="K111" s="1"/>
      <c r="L111" s="1"/>
      <c r="M111" s="65" t="n">
        <f aca="false">SUMIFS('Détail fonctionnement'!$E$5:$E$463,'Détail fonctionnement'!$A$5:$A$463,$B111,'Détail fonctionnement'!$G$5:$G$463,"O",'Détail fonctionnement'!$B$5:$B$463,$C111,'Détail fonctionnement'!$C$5:$C$463,$D111)</f>
        <v>-28839318</v>
      </c>
      <c r="N111" s="66"/>
      <c r="O111" s="65" t="str">
        <f aca="false">IF(N111="","",N111-M111)</f>
        <v/>
      </c>
      <c r="P111" s="67"/>
      <c r="Q111" s="67"/>
      <c r="R111" s="67"/>
      <c r="S111" s="67"/>
      <c r="T111" s="67"/>
      <c r="U111" s="67"/>
      <c r="V111" s="67"/>
      <c r="W111" s="67"/>
      <c r="X111" s="67"/>
      <c r="Y111" s="67"/>
    </row>
    <row r="112" customFormat="false" ht="14.25" hidden="false" customHeight="false" outlineLevel="0" collapsed="false">
      <c r="A112" s="1"/>
      <c r="B112" s="1"/>
      <c r="C112" s="49" t="s">
        <v>120</v>
      </c>
      <c r="D112" s="49"/>
      <c r="E112" s="1"/>
      <c r="F112" s="50" t="n">
        <f aca="false">SUM(F111:F111)</f>
        <v>-43965.2568689716</v>
      </c>
      <c r="G112" s="50" t="n">
        <f aca="false">SUM(G111:G111)</f>
        <v>0</v>
      </c>
      <c r="H112" s="50" t="n">
        <f aca="false">SUM(H111:H111)</f>
        <v>0</v>
      </c>
      <c r="I112" s="1"/>
      <c r="J112" s="1"/>
      <c r="K112" s="1"/>
      <c r="L112" s="1"/>
      <c r="M112" s="50" t="n">
        <f aca="false">SUM(M111:M111)</f>
        <v>-28839318</v>
      </c>
      <c r="N112" s="50" t="n">
        <f aca="false">SUM(N111:N111)</f>
        <v>0</v>
      </c>
      <c r="O112" s="50" t="n">
        <f aca="false">SUM(O111:O111)</f>
        <v>0</v>
      </c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customFormat="false" ht="14.25" hidden="false" customHeight="fals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customFormat="false" ht="14.25" hidden="false" customHeight="false" outlineLevel="0" collapsed="false">
      <c r="A114" s="1"/>
      <c r="B114" s="1"/>
      <c r="C114" s="63" t="s">
        <v>121</v>
      </c>
      <c r="D114" s="64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customFormat="false" ht="14.25" hidden="false" customHeight="false" outlineLevel="0" collapsed="false">
      <c r="A115" s="1"/>
      <c r="B115" s="1"/>
      <c r="C115" s="49" t="s">
        <v>122</v>
      </c>
      <c r="D115" s="49"/>
      <c r="E115" s="1"/>
      <c r="F115" s="50" t="n">
        <v>0</v>
      </c>
      <c r="G115" s="50" t="n">
        <v>0</v>
      </c>
      <c r="H115" s="50" t="n">
        <v>0</v>
      </c>
      <c r="I115" s="1"/>
      <c r="J115" s="1"/>
      <c r="K115" s="1"/>
      <c r="L115" s="1"/>
      <c r="M115" s="50" t="n">
        <v>0</v>
      </c>
      <c r="N115" s="50" t="n">
        <v>0</v>
      </c>
      <c r="O115" s="50" t="n">
        <v>0</v>
      </c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customFormat="false" ht="14.25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customFormat="false" ht="14.25" hidden="false" customHeight="false" outlineLevel="0" collapsed="false">
      <c r="A117" s="1"/>
      <c r="B117" s="1"/>
      <c r="C117" s="63" t="s">
        <v>123</v>
      </c>
      <c r="D117" s="64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customFormat="false" ht="14.25" hidden="false" customHeight="false" outlineLevel="0" collapsed="false">
      <c r="A118" s="1"/>
      <c r="B118" s="1"/>
      <c r="C118" s="49" t="s">
        <v>124</v>
      </c>
      <c r="D118" s="49"/>
      <c r="E118" s="1"/>
      <c r="F118" s="50" t="n">
        <v>0</v>
      </c>
      <c r="G118" s="50" t="n">
        <v>0</v>
      </c>
      <c r="H118" s="50" t="n">
        <v>0</v>
      </c>
      <c r="I118" s="1"/>
      <c r="J118" s="1"/>
      <c r="K118" s="1"/>
      <c r="L118" s="1"/>
      <c r="M118" s="50" t="n">
        <v>0</v>
      </c>
      <c r="N118" s="50" t="n">
        <v>0</v>
      </c>
      <c r="O118" s="50" t="n">
        <v>0</v>
      </c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customFormat="false" ht="14.25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customFormat="false" ht="14.25" hidden="false" customHeight="false" outlineLevel="0" collapsed="false">
      <c r="A120" s="1"/>
      <c r="B120" s="1"/>
      <c r="C120" s="63" t="s">
        <v>125</v>
      </c>
      <c r="D120" s="64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customFormat="false" ht="14.25" hidden="false" customHeight="false" outlineLevel="0" collapsed="false">
      <c r="A121" s="1"/>
      <c r="B121" s="1"/>
      <c r="C121" s="49" t="s">
        <v>126</v>
      </c>
      <c r="D121" s="49"/>
      <c r="E121" s="1"/>
      <c r="F121" s="50" t="n">
        <v>0</v>
      </c>
      <c r="G121" s="50" t="n">
        <v>0</v>
      </c>
      <c r="H121" s="50" t="n">
        <v>0</v>
      </c>
      <c r="I121" s="1"/>
      <c r="J121" s="1"/>
      <c r="K121" s="1"/>
      <c r="L121" s="1"/>
      <c r="M121" s="50" t="n">
        <v>0</v>
      </c>
      <c r="N121" s="50" t="n">
        <v>0</v>
      </c>
      <c r="O121" s="50" t="n">
        <v>0</v>
      </c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customFormat="false" ht="14.25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customFormat="false" ht="14.25" hidden="false" customHeight="false" outlineLevel="0" collapsed="false">
      <c r="A123" s="57" t="s">
        <v>127</v>
      </c>
      <c r="B123" s="58"/>
      <c r="C123" s="58"/>
      <c r="D123" s="58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customFormat="false" ht="28.5" hidden="false" customHeight="true" outlineLevel="0" collapsed="false">
      <c r="A124" s="1"/>
      <c r="B124" s="59" t="s">
        <v>2</v>
      </c>
      <c r="C124" s="59" t="s">
        <v>100</v>
      </c>
      <c r="D124" s="59" t="s">
        <v>101</v>
      </c>
      <c r="E124" s="1"/>
      <c r="F124" s="60" t="s">
        <v>102</v>
      </c>
      <c r="G124" s="60" t="s">
        <v>103</v>
      </c>
      <c r="H124" s="60" t="s">
        <v>104</v>
      </c>
      <c r="I124" s="1"/>
      <c r="J124" s="1"/>
      <c r="K124" s="1"/>
      <c r="L124" s="1"/>
      <c r="M124" s="61" t="s">
        <v>105</v>
      </c>
      <c r="N124" s="61" t="s">
        <v>106</v>
      </c>
      <c r="O124" s="61" t="s">
        <v>107</v>
      </c>
      <c r="P124" s="62" t="s">
        <v>108</v>
      </c>
      <c r="Q124" s="62"/>
      <c r="R124" s="62"/>
      <c r="S124" s="62"/>
      <c r="T124" s="62"/>
      <c r="U124" s="62"/>
      <c r="V124" s="62"/>
      <c r="W124" s="62"/>
      <c r="X124" s="62"/>
      <c r="Y124" s="62"/>
    </row>
    <row r="125" customFormat="false" ht="14.25" hidden="false" customHeight="false" outlineLevel="0" collapsed="false">
      <c r="A125" s="1"/>
      <c r="B125" s="1"/>
      <c r="C125" s="63" t="s">
        <v>109</v>
      </c>
      <c r="D125" s="64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customFormat="false" ht="14.25" hidden="false" customHeight="false" outlineLevel="0" collapsed="false">
      <c r="A126" s="1"/>
      <c r="B126" s="13" t="s">
        <v>3</v>
      </c>
      <c r="C126" s="32" t="s">
        <v>32</v>
      </c>
      <c r="D126" s="32" t="s">
        <v>128</v>
      </c>
      <c r="E126" s="1"/>
      <c r="F126" s="65" t="n">
        <f aca="false">M126/$E$3</f>
        <v>-5802</v>
      </c>
      <c r="G126" s="65" t="str">
        <f aca="false">IF(N126="","",N126/$E$3)</f>
        <v/>
      </c>
      <c r="H126" s="65" t="str">
        <f aca="false">IF(G126="","",G126-F126)</f>
        <v/>
      </c>
      <c r="I126" s="1"/>
      <c r="J126" s="1"/>
      <c r="K126" s="1"/>
      <c r="L126" s="1"/>
      <c r="M126" s="65" t="n">
        <f aca="false">SUMIFS('Détail projets &amp; dettes'!$I$5:$I$413,'Détail projets &amp; dettes'!$A$5:$A$413,$B126,'Détail projets &amp; dettes'!$J$5:$J$413,"O",'Détail projets &amp; dettes'!$C$5:$C$413,$C126,'Détail projets &amp; dettes'!$D$5:$D$413,$D126)</f>
        <v>-3805862.514</v>
      </c>
      <c r="N126" s="66"/>
      <c r="O126" s="65" t="str">
        <f aca="false">IF(N126="","",N126-M126)</f>
        <v/>
      </c>
      <c r="P126" s="67"/>
      <c r="Q126" s="67"/>
      <c r="R126" s="67"/>
      <c r="S126" s="67"/>
      <c r="T126" s="67"/>
      <c r="U126" s="67"/>
      <c r="V126" s="67"/>
      <c r="W126" s="67"/>
      <c r="X126" s="67"/>
      <c r="Y126" s="67"/>
    </row>
    <row r="127" customFormat="false" ht="14.25" hidden="false" customHeight="false" outlineLevel="0" collapsed="false">
      <c r="A127" s="1"/>
      <c r="B127" s="13" t="s">
        <v>3</v>
      </c>
      <c r="C127" s="32" t="s">
        <v>32</v>
      </c>
      <c r="D127" s="32" t="s">
        <v>129</v>
      </c>
      <c r="E127" s="1"/>
      <c r="F127" s="65" t="n">
        <f aca="false">M127/$E$3</f>
        <v>-1424875.44652635</v>
      </c>
      <c r="G127" s="65" t="str">
        <f aca="false">IF(N127="","",N127/$E$3)</f>
        <v/>
      </c>
      <c r="H127" s="65" t="str">
        <f aca="false">IF(G127="","",G127-F127)</f>
        <v/>
      </c>
      <c r="I127" s="1"/>
      <c r="J127" s="1"/>
      <c r="K127" s="1"/>
      <c r="L127" s="1"/>
      <c r="M127" s="65" t="n">
        <f aca="false">SUMIFS('Détail projets &amp; dettes'!$I$5:$I$413,'Détail projets &amp; dettes'!$A$5:$A$413,$B127,'Détail projets &amp; dettes'!$J$5:$J$413,"O",'Détail projets &amp; dettes'!$C$5:$C$413,$C127,'Détail projets &amp; dettes'!$D$5:$D$413,$D127)</f>
        <v>-934657023.277082</v>
      </c>
      <c r="N127" s="66"/>
      <c r="O127" s="65" t="str">
        <f aca="false">IF(N127="","",N127-M127)</f>
        <v/>
      </c>
      <c r="P127" s="67"/>
      <c r="Q127" s="67"/>
      <c r="R127" s="67"/>
      <c r="S127" s="67"/>
      <c r="T127" s="67"/>
      <c r="U127" s="67"/>
      <c r="V127" s="67"/>
      <c r="W127" s="67"/>
      <c r="X127" s="67"/>
      <c r="Y127" s="67"/>
    </row>
    <row r="128" customFormat="false" ht="14.25" hidden="false" customHeight="false" outlineLevel="0" collapsed="false">
      <c r="A128" s="1"/>
      <c r="B128" s="13" t="s">
        <v>3</v>
      </c>
      <c r="C128" s="32" t="s">
        <v>32</v>
      </c>
      <c r="D128" s="32" t="s">
        <v>130</v>
      </c>
      <c r="E128" s="1"/>
      <c r="F128" s="65" t="n">
        <f aca="false">M128/$E$3</f>
        <v>-319880.383099588</v>
      </c>
      <c r="G128" s="65" t="str">
        <f aca="false">IF(N128="","",N128/$E$3)</f>
        <v/>
      </c>
      <c r="H128" s="65" t="str">
        <f aca="false">IF(G128="","",G128-F128)</f>
        <v/>
      </c>
      <c r="I128" s="1"/>
      <c r="J128" s="1"/>
      <c r="K128" s="1"/>
      <c r="L128" s="1"/>
      <c r="M128" s="65" t="n">
        <f aca="false">SUMIFS('Détail projets &amp; dettes'!$I$5:$I$413,'Détail projets &amp; dettes'!$A$5:$A$413,$B128,'Détail projets &amp; dettes'!$J$5:$J$413,"O",'Détail projets &amp; dettes'!$C$5:$C$413,$C128,'Détail projets &amp; dettes'!$D$5:$D$413,$D128)</f>
        <v>-209827776.456856</v>
      </c>
      <c r="N128" s="66"/>
      <c r="O128" s="65" t="str">
        <f aca="false">IF(N128="","",N128-M128)</f>
        <v/>
      </c>
      <c r="P128" s="67"/>
      <c r="Q128" s="67"/>
      <c r="R128" s="67"/>
      <c r="S128" s="67"/>
      <c r="T128" s="67"/>
      <c r="U128" s="67"/>
      <c r="V128" s="67"/>
      <c r="W128" s="67"/>
      <c r="X128" s="67"/>
      <c r="Y128" s="67"/>
    </row>
    <row r="129" customFormat="false" ht="14.25" hidden="false" customHeight="false" outlineLevel="0" collapsed="false">
      <c r="A129" s="1"/>
      <c r="B129" s="13" t="s">
        <v>3</v>
      </c>
      <c r="C129" s="32" t="s">
        <v>32</v>
      </c>
      <c r="D129" s="32" t="s">
        <v>131</v>
      </c>
      <c r="E129" s="1"/>
      <c r="F129" s="65" t="n">
        <f aca="false">M129/$E$3</f>
        <v>-1265555.19831577</v>
      </c>
      <c r="G129" s="65" t="str">
        <f aca="false">IF(N129="","",N129/$E$3)</f>
        <v/>
      </c>
      <c r="H129" s="65" t="str">
        <f aca="false">IF(G129="","",G129-F129)</f>
        <v/>
      </c>
      <c r="I129" s="1"/>
      <c r="J129" s="1"/>
      <c r="K129" s="1"/>
      <c r="L129" s="1"/>
      <c r="M129" s="65" t="n">
        <f aca="false">SUMIFS('Détail projets &amp; dettes'!$I$5:$I$413,'Détail projets &amp; dettes'!$A$5:$A$413,$B129,'Détail projets &amp; dettes'!$J$5:$J$413,"O",'Détail projets &amp; dettes'!$C$5:$C$413,$C129,'Détail projets &amp; dettes'!$D$5:$D$413,$D129)</f>
        <v>-830149791.221618</v>
      </c>
      <c r="N129" s="66"/>
      <c r="O129" s="65" t="str">
        <f aca="false">IF(N129="","",N129-M129)</f>
        <v/>
      </c>
      <c r="P129" s="67"/>
      <c r="Q129" s="67"/>
      <c r="R129" s="67"/>
      <c r="S129" s="67"/>
      <c r="T129" s="67"/>
      <c r="U129" s="67"/>
      <c r="V129" s="67"/>
      <c r="W129" s="67"/>
      <c r="X129" s="67"/>
      <c r="Y129" s="67"/>
    </row>
    <row r="130" customFormat="false" ht="14.25" hidden="false" customHeight="false" outlineLevel="0" collapsed="false">
      <c r="A130" s="1"/>
      <c r="B130" s="13" t="s">
        <v>3</v>
      </c>
      <c r="C130" s="32" t="s">
        <v>32</v>
      </c>
      <c r="D130" s="32" t="s">
        <v>132</v>
      </c>
      <c r="E130" s="1"/>
      <c r="F130" s="65" t="n">
        <f aca="false">M130/$E$3</f>
        <v>-340931.222317947</v>
      </c>
      <c r="G130" s="65" t="str">
        <f aca="false">IF(N130="","",N130/$E$3)</f>
        <v/>
      </c>
      <c r="H130" s="65" t="str">
        <f aca="false">IF(G130="","",G130-F130)</f>
        <v/>
      </c>
      <c r="I130" s="1"/>
      <c r="J130" s="1"/>
      <c r="K130" s="1"/>
      <c r="L130" s="1"/>
      <c r="M130" s="65" t="n">
        <f aca="false">SUMIFS('Détail projets &amp; dettes'!$I$5:$I$413,'Détail projets &amp; dettes'!$A$5:$A$413,$B130,'Détail projets &amp; dettes'!$J$5:$J$413,"O",'Détail projets &amp; dettes'!$C$5:$C$413,$C130,'Détail projets &amp; dettes'!$D$5:$D$413,$D130)</f>
        <v>-223636221.798014</v>
      </c>
      <c r="N130" s="66"/>
      <c r="O130" s="65" t="str">
        <f aca="false">IF(N130="","",N130-M130)</f>
        <v/>
      </c>
      <c r="P130" s="67"/>
      <c r="Q130" s="67"/>
      <c r="R130" s="67"/>
      <c r="S130" s="67"/>
      <c r="T130" s="67"/>
      <c r="U130" s="67"/>
      <c r="V130" s="67"/>
      <c r="W130" s="67"/>
      <c r="X130" s="67"/>
      <c r="Y130" s="67"/>
    </row>
    <row r="131" customFormat="false" ht="14.25" hidden="false" customHeight="false" outlineLevel="0" collapsed="false">
      <c r="A131" s="1"/>
      <c r="B131" s="13" t="s">
        <v>3</v>
      </c>
      <c r="C131" s="32" t="s">
        <v>36</v>
      </c>
      <c r="D131" s="32" t="s">
        <v>128</v>
      </c>
      <c r="E131" s="1"/>
      <c r="F131" s="65" t="n">
        <f aca="false">M131/$E$3</f>
        <v>-18175.6579663425</v>
      </c>
      <c r="G131" s="65" t="str">
        <f aca="false">IF(N131="","",N131/$E$3)</f>
        <v/>
      </c>
      <c r="H131" s="65" t="str">
        <f aca="false">IF(G131="","",G131-F131)</f>
        <v/>
      </c>
      <c r="I131" s="1"/>
      <c r="J131" s="1"/>
      <c r="K131" s="1"/>
      <c r="L131" s="1"/>
      <c r="M131" s="65" t="n">
        <f aca="false">SUMIFS('Détail projets &amp; dettes'!$I$5:$I$413,'Détail projets &amp; dettes'!$A$5:$A$413,$B131,'Détail projets &amp; dettes'!$J$5:$J$413,"O",'Détail projets &amp; dettes'!$C$5:$C$413,$C131,'Détail projets &amp; dettes'!$D$5:$D$413,$D131)</f>
        <v>-11922450.0726282</v>
      </c>
      <c r="N131" s="66"/>
      <c r="O131" s="65" t="str">
        <f aca="false">IF(N131="","",N131-M131)</f>
        <v/>
      </c>
      <c r="P131" s="67"/>
      <c r="Q131" s="67"/>
      <c r="R131" s="67"/>
      <c r="S131" s="67"/>
      <c r="T131" s="67"/>
      <c r="U131" s="67"/>
      <c r="V131" s="67"/>
      <c r="W131" s="67"/>
      <c r="X131" s="67"/>
      <c r="Y131" s="67"/>
    </row>
    <row r="132" customFormat="false" ht="14.25" hidden="false" customHeight="false" outlineLevel="0" collapsed="false">
      <c r="A132" s="1"/>
      <c r="B132" s="13" t="s">
        <v>3</v>
      </c>
      <c r="C132" s="32" t="s">
        <v>36</v>
      </c>
      <c r="D132" s="32" t="s">
        <v>129</v>
      </c>
      <c r="E132" s="1"/>
      <c r="F132" s="65" t="n">
        <f aca="false">M132/$E$3</f>
        <v>-2502703.96472773</v>
      </c>
      <c r="G132" s="65" t="str">
        <f aca="false">IF(N132="","",N132/$E$3)</f>
        <v/>
      </c>
      <c r="H132" s="65" t="str">
        <f aca="false">IF(G132="","",G132-F132)</f>
        <v/>
      </c>
      <c r="I132" s="1"/>
      <c r="J132" s="1"/>
      <c r="K132" s="1"/>
      <c r="L132" s="1"/>
      <c r="M132" s="65" t="n">
        <f aca="false">SUMIFS('Détail projets &amp; dettes'!$I$5:$I$413,'Détail projets &amp; dettes'!$A$5:$A$413,$B132,'Détail projets &amp; dettes'!$J$5:$J$413,"O",'Détail projets &amp; dettes'!$C$5:$C$413,$C132,'Détail projets &amp; dettes'!$D$5:$D$413,$D132)</f>
        <v>-1641666184.59091</v>
      </c>
      <c r="N132" s="66"/>
      <c r="O132" s="65" t="str">
        <f aca="false">IF(N132="","",N132-M132)</f>
        <v/>
      </c>
      <c r="P132" s="67"/>
      <c r="Q132" s="67"/>
      <c r="R132" s="67"/>
      <c r="S132" s="67"/>
      <c r="T132" s="67"/>
      <c r="U132" s="67"/>
      <c r="V132" s="67"/>
      <c r="W132" s="67"/>
      <c r="X132" s="67"/>
      <c r="Y132" s="67"/>
    </row>
    <row r="133" customFormat="false" ht="14.25" hidden="false" customHeight="false" outlineLevel="0" collapsed="false">
      <c r="A133" s="1"/>
      <c r="B133" s="13" t="s">
        <v>3</v>
      </c>
      <c r="C133" s="32" t="s">
        <v>36</v>
      </c>
      <c r="D133" s="32" t="s">
        <v>130</v>
      </c>
      <c r="E133" s="1"/>
      <c r="F133" s="65" t="n">
        <f aca="false">M133/$E$3</f>
        <v>-217904.301311545</v>
      </c>
      <c r="G133" s="65" t="str">
        <f aca="false">IF(N133="","",N133/$E$3)</f>
        <v/>
      </c>
      <c r="H133" s="65" t="str">
        <f aca="false">IF(G133="","",G133-F133)</f>
        <v/>
      </c>
      <c r="I133" s="1"/>
      <c r="J133" s="1"/>
      <c r="K133" s="1"/>
      <c r="L133" s="1"/>
      <c r="M133" s="65" t="n">
        <f aca="false">SUMIFS('Détail projets &amp; dettes'!$I$5:$I$413,'Détail projets &amp; dettes'!$A$5:$A$413,$B133,'Détail projets &amp; dettes'!$J$5:$J$413,"O",'Détail projets &amp; dettes'!$C$5:$C$413,$C133,'Détail projets &amp; dettes'!$D$5:$D$413,$D133)</f>
        <v>-142935851.775417</v>
      </c>
      <c r="N133" s="66"/>
      <c r="O133" s="65" t="str">
        <f aca="false">IF(N133="","",N133-M133)</f>
        <v/>
      </c>
      <c r="P133" s="67"/>
      <c r="Q133" s="67"/>
      <c r="R133" s="67"/>
      <c r="S133" s="67"/>
      <c r="T133" s="67"/>
      <c r="U133" s="67"/>
      <c r="V133" s="67"/>
      <c r="W133" s="67"/>
      <c r="X133" s="67"/>
      <c r="Y133" s="67"/>
    </row>
    <row r="134" customFormat="false" ht="14.25" hidden="false" customHeight="false" outlineLevel="0" collapsed="false">
      <c r="A134" s="1"/>
      <c r="B134" s="13" t="s">
        <v>3</v>
      </c>
      <c r="C134" s="32" t="s">
        <v>36</v>
      </c>
      <c r="D134" s="32" t="s">
        <v>131</v>
      </c>
      <c r="E134" s="1"/>
      <c r="F134" s="65" t="n">
        <f aca="false">M134/$E$3</f>
        <v>-7000</v>
      </c>
      <c r="G134" s="65" t="str">
        <f aca="false">IF(N134="","",N134/$E$3)</f>
        <v/>
      </c>
      <c r="H134" s="65" t="str">
        <f aca="false">IF(G134="","",G134-F134)</f>
        <v/>
      </c>
      <c r="I134" s="1"/>
      <c r="J134" s="1"/>
      <c r="K134" s="1"/>
      <c r="L134" s="1"/>
      <c r="M134" s="65" t="n">
        <f aca="false">SUMIFS('Détail projets &amp; dettes'!$I$5:$I$413,'Détail projets &amp; dettes'!$A$5:$A$413,$B134,'Détail projets &amp; dettes'!$J$5:$J$413,"O",'Détail projets &amp; dettes'!$C$5:$C$413,$C134,'Détail projets &amp; dettes'!$D$5:$D$413,$D134)</f>
        <v>-4591699</v>
      </c>
      <c r="N134" s="66"/>
      <c r="O134" s="65" t="str">
        <f aca="false">IF(N134="","",N134-M134)</f>
        <v/>
      </c>
      <c r="P134" s="67"/>
      <c r="Q134" s="67"/>
      <c r="R134" s="67"/>
      <c r="S134" s="67"/>
      <c r="T134" s="67"/>
      <c r="U134" s="67"/>
      <c r="V134" s="67"/>
      <c r="W134" s="67"/>
      <c r="X134" s="67"/>
      <c r="Y134" s="67"/>
    </row>
    <row r="135" customFormat="false" ht="14.25" hidden="false" customHeight="false" outlineLevel="0" collapsed="false">
      <c r="A135" s="1"/>
      <c r="B135" s="13" t="s">
        <v>3</v>
      </c>
      <c r="C135" s="32" t="s">
        <v>36</v>
      </c>
      <c r="D135" s="32" t="s">
        <v>132</v>
      </c>
      <c r="E135" s="1"/>
      <c r="F135" s="65" t="n">
        <f aca="false">M135/$E$3</f>
        <v>-285567.233285163</v>
      </c>
      <c r="G135" s="65" t="str">
        <f aca="false">IF(N135="","",N135/$E$3)</f>
        <v/>
      </c>
      <c r="H135" s="65" t="str">
        <f aca="false">IF(G135="","",G135-F135)</f>
        <v/>
      </c>
      <c r="I135" s="1"/>
      <c r="J135" s="1"/>
      <c r="K135" s="1"/>
      <c r="L135" s="1"/>
      <c r="M135" s="65" t="n">
        <f aca="false">SUMIFS('Détail projets &amp; dettes'!$I$5:$I$413,'Détail projets &amp; dettes'!$A$5:$A$413,$B135,'Détail projets &amp; dettes'!$J$5:$J$413,"O",'Détail projets &amp; dettes'!$C$5:$C$413,$C135,'Détail projets &amp; dettes'!$D$5:$D$413,$D135)</f>
        <v>-187319825.644036</v>
      </c>
      <c r="N135" s="66"/>
      <c r="O135" s="65" t="str">
        <f aca="false">IF(N135="","",N135-M135)</f>
        <v/>
      </c>
      <c r="P135" s="67"/>
      <c r="Q135" s="67"/>
      <c r="R135" s="67"/>
      <c r="S135" s="67"/>
      <c r="T135" s="67"/>
      <c r="U135" s="67"/>
      <c r="V135" s="67"/>
      <c r="W135" s="67"/>
      <c r="X135" s="67"/>
      <c r="Y135" s="67"/>
    </row>
    <row r="136" customFormat="false" ht="14.25" hidden="false" customHeight="false" outlineLevel="0" collapsed="false">
      <c r="A136" s="1"/>
      <c r="B136" s="13" t="s">
        <v>3</v>
      </c>
      <c r="C136" s="32" t="s">
        <v>28</v>
      </c>
      <c r="D136" s="32" t="s">
        <v>133</v>
      </c>
      <c r="E136" s="1"/>
      <c r="F136" s="65" t="n">
        <f aca="false">M136/$E$3</f>
        <v>-524317.368364085</v>
      </c>
      <c r="G136" s="65" t="str">
        <f aca="false">IF(N136="","",N136/$E$3)</f>
        <v/>
      </c>
      <c r="H136" s="65" t="str">
        <f aca="false">IF(G136="","",G136-F136)</f>
        <v/>
      </c>
      <c r="I136" s="1"/>
      <c r="J136" s="1"/>
      <c r="K136" s="1"/>
      <c r="L136" s="1"/>
      <c r="M136" s="65" t="n">
        <f aca="false">SUMIFS('Détail projets &amp; dettes'!$I$5:$I$413,'Détail projets &amp; dettes'!$A$5:$A$413,$B136,'Détail projets &amp; dettes'!$J$5:$J$413,"O",'Détail projets &amp; dettes'!$C$5:$C$413,$C136,'Détail projets &amp; dettes'!$D$5:$D$413,$D136)</f>
        <v>-343929648</v>
      </c>
      <c r="N136" s="66"/>
      <c r="O136" s="65" t="str">
        <f aca="false">IF(N136="","",N136-M136)</f>
        <v/>
      </c>
      <c r="P136" s="67"/>
      <c r="Q136" s="67"/>
      <c r="R136" s="67"/>
      <c r="S136" s="67"/>
      <c r="T136" s="67"/>
      <c r="U136" s="67"/>
      <c r="V136" s="67"/>
      <c r="W136" s="67"/>
      <c r="X136" s="67"/>
      <c r="Y136" s="67"/>
    </row>
    <row r="137" customFormat="false" ht="14.25" hidden="false" customHeight="false" outlineLevel="0" collapsed="false">
      <c r="A137" s="1"/>
      <c r="B137" s="1"/>
      <c r="C137" s="49" t="s">
        <v>118</v>
      </c>
      <c r="D137" s="49"/>
      <c r="E137" s="1"/>
      <c r="F137" s="50" t="n">
        <f aca="false">SUM(F126:F136)</f>
        <v>-6912712.77591451</v>
      </c>
      <c r="G137" s="50" t="n">
        <f aca="false">SUM(G126:G136)</f>
        <v>0</v>
      </c>
      <c r="H137" s="50" t="n">
        <f aca="false">SUM(H126:H136)</f>
        <v>0</v>
      </c>
      <c r="I137" s="1"/>
      <c r="J137" s="1"/>
      <c r="K137" s="1"/>
      <c r="L137" s="1"/>
      <c r="M137" s="50" t="n">
        <f aca="false">SUM(M126:M136)</f>
        <v>-4534442334.35056</v>
      </c>
      <c r="N137" s="50" t="n">
        <f aca="false">SUM(N126:N136)</f>
        <v>0</v>
      </c>
      <c r="O137" s="50" t="n">
        <f aca="false">SUM(O126:O136)</f>
        <v>0</v>
      </c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customFormat="false" ht="14.25" hidden="false" customHeight="fals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customFormat="false" ht="14.25" hidden="false" customHeight="false" outlineLevel="0" collapsed="false">
      <c r="A139" s="1"/>
      <c r="B139" s="1"/>
      <c r="C139" s="63" t="s">
        <v>119</v>
      </c>
      <c r="D139" s="64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customFormat="false" ht="14.25" hidden="false" customHeight="false" outlineLevel="0" collapsed="false">
      <c r="A140" s="1"/>
      <c r="B140" s="13" t="s">
        <v>4</v>
      </c>
      <c r="C140" s="32" t="s">
        <v>32</v>
      </c>
      <c r="D140" s="32" t="s">
        <v>129</v>
      </c>
      <c r="E140" s="1"/>
      <c r="F140" s="65" t="n">
        <f aca="false">M140/$E$3</f>
        <v>-692127.217824819</v>
      </c>
      <c r="G140" s="65" t="str">
        <f aca="false">IF(N140="","",N140/$E$3)</f>
        <v/>
      </c>
      <c r="H140" s="65" t="str">
        <f aca="false">IF(G140="","",G140-F140)</f>
        <v/>
      </c>
      <c r="I140" s="1"/>
      <c r="J140" s="1"/>
      <c r="K140" s="1"/>
      <c r="L140" s="1"/>
      <c r="M140" s="65" t="n">
        <f aca="false">SUMIFS('Détail projets &amp; dettes'!$I$5:$I$413,'Détail projets &amp; dettes'!$A$5:$A$413,$B140,'Détail projets &amp; dettes'!$J$5:$J$413,"O",'Détail projets &amp; dettes'!$C$5:$C$413,$C140,'Détail projets &amp; dettes'!$D$5:$D$413,$D140)</f>
        <v>-454005693.422715</v>
      </c>
      <c r="N140" s="66"/>
      <c r="O140" s="65" t="str">
        <f aca="false">IF(N140="","",N140-M140)</f>
        <v/>
      </c>
      <c r="P140" s="67"/>
      <c r="Q140" s="67"/>
      <c r="R140" s="67"/>
      <c r="S140" s="67"/>
      <c r="T140" s="67"/>
      <c r="U140" s="67"/>
      <c r="V140" s="67"/>
      <c r="W140" s="67"/>
      <c r="X140" s="67"/>
      <c r="Y140" s="67"/>
    </row>
    <row r="141" customFormat="false" ht="14.25" hidden="false" customHeight="false" outlineLevel="0" collapsed="false">
      <c r="A141" s="1"/>
      <c r="B141" s="13" t="s">
        <v>4</v>
      </c>
      <c r="C141" s="32" t="s">
        <v>32</v>
      </c>
      <c r="D141" s="32" t="s">
        <v>130</v>
      </c>
      <c r="E141" s="1"/>
      <c r="F141" s="65" t="n">
        <f aca="false">M141/$E$3</f>
        <v>-17811.4801762603</v>
      </c>
      <c r="G141" s="65" t="str">
        <f aca="false">IF(N141="","",N141/$E$3)</f>
        <v/>
      </c>
      <c r="H141" s="65" t="str">
        <f aca="false">IF(G141="","",G141-F141)</f>
        <v/>
      </c>
      <c r="I141" s="1"/>
      <c r="J141" s="1"/>
      <c r="K141" s="1"/>
      <c r="L141" s="1"/>
      <c r="M141" s="65" t="n">
        <f aca="false">SUMIFS('Détail projets &amp; dettes'!$I$5:$I$413,'Détail projets &amp; dettes'!$A$5:$A$413,$B141,'Détail projets &amp; dettes'!$J$5:$J$413,"O",'Détail projets &amp; dettes'!$C$5:$C$413,$C141,'Détail projets &amp; dettes'!$D$5:$D$413,$D141)</f>
        <v>-11683565.1019792</v>
      </c>
      <c r="N141" s="66"/>
      <c r="O141" s="65" t="str">
        <f aca="false">IF(N141="","",N141-M141)</f>
        <v/>
      </c>
      <c r="P141" s="67"/>
      <c r="Q141" s="67"/>
      <c r="R141" s="67"/>
      <c r="S141" s="67"/>
      <c r="T141" s="67"/>
      <c r="U141" s="67"/>
      <c r="V141" s="67"/>
      <c r="W141" s="67"/>
      <c r="X141" s="67"/>
      <c r="Y141" s="67"/>
    </row>
    <row r="142" customFormat="false" ht="14.25" hidden="false" customHeight="false" outlineLevel="0" collapsed="false">
      <c r="A142" s="1"/>
      <c r="B142" s="13" t="s">
        <v>4</v>
      </c>
      <c r="C142" s="32" t="s">
        <v>32</v>
      </c>
      <c r="D142" s="32" t="s">
        <v>131</v>
      </c>
      <c r="E142" s="1"/>
      <c r="F142" s="65" t="n">
        <f aca="false">M142/$E$3</f>
        <v>-10000</v>
      </c>
      <c r="G142" s="65" t="str">
        <f aca="false">IF(N142="","",N142/$E$3)</f>
        <v/>
      </c>
      <c r="H142" s="65" t="str">
        <f aca="false">IF(G142="","",G142-F142)</f>
        <v/>
      </c>
      <c r="I142" s="1"/>
      <c r="J142" s="1"/>
      <c r="K142" s="1"/>
      <c r="L142" s="1"/>
      <c r="M142" s="65" t="n">
        <f aca="false">SUMIFS('Détail projets &amp; dettes'!$I$5:$I$413,'Détail projets &amp; dettes'!$A$5:$A$413,$B142,'Détail projets &amp; dettes'!$J$5:$J$413,"O",'Détail projets &amp; dettes'!$C$5:$C$413,$C142,'Détail projets &amp; dettes'!$D$5:$D$413,$D142)</f>
        <v>-6559570</v>
      </c>
      <c r="N142" s="66"/>
      <c r="O142" s="65" t="str">
        <f aca="false">IF(N142="","",N142-M142)</f>
        <v/>
      </c>
      <c r="P142" s="67"/>
      <c r="Q142" s="67"/>
      <c r="R142" s="67"/>
      <c r="S142" s="67"/>
      <c r="T142" s="67"/>
      <c r="U142" s="67"/>
      <c r="V142" s="67"/>
      <c r="W142" s="67"/>
      <c r="X142" s="67"/>
      <c r="Y142" s="67"/>
    </row>
    <row r="143" customFormat="false" ht="14.25" hidden="false" customHeight="false" outlineLevel="0" collapsed="false">
      <c r="A143" s="1"/>
      <c r="B143" s="13" t="s">
        <v>4</v>
      </c>
      <c r="C143" s="32" t="s">
        <v>36</v>
      </c>
      <c r="D143" s="32" t="s">
        <v>128</v>
      </c>
      <c r="E143" s="1"/>
      <c r="F143" s="65" t="n">
        <f aca="false">M143/$E$3</f>
        <v>-22400</v>
      </c>
      <c r="G143" s="65" t="str">
        <f aca="false">IF(N143="","",N143/$E$3)</f>
        <v/>
      </c>
      <c r="H143" s="65" t="str">
        <f aca="false">IF(G143="","",G143-F143)</f>
        <v/>
      </c>
      <c r="I143" s="1"/>
      <c r="J143" s="1"/>
      <c r="K143" s="1"/>
      <c r="L143" s="1"/>
      <c r="M143" s="65" t="n">
        <f aca="false">SUMIFS('Détail projets &amp; dettes'!$I$5:$I$413,'Détail projets &amp; dettes'!$A$5:$A$413,$B143,'Détail projets &amp; dettes'!$J$5:$J$413,"O",'Détail projets &amp; dettes'!$C$5:$C$413,$C143,'Détail projets &amp; dettes'!$D$5:$D$413,$D143)</f>
        <v>-14693436.8</v>
      </c>
      <c r="N143" s="66"/>
      <c r="O143" s="65" t="str">
        <f aca="false">IF(N143="","",N143-M143)</f>
        <v/>
      </c>
      <c r="P143" s="67"/>
      <c r="Q143" s="67"/>
      <c r="R143" s="67"/>
      <c r="S143" s="67"/>
      <c r="T143" s="67"/>
      <c r="U143" s="67"/>
      <c r="V143" s="67"/>
      <c r="W143" s="67"/>
      <c r="X143" s="67"/>
      <c r="Y143" s="67"/>
    </row>
    <row r="144" customFormat="false" ht="14.25" hidden="false" customHeight="false" outlineLevel="0" collapsed="false">
      <c r="A144" s="1"/>
      <c r="B144" s="13" t="s">
        <v>4</v>
      </c>
      <c r="C144" s="32" t="s">
        <v>36</v>
      </c>
      <c r="D144" s="32" t="s">
        <v>129</v>
      </c>
      <c r="E144" s="1"/>
      <c r="F144" s="65" t="n">
        <f aca="false">M144/$E$3</f>
        <v>-1297369.03277925</v>
      </c>
      <c r="G144" s="65" t="str">
        <f aca="false">IF(N144="","",N144/$E$3)</f>
        <v/>
      </c>
      <c r="H144" s="65" t="str">
        <f aca="false">IF(G144="","",G144-F144)</f>
        <v/>
      </c>
      <c r="I144" s="1"/>
      <c r="J144" s="1"/>
      <c r="K144" s="1"/>
      <c r="L144" s="1"/>
      <c r="M144" s="65" t="n">
        <f aca="false">SUMIFS('Détail projets &amp; dettes'!$I$5:$I$413,'Détail projets &amp; dettes'!$A$5:$A$413,$B144,'Détail projets &amp; dettes'!$J$5:$J$413,"O",'Détail projets &amp; dettes'!$C$5:$C$413,$C144,'Détail projets &amp; dettes'!$D$5:$D$413,$D144)</f>
        <v>-851018298.634781</v>
      </c>
      <c r="N144" s="66"/>
      <c r="O144" s="65" t="str">
        <f aca="false">IF(N144="","",N144-M144)</f>
        <v/>
      </c>
      <c r="P144" s="67"/>
      <c r="Q144" s="67"/>
      <c r="R144" s="67"/>
      <c r="S144" s="67"/>
      <c r="T144" s="67"/>
      <c r="U144" s="67"/>
      <c r="V144" s="67"/>
      <c r="W144" s="67"/>
      <c r="X144" s="67"/>
      <c r="Y144" s="67"/>
    </row>
    <row r="145" customFormat="false" ht="14.25" hidden="false" customHeight="false" outlineLevel="0" collapsed="false">
      <c r="A145" s="1"/>
      <c r="B145" s="13" t="s">
        <v>4</v>
      </c>
      <c r="C145" s="32" t="s">
        <v>36</v>
      </c>
      <c r="D145" s="32" t="s">
        <v>130</v>
      </c>
      <c r="E145" s="1"/>
      <c r="F145" s="65" t="n">
        <f aca="false">M145/$E$3</f>
        <v>-10819.6772051309</v>
      </c>
      <c r="G145" s="65" t="str">
        <f aca="false">IF(N145="","",N145/$E$3)</f>
        <v/>
      </c>
      <c r="H145" s="65" t="str">
        <f aca="false">IF(G145="","",G145-F145)</f>
        <v/>
      </c>
      <c r="I145" s="1"/>
      <c r="J145" s="1"/>
      <c r="K145" s="1"/>
      <c r="L145" s="1"/>
      <c r="M145" s="65" t="n">
        <f aca="false">SUMIFS('Détail projets &amp; dettes'!$I$5:$I$413,'Détail projets &amp; dettes'!$A$5:$A$413,$B145,'Détail projets &amp; dettes'!$J$5:$J$413,"O",'Détail projets &amp; dettes'!$C$5:$C$413,$C145,'Détail projets &amp; dettes'!$D$5:$D$413,$D145)</f>
        <v>-7097243.00044603</v>
      </c>
      <c r="N145" s="66"/>
      <c r="O145" s="65" t="str">
        <f aca="false">IF(N145="","",N145-M145)</f>
        <v/>
      </c>
      <c r="P145" s="67"/>
      <c r="Q145" s="67"/>
      <c r="R145" s="67"/>
      <c r="S145" s="67"/>
      <c r="T145" s="67"/>
      <c r="U145" s="67"/>
      <c r="V145" s="67"/>
      <c r="W145" s="67"/>
      <c r="X145" s="67"/>
      <c r="Y145" s="67"/>
    </row>
    <row r="146" customFormat="false" ht="14.25" hidden="false" customHeight="false" outlineLevel="0" collapsed="false">
      <c r="A146" s="1"/>
      <c r="B146" s="13" t="s">
        <v>4</v>
      </c>
      <c r="C146" s="32" t="s">
        <v>36</v>
      </c>
      <c r="D146" s="32" t="s">
        <v>131</v>
      </c>
      <c r="E146" s="1"/>
      <c r="F146" s="65" t="n">
        <f aca="false">M146/$E$3</f>
        <v>-50163</v>
      </c>
      <c r="G146" s="65" t="str">
        <f aca="false">IF(N146="","",N146/$E$3)</f>
        <v/>
      </c>
      <c r="H146" s="65" t="str">
        <f aca="false">IF(G146="","",G146-F146)</f>
        <v/>
      </c>
      <c r="I146" s="1"/>
      <c r="J146" s="1"/>
      <c r="K146" s="1"/>
      <c r="L146" s="1"/>
      <c r="M146" s="65" t="n">
        <f aca="false">SUMIFS('Détail projets &amp; dettes'!$I$5:$I$413,'Détail projets &amp; dettes'!$A$5:$A$413,$B146,'Détail projets &amp; dettes'!$J$5:$J$413,"O",'Détail projets &amp; dettes'!$C$5:$C$413,$C146,'Détail projets &amp; dettes'!$D$5:$D$413,$D146)</f>
        <v>-32904770.991</v>
      </c>
      <c r="N146" s="66"/>
      <c r="O146" s="65" t="str">
        <f aca="false">IF(N146="","",N146-M146)</f>
        <v/>
      </c>
      <c r="P146" s="67"/>
      <c r="Q146" s="67"/>
      <c r="R146" s="67"/>
      <c r="S146" s="67"/>
      <c r="T146" s="67"/>
      <c r="U146" s="67"/>
      <c r="V146" s="67"/>
      <c r="W146" s="67"/>
      <c r="X146" s="67"/>
      <c r="Y146" s="67"/>
    </row>
    <row r="147" customFormat="false" ht="14.25" hidden="false" customHeight="false" outlineLevel="0" collapsed="false">
      <c r="A147" s="1"/>
      <c r="B147" s="13" t="s">
        <v>4</v>
      </c>
      <c r="C147" s="32" t="s">
        <v>36</v>
      </c>
      <c r="D147" s="32" t="s">
        <v>132</v>
      </c>
      <c r="E147" s="1"/>
      <c r="F147" s="65" t="n">
        <f aca="false">M147/$E$3</f>
        <v>-513391.633945889</v>
      </c>
      <c r="G147" s="65" t="str">
        <f aca="false">IF(N147="","",N147/$E$3)</f>
        <v/>
      </c>
      <c r="H147" s="65" t="str">
        <f aca="false">IF(G147="","",G147-F147)</f>
        <v/>
      </c>
      <c r="I147" s="1"/>
      <c r="J147" s="1"/>
      <c r="K147" s="1"/>
      <c r="L147" s="1"/>
      <c r="M147" s="65" t="n">
        <f aca="false">SUMIFS('Détail projets &amp; dettes'!$I$5:$I$413,'Détail projets &amp; dettes'!$A$5:$A$413,$B147,'Détail projets &amp; dettes'!$J$5:$J$413,"O",'Détail projets &amp; dettes'!$C$5:$C$413,$C147,'Détail projets &amp; dettes'!$D$5:$D$413,$D147)</f>
        <v>-336762836.028243</v>
      </c>
      <c r="N147" s="66"/>
      <c r="O147" s="65" t="str">
        <f aca="false">IF(N147="","",N147-M147)</f>
        <v/>
      </c>
      <c r="P147" s="67"/>
      <c r="Q147" s="67"/>
      <c r="R147" s="67"/>
      <c r="S147" s="67"/>
      <c r="T147" s="67"/>
      <c r="U147" s="67"/>
      <c r="V147" s="67"/>
      <c r="W147" s="67"/>
      <c r="X147" s="67"/>
      <c r="Y147" s="67"/>
    </row>
    <row r="148" customFormat="false" ht="14.25" hidden="false" customHeight="false" outlineLevel="0" collapsed="false">
      <c r="A148" s="1"/>
      <c r="B148" s="1"/>
      <c r="C148" s="49" t="s">
        <v>120</v>
      </c>
      <c r="D148" s="49"/>
      <c r="E148" s="1"/>
      <c r="F148" s="50" t="n">
        <f aca="false">SUM(F140:F147)</f>
        <v>-2614082.04193135</v>
      </c>
      <c r="G148" s="50" t="n">
        <f aca="false">SUM(G140:G147)</f>
        <v>0</v>
      </c>
      <c r="H148" s="50" t="n">
        <f aca="false">SUM(H140:H147)</f>
        <v>0</v>
      </c>
      <c r="I148" s="1"/>
      <c r="J148" s="1"/>
      <c r="K148" s="1"/>
      <c r="L148" s="1"/>
      <c r="M148" s="50" t="n">
        <f aca="false">SUM(M140:M147)</f>
        <v>-1714725413.97916</v>
      </c>
      <c r="N148" s="50" t="n">
        <f aca="false">SUM(N140:N147)</f>
        <v>0</v>
      </c>
      <c r="O148" s="50" t="n">
        <f aca="false">SUM(O140:O147)</f>
        <v>0</v>
      </c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customFormat="false" ht="14.25" hidden="false" customHeight="fals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customFormat="false" ht="14.25" hidden="false" customHeight="false" outlineLevel="0" collapsed="false">
      <c r="A150" s="1"/>
      <c r="B150" s="1"/>
      <c r="C150" s="63" t="s">
        <v>121</v>
      </c>
      <c r="D150" s="64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customFormat="false" ht="14.25" hidden="false" customHeight="false" outlineLevel="0" collapsed="false">
      <c r="A151" s="1"/>
      <c r="B151" s="1"/>
      <c r="C151" s="49" t="s">
        <v>122</v>
      </c>
      <c r="D151" s="49"/>
      <c r="E151" s="1"/>
      <c r="F151" s="50" t="n">
        <v>0</v>
      </c>
      <c r="G151" s="50" t="n">
        <v>0</v>
      </c>
      <c r="H151" s="50" t="n">
        <v>0</v>
      </c>
      <c r="I151" s="1"/>
      <c r="J151" s="1"/>
      <c r="K151" s="1"/>
      <c r="L151" s="1"/>
      <c r="M151" s="50" t="n">
        <v>0</v>
      </c>
      <c r="N151" s="50" t="n">
        <v>0</v>
      </c>
      <c r="O151" s="50" t="n">
        <v>0</v>
      </c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customFormat="false" ht="14.25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customFormat="false" ht="14.25" hidden="false" customHeight="false" outlineLevel="0" collapsed="false">
      <c r="A153" s="1"/>
      <c r="B153" s="1"/>
      <c r="C153" s="63" t="s">
        <v>123</v>
      </c>
      <c r="D153" s="64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customFormat="false" ht="14.25" hidden="false" customHeight="false" outlineLevel="0" collapsed="false">
      <c r="A154" s="1"/>
      <c r="B154" s="13" t="s">
        <v>6</v>
      </c>
      <c r="C154" s="32" t="s">
        <v>32</v>
      </c>
      <c r="D154" s="32" t="s">
        <v>130</v>
      </c>
      <c r="E154" s="1"/>
      <c r="F154" s="65" t="n">
        <f aca="false">M154/$E$3</f>
        <v>-20580.7956924006</v>
      </c>
      <c r="G154" s="65" t="str">
        <f aca="false">IF(N154="","",N154/$E$3)</f>
        <v/>
      </c>
      <c r="H154" s="65" t="str">
        <f aca="false">IF(G154="","",G154-F154)</f>
        <v/>
      </c>
      <c r="I154" s="1"/>
      <c r="J154" s="1"/>
      <c r="K154" s="1"/>
      <c r="L154" s="1"/>
      <c r="M154" s="65" t="n">
        <f aca="false">SUMIFS('Détail projets &amp; dettes'!$I$5:$I$413,'Détail projets &amp; dettes'!$A$5:$A$413,$B154,'Détail projets &amp; dettes'!$J$5:$J$413,"O",'Détail projets &amp; dettes'!$C$5:$C$413,$C154,'Détail projets &amp; dettes'!$D$5:$D$413,$D154)</f>
        <v>-13500117</v>
      </c>
      <c r="N154" s="66"/>
      <c r="O154" s="65" t="str">
        <f aca="false">IF(N154="","",N154-M154)</f>
        <v/>
      </c>
      <c r="P154" s="67"/>
      <c r="Q154" s="67"/>
      <c r="R154" s="67"/>
      <c r="S154" s="67"/>
      <c r="T154" s="67"/>
      <c r="U154" s="67"/>
      <c r="V154" s="67"/>
      <c r="W154" s="67"/>
      <c r="X154" s="67"/>
      <c r="Y154" s="67"/>
    </row>
    <row r="155" customFormat="false" ht="14.25" hidden="false" customHeight="false" outlineLevel="0" collapsed="false">
      <c r="A155" s="1"/>
      <c r="B155" s="13" t="s">
        <v>6</v>
      </c>
      <c r="C155" s="32" t="s">
        <v>36</v>
      </c>
      <c r="D155" s="32" t="s">
        <v>130</v>
      </c>
      <c r="E155" s="1"/>
      <c r="F155" s="65" t="n">
        <f aca="false">M155/$E$3</f>
        <v>-20699.6535153276</v>
      </c>
      <c r="G155" s="65" t="str">
        <f aca="false">IF(N155="","",N155/$E$3)</f>
        <v/>
      </c>
      <c r="H155" s="65" t="str">
        <f aca="false">IF(G155="","",G155-F155)</f>
        <v/>
      </c>
      <c r="I155" s="1"/>
      <c r="J155" s="1"/>
      <c r="K155" s="1"/>
      <c r="L155" s="1"/>
      <c r="M155" s="65" t="n">
        <f aca="false">SUMIFS('Détail projets &amp; dettes'!$I$5:$I$413,'Détail projets &amp; dettes'!$A$5:$A$413,$B155,'Détail projets &amp; dettes'!$J$5:$J$413,"O",'Détail projets &amp; dettes'!$C$5:$C$413,$C155,'Détail projets &amp; dettes'!$D$5:$D$413,$D155)</f>
        <v>-13578082.6209537</v>
      </c>
      <c r="N155" s="66"/>
      <c r="O155" s="65" t="str">
        <f aca="false">IF(N155="","",N155-M155)</f>
        <v/>
      </c>
      <c r="P155" s="67"/>
      <c r="Q155" s="67"/>
      <c r="R155" s="67"/>
      <c r="S155" s="67"/>
      <c r="T155" s="67"/>
      <c r="U155" s="67"/>
      <c r="V155" s="67"/>
      <c r="W155" s="67"/>
      <c r="X155" s="67"/>
      <c r="Y155" s="67"/>
    </row>
    <row r="156" customFormat="false" ht="14.25" hidden="false" customHeight="false" outlineLevel="0" collapsed="false">
      <c r="A156" s="1"/>
      <c r="B156" s="1"/>
      <c r="C156" s="49" t="s">
        <v>124</v>
      </c>
      <c r="D156" s="49"/>
      <c r="E156" s="1"/>
      <c r="F156" s="50" t="n">
        <f aca="false">SUM(F154:F155)</f>
        <v>-41280.4492077282</v>
      </c>
      <c r="G156" s="50" t="n">
        <f aca="false">SUM(G154:G155)</f>
        <v>0</v>
      </c>
      <c r="H156" s="50" t="n">
        <f aca="false">SUM(H154:H155)</f>
        <v>0</v>
      </c>
      <c r="I156" s="1"/>
      <c r="J156" s="1"/>
      <c r="K156" s="1"/>
      <c r="L156" s="1"/>
      <c r="M156" s="50" t="n">
        <f aca="false">SUM(M154:M155)</f>
        <v>-27078199.6209538</v>
      </c>
      <c r="N156" s="50" t="n">
        <f aca="false">SUM(N154:N155)</f>
        <v>0</v>
      </c>
      <c r="O156" s="50" t="n">
        <f aca="false">SUM(O154:O155)</f>
        <v>0</v>
      </c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customFormat="false" ht="14.25" hidden="false" customHeight="fals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customFormat="false" ht="14.25" hidden="false" customHeight="false" outlineLevel="0" collapsed="false">
      <c r="A158" s="1"/>
      <c r="B158" s="1"/>
      <c r="C158" s="63" t="s">
        <v>125</v>
      </c>
      <c r="D158" s="64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customFormat="false" ht="14.25" hidden="false" customHeight="false" outlineLevel="0" collapsed="false">
      <c r="A159" s="1"/>
      <c r="B159" s="1"/>
      <c r="C159" s="49" t="s">
        <v>126</v>
      </c>
      <c r="D159" s="49"/>
      <c r="E159" s="1"/>
      <c r="F159" s="50" t="n">
        <v>0</v>
      </c>
      <c r="G159" s="50" t="n">
        <v>0</v>
      </c>
      <c r="H159" s="50" t="n">
        <v>0</v>
      </c>
      <c r="I159" s="1"/>
      <c r="J159" s="1"/>
      <c r="K159" s="1"/>
      <c r="L159" s="1"/>
      <c r="M159" s="50" t="n">
        <v>0</v>
      </c>
      <c r="N159" s="50" t="n">
        <v>0</v>
      </c>
      <c r="O159" s="50" t="n">
        <v>0</v>
      </c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customFormat="false" ht="14.25" hidden="false" customHeight="fals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customFormat="false" ht="14.25" hidden="false" customHeight="false" outlineLevel="0" collapsed="false">
      <c r="A161" s="1"/>
      <c r="B161" s="1"/>
      <c r="C161" s="3" t="s">
        <v>134</v>
      </c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customFormat="false" ht="14.25" hidden="false" customHeight="false" outlineLevel="0" collapsed="false">
      <c r="A162" s="1"/>
      <c r="B162" s="1"/>
      <c r="C162" s="45" t="s">
        <v>32</v>
      </c>
      <c r="D162" s="45" t="s">
        <v>135</v>
      </c>
      <c r="E162" s="1"/>
      <c r="F162" s="46" t="n">
        <f aca="false">M162/$E$3</f>
        <v>-1888063.3584391</v>
      </c>
      <c r="G162" s="1"/>
      <c r="H162" s="1"/>
      <c r="I162" s="1"/>
      <c r="J162" s="1"/>
      <c r="K162" s="1"/>
      <c r="L162" s="1"/>
      <c r="M162" s="46" t="n">
        <f aca="false">SUMIFS('Détail projets &amp; dettes'!$I$5:$I$413,'Détail projets &amp; dettes'!$A$5:$A$413,"Nov. 2026",'Détail projets &amp; dettes'!$J$5:$J$413,"O",'Détail projets &amp; dettes'!$C$5:$C$413,"TERASSON")</f>
        <v>-1238488376.41164</v>
      </c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customFormat="false" ht="14.25" hidden="false" customHeight="false" outlineLevel="0" collapsed="false">
      <c r="A163" s="1"/>
      <c r="B163" s="1"/>
      <c r="C163" s="45" t="s">
        <v>36</v>
      </c>
      <c r="D163" s="45" t="s">
        <v>135</v>
      </c>
      <c r="E163" s="1"/>
      <c r="F163" s="46" t="n">
        <f aca="false">M163/$E$3</f>
        <v>-693759.09012462</v>
      </c>
      <c r="G163" s="1"/>
      <c r="H163" s="1"/>
      <c r="I163" s="1"/>
      <c r="J163" s="1"/>
      <c r="K163" s="1"/>
      <c r="L163" s="1"/>
      <c r="M163" s="46" t="n">
        <f aca="false">SUMIFS('Détail projets &amp; dettes'!$I$5:$I$413,'Détail projets &amp; dettes'!$A$5:$A$413,"Nov. 2026",'Détail projets &amp; dettes'!$J$5:$J$413,"O",'Détail projets &amp; dettes'!$C$5:$C$413,"RIVIERA")</f>
        <v>-455076131.480876</v>
      </c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</sheetData>
  <mergeCells count="80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70:Y70"/>
    <mergeCell ref="P72:Y72"/>
    <mergeCell ref="P73:Y73"/>
    <mergeCell ref="P74:Y74"/>
    <mergeCell ref="P75:Y75"/>
    <mergeCell ref="P76:Y76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0:Y100"/>
    <mergeCell ref="P101:Y101"/>
    <mergeCell ref="P102:Y102"/>
    <mergeCell ref="P103:Y103"/>
    <mergeCell ref="P104:Y104"/>
    <mergeCell ref="P105:Y105"/>
    <mergeCell ref="P106:Y106"/>
    <mergeCell ref="P107:Y107"/>
    <mergeCell ref="P111:Y111"/>
    <mergeCell ref="P124:Y124"/>
    <mergeCell ref="P126:Y126"/>
    <mergeCell ref="P127:Y127"/>
    <mergeCell ref="P128:Y128"/>
    <mergeCell ref="P129:Y129"/>
    <mergeCell ref="P130:Y130"/>
    <mergeCell ref="P131:Y131"/>
    <mergeCell ref="P132:Y132"/>
    <mergeCell ref="P133:Y133"/>
    <mergeCell ref="P134:Y134"/>
    <mergeCell ref="P135:Y135"/>
    <mergeCell ref="P136:Y136"/>
    <mergeCell ref="P140:Y140"/>
    <mergeCell ref="P141:Y141"/>
    <mergeCell ref="P142:Y142"/>
    <mergeCell ref="P143:Y143"/>
    <mergeCell ref="P144:Y144"/>
    <mergeCell ref="P145:Y145"/>
    <mergeCell ref="P146:Y146"/>
    <mergeCell ref="P147:Y147"/>
    <mergeCell ref="P154:Y154"/>
    <mergeCell ref="P155:Y1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J14" activeCellId="0" sqref="J14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44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9"/>
  </cols>
  <sheetData>
    <row r="1" customFormat="false" ht="15" hidden="false" customHeight="true" outlineLevel="0" collapsed="false">
      <c r="A1" s="2" t="s">
        <v>136</v>
      </c>
      <c r="B1" s="1"/>
      <c r="C1" s="1"/>
      <c r="D1" s="1"/>
      <c r="E1" s="1"/>
      <c r="F1" s="1"/>
      <c r="G1" s="1"/>
    </row>
    <row r="2" customFormat="false" ht="14.25" hidden="false" customHeight="false" outlineLevel="0" collapsed="false">
      <c r="A2" s="7"/>
      <c r="B2" s="1"/>
      <c r="C2" s="1"/>
      <c r="D2" s="1"/>
      <c r="E2" s="1"/>
      <c r="F2" s="1"/>
      <c r="G2" s="1"/>
    </row>
    <row r="3" customFormat="false" ht="14.25" hidden="false" customHeight="false" outlineLevel="0" collapsed="false">
      <c r="A3" s="1"/>
      <c r="B3" s="1"/>
      <c r="C3" s="1"/>
      <c r="D3" s="1"/>
      <c r="E3" s="1"/>
      <c r="F3" s="1"/>
      <c r="G3" s="1"/>
    </row>
    <row r="4" customFormat="false" ht="22.5" hidden="false" customHeight="true" outlineLevel="0" collapsed="false">
      <c r="A4" s="68" t="s">
        <v>2</v>
      </c>
      <c r="B4" s="68" t="s">
        <v>100</v>
      </c>
      <c r="C4" s="68" t="s">
        <v>137</v>
      </c>
      <c r="D4" s="68" t="s">
        <v>138</v>
      </c>
      <c r="E4" s="68" t="s">
        <v>139</v>
      </c>
      <c r="F4" s="68" t="s">
        <v>140</v>
      </c>
      <c r="G4" s="68" t="s">
        <v>141</v>
      </c>
    </row>
    <row r="5" customFormat="false" ht="14.25" hidden="false" customHeight="false" outlineLevel="0" collapsed="false">
      <c r="A5" s="69" t="s">
        <v>3</v>
      </c>
      <c r="B5" s="70" t="s">
        <v>21</v>
      </c>
      <c r="C5" s="70" t="s">
        <v>110</v>
      </c>
      <c r="D5" s="70" t="s">
        <v>142</v>
      </c>
      <c r="E5" s="71" t="n">
        <v>-628015</v>
      </c>
      <c r="F5" s="71" t="n">
        <f aca="false">E5/'Reporting Hebdo'!$E$3</f>
        <v>-957.402695603523</v>
      </c>
      <c r="G5" s="69" t="s">
        <v>143</v>
      </c>
    </row>
    <row r="6" customFormat="false" ht="14.25" hidden="false" customHeight="false" outlineLevel="0" collapsed="false">
      <c r="A6" s="69" t="s">
        <v>3</v>
      </c>
      <c r="B6" s="70" t="s">
        <v>21</v>
      </c>
      <c r="C6" s="70" t="s">
        <v>110</v>
      </c>
      <c r="D6" s="70" t="s">
        <v>144</v>
      </c>
      <c r="E6" s="71" t="n">
        <v>-5947200</v>
      </c>
      <c r="F6" s="71" t="n">
        <f aca="false">E6/'Reporting Hebdo'!$E$3</f>
        <v>-9066.44795314327</v>
      </c>
      <c r="G6" s="69" t="s">
        <v>143</v>
      </c>
    </row>
    <row r="7" customFormat="false" ht="14.25" hidden="false" customHeight="false" outlineLevel="0" collapsed="false">
      <c r="A7" s="69" t="s">
        <v>3</v>
      </c>
      <c r="B7" s="70" t="s">
        <v>21</v>
      </c>
      <c r="C7" s="70" t="s">
        <v>110</v>
      </c>
      <c r="D7" s="70" t="s">
        <v>145</v>
      </c>
      <c r="E7" s="71" t="n">
        <v>-50</v>
      </c>
      <c r="F7" s="71" t="n">
        <f aca="false">E7/'Reporting Hebdo'!$E$3</f>
        <v>-0.0762245086187052</v>
      </c>
      <c r="G7" s="69" t="s">
        <v>143</v>
      </c>
    </row>
    <row r="8" customFormat="false" ht="14.25" hidden="false" customHeight="false" outlineLevel="0" collapsed="false">
      <c r="A8" s="69" t="s">
        <v>3</v>
      </c>
      <c r="B8" s="70" t="s">
        <v>21</v>
      </c>
      <c r="C8" s="70" t="s">
        <v>110</v>
      </c>
      <c r="D8" s="70" t="s">
        <v>146</v>
      </c>
      <c r="E8" s="71" t="n">
        <v>-157910</v>
      </c>
      <c r="F8" s="71" t="n">
        <f aca="false">E8/'Reporting Hebdo'!$E$3</f>
        <v>-240.732243119595</v>
      </c>
      <c r="G8" s="69" t="s">
        <v>143</v>
      </c>
    </row>
    <row r="9" customFormat="false" ht="14.25" hidden="false" customHeight="false" outlineLevel="0" collapsed="false">
      <c r="A9" s="69" t="s">
        <v>3</v>
      </c>
      <c r="B9" s="70" t="s">
        <v>21</v>
      </c>
      <c r="C9" s="70" t="s">
        <v>110</v>
      </c>
      <c r="D9" s="70" t="s">
        <v>147</v>
      </c>
      <c r="E9" s="71" t="n">
        <v>-7734197</v>
      </c>
      <c r="F9" s="71" t="n">
        <f aca="false">E9/'Reporting Hebdo'!$E$3</f>
        <v>-11790.7073177053</v>
      </c>
      <c r="G9" s="69" t="s">
        <v>143</v>
      </c>
    </row>
    <row r="10" customFormat="false" ht="14.25" hidden="false" customHeight="false" outlineLevel="0" collapsed="false">
      <c r="A10" s="69" t="s">
        <v>3</v>
      </c>
      <c r="B10" s="70" t="s">
        <v>21</v>
      </c>
      <c r="C10" s="70" t="s">
        <v>110</v>
      </c>
      <c r="D10" s="70" t="s">
        <v>148</v>
      </c>
      <c r="E10" s="71" t="n">
        <v>-324500</v>
      </c>
      <c r="F10" s="71" t="n">
        <f aca="false">E10/'Reporting Hebdo'!$E$3</f>
        <v>-494.697060935397</v>
      </c>
      <c r="G10" s="69" t="s">
        <v>143</v>
      </c>
    </row>
    <row r="11" customFormat="false" ht="14.25" hidden="false" customHeight="false" outlineLevel="0" collapsed="false">
      <c r="A11" s="69" t="s">
        <v>3</v>
      </c>
      <c r="B11" s="70" t="s">
        <v>21</v>
      </c>
      <c r="C11" s="70" t="s">
        <v>110</v>
      </c>
      <c r="D11" s="70" t="s">
        <v>148</v>
      </c>
      <c r="E11" s="71" t="n">
        <v>-324500</v>
      </c>
      <c r="F11" s="71" t="n">
        <f aca="false">E11/'Reporting Hebdo'!$E$3</f>
        <v>-494.697060935397</v>
      </c>
      <c r="G11" s="69" t="s">
        <v>143</v>
      </c>
    </row>
    <row r="12" customFormat="false" ht="14.25" hidden="false" customHeight="false" outlineLevel="0" collapsed="false">
      <c r="A12" s="69" t="s">
        <v>3</v>
      </c>
      <c r="B12" s="70" t="s">
        <v>21</v>
      </c>
      <c r="C12" s="70" t="s">
        <v>110</v>
      </c>
      <c r="D12" s="70" t="s">
        <v>149</v>
      </c>
      <c r="E12" s="71" t="n">
        <v>-5443898</v>
      </c>
      <c r="F12" s="71" t="n">
        <f aca="false">E12/'Reporting Hebdo'!$E$3</f>
        <v>-8299.16900040704</v>
      </c>
      <c r="G12" s="69" t="s">
        <v>143</v>
      </c>
    </row>
    <row r="13" customFormat="false" ht="14.25" hidden="false" customHeight="false" outlineLevel="0" collapsed="false">
      <c r="A13" s="69" t="s">
        <v>3</v>
      </c>
      <c r="B13" s="70" t="s">
        <v>21</v>
      </c>
      <c r="C13" s="70" t="s">
        <v>110</v>
      </c>
      <c r="D13" s="70" t="s">
        <v>150</v>
      </c>
      <c r="E13" s="71" t="n">
        <v>-342735</v>
      </c>
      <c r="F13" s="71" t="n">
        <f aca="false">E13/'Reporting Hebdo'!$E$3</f>
        <v>-522.496139228638</v>
      </c>
      <c r="G13" s="69" t="s">
        <v>143</v>
      </c>
    </row>
    <row r="14" customFormat="false" ht="14.25" hidden="false" customHeight="false" outlineLevel="0" collapsed="false">
      <c r="A14" s="69" t="s">
        <v>3</v>
      </c>
      <c r="B14" s="70" t="s">
        <v>21</v>
      </c>
      <c r="C14" s="70" t="s">
        <v>110</v>
      </c>
      <c r="D14" s="70" t="s">
        <v>151</v>
      </c>
      <c r="E14" s="71" t="n">
        <v>-34002</v>
      </c>
      <c r="F14" s="71" t="n">
        <f aca="false">E14/'Reporting Hebdo'!$E$3</f>
        <v>-51.8357148410643</v>
      </c>
      <c r="G14" s="69" t="s">
        <v>143</v>
      </c>
    </row>
    <row r="15" customFormat="false" ht="14.25" hidden="false" customHeight="false" outlineLevel="0" collapsed="false">
      <c r="A15" s="69" t="s">
        <v>3</v>
      </c>
      <c r="B15" s="70" t="s">
        <v>21</v>
      </c>
      <c r="C15" s="70" t="s">
        <v>110</v>
      </c>
      <c r="D15" s="70" t="s">
        <v>151</v>
      </c>
      <c r="E15" s="71" t="n">
        <v>-44002</v>
      </c>
      <c r="F15" s="71" t="n">
        <f aca="false">E15/'Reporting Hebdo'!$E$3</f>
        <v>-67.0806165648053</v>
      </c>
      <c r="G15" s="69" t="s">
        <v>143</v>
      </c>
    </row>
    <row r="16" customFormat="false" ht="14.25" hidden="false" customHeight="false" outlineLevel="0" collapsed="false">
      <c r="A16" s="69" t="s">
        <v>3</v>
      </c>
      <c r="B16" s="70" t="s">
        <v>21</v>
      </c>
      <c r="C16" s="70" t="s">
        <v>110</v>
      </c>
      <c r="D16" s="70" t="s">
        <v>152</v>
      </c>
      <c r="E16" s="71" t="n">
        <v>-7954048</v>
      </c>
      <c r="F16" s="71" t="n">
        <f aca="false">E16/'Reporting Hebdo'!$E$3</f>
        <v>-12125.8680065919</v>
      </c>
      <c r="G16" s="69" t="s">
        <v>143</v>
      </c>
    </row>
    <row r="17" customFormat="false" ht="14.25" hidden="false" customHeight="false" outlineLevel="0" collapsed="false">
      <c r="A17" s="69" t="s">
        <v>3</v>
      </c>
      <c r="B17" s="70" t="s">
        <v>21</v>
      </c>
      <c r="C17" s="70" t="s">
        <v>110</v>
      </c>
      <c r="D17" s="70" t="s">
        <v>152</v>
      </c>
      <c r="E17" s="71" t="n">
        <v>-7929032</v>
      </c>
      <c r="F17" s="71" t="n">
        <f aca="false">E17/'Reporting Hebdo'!$E$3</f>
        <v>-12087.7313604398</v>
      </c>
      <c r="G17" s="69" t="s">
        <v>143</v>
      </c>
    </row>
    <row r="18" customFormat="false" ht="14.25" hidden="false" customHeight="false" outlineLevel="0" collapsed="false">
      <c r="A18" s="69" t="s">
        <v>3</v>
      </c>
      <c r="B18" s="70" t="s">
        <v>21</v>
      </c>
      <c r="C18" s="70" t="s">
        <v>110</v>
      </c>
      <c r="D18" s="70" t="s">
        <v>153</v>
      </c>
      <c r="E18" s="71" t="n">
        <v>-791000</v>
      </c>
      <c r="F18" s="71" t="n">
        <f aca="false">E18/'Reporting Hebdo'!$E$3</f>
        <v>-1205.87172634792</v>
      </c>
      <c r="G18" s="69" t="s">
        <v>143</v>
      </c>
    </row>
    <row r="19" customFormat="false" ht="14.25" hidden="false" customHeight="false" outlineLevel="0" collapsed="false">
      <c r="A19" s="69" t="s">
        <v>3</v>
      </c>
      <c r="B19" s="70" t="s">
        <v>21</v>
      </c>
      <c r="C19" s="70" t="s">
        <v>110</v>
      </c>
      <c r="D19" s="70" t="s">
        <v>154</v>
      </c>
      <c r="E19" s="71" t="n">
        <v>-739396</v>
      </c>
      <c r="F19" s="71" t="n">
        <f aca="false">E19/'Reporting Hebdo'!$E$3</f>
        <v>-1127.20193549272</v>
      </c>
      <c r="G19" s="69" t="s">
        <v>143</v>
      </c>
    </row>
    <row r="20" customFormat="false" ht="14.25" hidden="false" customHeight="false" outlineLevel="0" collapsed="false">
      <c r="A20" s="69" t="s">
        <v>3</v>
      </c>
      <c r="B20" s="70" t="s">
        <v>21</v>
      </c>
      <c r="C20" s="70" t="s">
        <v>110</v>
      </c>
      <c r="D20" s="70" t="s">
        <v>155</v>
      </c>
      <c r="E20" s="71" t="n">
        <v>-1700002</v>
      </c>
      <c r="F20" s="71" t="n">
        <f aca="false">E20/'Reporting Hebdo'!$E$3</f>
        <v>-2591.63634201632</v>
      </c>
      <c r="G20" s="69" t="s">
        <v>143</v>
      </c>
    </row>
    <row r="21" customFormat="false" ht="14.25" hidden="false" customHeight="false" outlineLevel="0" collapsed="false">
      <c r="A21" s="69" t="s">
        <v>3</v>
      </c>
      <c r="B21" s="70" t="s">
        <v>21</v>
      </c>
      <c r="C21" s="70" t="s">
        <v>110</v>
      </c>
      <c r="D21" s="70" t="s">
        <v>156</v>
      </c>
      <c r="E21" s="71" t="n">
        <v>-934678</v>
      </c>
      <c r="F21" s="71" t="n">
        <f aca="false">E21/'Reporting Hebdo'!$E$3</f>
        <v>-1424.90742533428</v>
      </c>
      <c r="G21" s="69" t="s">
        <v>143</v>
      </c>
    </row>
    <row r="22" customFormat="false" ht="14.25" hidden="false" customHeight="false" outlineLevel="0" collapsed="false">
      <c r="A22" s="69" t="s">
        <v>3</v>
      </c>
      <c r="B22" s="70" t="s">
        <v>21</v>
      </c>
      <c r="C22" s="70" t="s">
        <v>110</v>
      </c>
      <c r="D22" s="70" t="s">
        <v>156</v>
      </c>
      <c r="E22" s="71" t="n">
        <v>-934678</v>
      </c>
      <c r="F22" s="71" t="n">
        <f aca="false">E22/'Reporting Hebdo'!$E$3</f>
        <v>-1424.90742533428</v>
      </c>
      <c r="G22" s="69" t="s">
        <v>143</v>
      </c>
    </row>
    <row r="23" customFormat="false" ht="14.25" hidden="false" customHeight="false" outlineLevel="0" collapsed="false">
      <c r="A23" s="69" t="s">
        <v>3</v>
      </c>
      <c r="B23" s="70" t="s">
        <v>21</v>
      </c>
      <c r="C23" s="70" t="s">
        <v>110</v>
      </c>
      <c r="D23" s="70" t="s">
        <v>157</v>
      </c>
      <c r="E23" s="71" t="n">
        <v>-1233973</v>
      </c>
      <c r="F23" s="71" t="n">
        <f aca="false">E23/'Reporting Hebdo'!$E$3</f>
        <v>-1881.17971147499</v>
      </c>
      <c r="G23" s="69" t="s">
        <v>143</v>
      </c>
    </row>
    <row r="24" customFormat="false" ht="14.25" hidden="false" customHeight="false" outlineLevel="0" collapsed="false">
      <c r="A24" s="69" t="s">
        <v>3</v>
      </c>
      <c r="B24" s="70" t="s">
        <v>21</v>
      </c>
      <c r="C24" s="70" t="s">
        <v>110</v>
      </c>
      <c r="D24" s="70" t="s">
        <v>158</v>
      </c>
      <c r="E24" s="71" t="n">
        <v>-2025218</v>
      </c>
      <c r="F24" s="71" t="n">
        <f aca="false">E24/'Reporting Hebdo'!$E$3</f>
        <v>-3087.42493791514</v>
      </c>
      <c r="G24" s="69" t="s">
        <v>143</v>
      </c>
    </row>
    <row r="25" customFormat="false" ht="14.25" hidden="false" customHeight="false" outlineLevel="0" collapsed="false">
      <c r="A25" s="69" t="s">
        <v>3</v>
      </c>
      <c r="B25" s="70" t="s">
        <v>21</v>
      </c>
      <c r="C25" s="70" t="s">
        <v>110</v>
      </c>
      <c r="D25" s="70" t="s">
        <v>158</v>
      </c>
      <c r="E25" s="71" t="n">
        <v>-3727424</v>
      </c>
      <c r="F25" s="71" t="n">
        <f aca="false">E25/'Reporting Hebdo'!$E$3</f>
        <v>-5682.42125627137</v>
      </c>
      <c r="G25" s="69" t="s">
        <v>143</v>
      </c>
    </row>
    <row r="26" customFormat="false" ht="14.25" hidden="false" customHeight="false" outlineLevel="0" collapsed="false">
      <c r="A26" s="69" t="s">
        <v>3</v>
      </c>
      <c r="B26" s="70" t="s">
        <v>21</v>
      </c>
      <c r="C26" s="70" t="s">
        <v>110</v>
      </c>
      <c r="D26" s="70" t="s">
        <v>159</v>
      </c>
      <c r="E26" s="71" t="n">
        <v>-162349</v>
      </c>
      <c r="F26" s="71" t="n">
        <f aca="false">E26/'Reporting Hebdo'!$E$3</f>
        <v>-247.499454994763</v>
      </c>
      <c r="G26" s="69" t="s">
        <v>143</v>
      </c>
    </row>
    <row r="27" customFormat="false" ht="14.25" hidden="false" customHeight="false" outlineLevel="0" collapsed="false">
      <c r="A27" s="69" t="s">
        <v>3</v>
      </c>
      <c r="B27" s="70" t="s">
        <v>21</v>
      </c>
      <c r="C27" s="70" t="s">
        <v>110</v>
      </c>
      <c r="D27" s="70" t="s">
        <v>160</v>
      </c>
      <c r="E27" s="71" t="n">
        <v>-7460464</v>
      </c>
      <c r="F27" s="71" t="n">
        <f aca="false">E27/'Reporting Hebdo'!$E$3</f>
        <v>-11373.4040493508</v>
      </c>
      <c r="G27" s="69" t="s">
        <v>143</v>
      </c>
    </row>
    <row r="28" customFormat="false" ht="14.25" hidden="false" customHeight="false" outlineLevel="0" collapsed="false">
      <c r="A28" s="69" t="s">
        <v>3</v>
      </c>
      <c r="B28" s="70" t="s">
        <v>21</v>
      </c>
      <c r="C28" s="70" t="s">
        <v>110</v>
      </c>
      <c r="D28" s="70" t="s">
        <v>161</v>
      </c>
      <c r="E28" s="71" t="n">
        <v>-194350</v>
      </c>
      <c r="F28" s="71" t="n">
        <f aca="false">E28/'Reporting Hebdo'!$E$3</f>
        <v>-296.284665000907</v>
      </c>
      <c r="G28" s="69" t="s">
        <v>143</v>
      </c>
    </row>
    <row r="29" customFormat="false" ht="14.25" hidden="false" customHeight="false" outlineLevel="0" collapsed="false">
      <c r="A29" s="69" t="s">
        <v>3</v>
      </c>
      <c r="B29" s="70" t="s">
        <v>21</v>
      </c>
      <c r="C29" s="70" t="s">
        <v>111</v>
      </c>
      <c r="D29" s="70" t="s">
        <v>162</v>
      </c>
      <c r="E29" s="71" t="n">
        <v>-6300000</v>
      </c>
      <c r="F29" s="71" t="n">
        <f aca="false">E29/'Reporting Hebdo'!$E$3</f>
        <v>-9604.28808595685</v>
      </c>
      <c r="G29" s="69" t="s">
        <v>143</v>
      </c>
    </row>
    <row r="30" customFormat="false" ht="14.25" hidden="false" customHeight="false" outlineLevel="0" collapsed="false">
      <c r="A30" s="69" t="s">
        <v>3</v>
      </c>
      <c r="B30" s="70" t="s">
        <v>21</v>
      </c>
      <c r="C30" s="70" t="s">
        <v>112</v>
      </c>
      <c r="D30" s="70" t="s">
        <v>112</v>
      </c>
      <c r="E30" s="71" t="n">
        <v>-3040000</v>
      </c>
      <c r="F30" s="71" t="n">
        <f aca="false">E30/'Reporting Hebdo'!$E$3</f>
        <v>-4634.45012401728</v>
      </c>
      <c r="G30" s="69" t="s">
        <v>143</v>
      </c>
    </row>
    <row r="31" customFormat="false" ht="14.25" hidden="false" customHeight="false" outlineLevel="0" collapsed="false">
      <c r="A31" s="69" t="s">
        <v>3</v>
      </c>
      <c r="B31" s="70" t="s">
        <v>21</v>
      </c>
      <c r="C31" s="70" t="s">
        <v>114</v>
      </c>
      <c r="D31" s="70" t="s">
        <v>163</v>
      </c>
      <c r="E31" s="71" t="n">
        <v>655957000</v>
      </c>
      <c r="F31" s="71" t="n">
        <f aca="false">E31/'Reporting Hebdo'!$E$3</f>
        <v>1000000</v>
      </c>
      <c r="G31" s="69" t="s">
        <v>143</v>
      </c>
    </row>
    <row r="32" customFormat="false" ht="14.25" hidden="false" customHeight="false" outlineLevel="0" collapsed="false">
      <c r="A32" s="69" t="s">
        <v>3</v>
      </c>
      <c r="B32" s="70" t="s">
        <v>28</v>
      </c>
      <c r="C32" s="70" t="s">
        <v>110</v>
      </c>
      <c r="D32" s="70" t="s">
        <v>164</v>
      </c>
      <c r="E32" s="71" t="n">
        <v>-580560</v>
      </c>
      <c r="F32" s="71" t="n">
        <f aca="false">E32/'Reporting Hebdo'!$E$3</f>
        <v>-885.05801447351</v>
      </c>
      <c r="G32" s="69" t="s">
        <v>143</v>
      </c>
    </row>
    <row r="33" customFormat="false" ht="14.25" hidden="false" customHeight="false" outlineLevel="0" collapsed="false">
      <c r="A33" s="69" t="s">
        <v>3</v>
      </c>
      <c r="B33" s="70" t="s">
        <v>28</v>
      </c>
      <c r="C33" s="70" t="s">
        <v>110</v>
      </c>
      <c r="D33" s="70" t="s">
        <v>165</v>
      </c>
      <c r="E33" s="71" t="n">
        <v>-5224698</v>
      </c>
      <c r="F33" s="71" t="n">
        <f aca="false">E33/'Reporting Hebdo'!$E$3</f>
        <v>-7965.00075462264</v>
      </c>
      <c r="G33" s="69" t="s">
        <v>143</v>
      </c>
    </row>
    <row r="34" customFormat="false" ht="14.25" hidden="false" customHeight="false" outlineLevel="0" collapsed="false">
      <c r="A34" s="69" t="s">
        <v>3</v>
      </c>
      <c r="B34" s="70" t="s">
        <v>28</v>
      </c>
      <c r="C34" s="70" t="s">
        <v>110</v>
      </c>
      <c r="D34" s="70" t="s">
        <v>166</v>
      </c>
      <c r="E34" s="71" t="n">
        <v>-250000</v>
      </c>
      <c r="F34" s="71" t="n">
        <f aca="false">E34/'Reporting Hebdo'!$E$3</f>
        <v>-381.122543093526</v>
      </c>
      <c r="G34" s="69" t="s">
        <v>143</v>
      </c>
    </row>
    <row r="35" customFormat="false" ht="14.25" hidden="false" customHeight="false" outlineLevel="0" collapsed="false">
      <c r="A35" s="69" t="s">
        <v>3</v>
      </c>
      <c r="B35" s="70" t="s">
        <v>28</v>
      </c>
      <c r="C35" s="70" t="s">
        <v>110</v>
      </c>
      <c r="D35" s="70" t="s">
        <v>167</v>
      </c>
      <c r="E35" s="71" t="n">
        <v>-5268245</v>
      </c>
      <c r="F35" s="71" t="n">
        <f aca="false">E35/'Reporting Hebdo'!$E$3</f>
        <v>-8031.38772815901</v>
      </c>
      <c r="G35" s="69" t="s">
        <v>143</v>
      </c>
    </row>
    <row r="36" customFormat="false" ht="14.25" hidden="false" customHeight="false" outlineLevel="0" collapsed="false">
      <c r="A36" s="69" t="s">
        <v>3</v>
      </c>
      <c r="B36" s="70" t="s">
        <v>28</v>
      </c>
      <c r="C36" s="70" t="s">
        <v>110</v>
      </c>
      <c r="D36" s="70" t="s">
        <v>148</v>
      </c>
      <c r="E36" s="71" t="n">
        <v>-28248</v>
      </c>
      <c r="F36" s="71" t="n">
        <f aca="false">E36/'Reporting Hebdo'!$E$3</f>
        <v>-43.0637983892237</v>
      </c>
      <c r="G36" s="69" t="s">
        <v>143</v>
      </c>
    </row>
    <row r="37" customFormat="false" ht="14.25" hidden="false" customHeight="false" outlineLevel="0" collapsed="false">
      <c r="A37" s="69" t="s">
        <v>3</v>
      </c>
      <c r="B37" s="70" t="s">
        <v>28</v>
      </c>
      <c r="C37" s="70" t="s">
        <v>110</v>
      </c>
      <c r="D37" s="70" t="s">
        <v>168</v>
      </c>
      <c r="E37" s="71" t="n">
        <v>-1191450</v>
      </c>
      <c r="F37" s="71" t="n">
        <f aca="false">E37/'Reporting Hebdo'!$E$3</f>
        <v>-1816.35381587513</v>
      </c>
      <c r="G37" s="69" t="s">
        <v>143</v>
      </c>
    </row>
    <row r="38" customFormat="false" ht="14.25" hidden="false" customHeight="false" outlineLevel="0" collapsed="false">
      <c r="A38" s="69" t="s">
        <v>3</v>
      </c>
      <c r="B38" s="70" t="s">
        <v>28</v>
      </c>
      <c r="C38" s="70" t="s">
        <v>110</v>
      </c>
      <c r="D38" s="70" t="s">
        <v>169</v>
      </c>
      <c r="E38" s="71" t="n">
        <v>-448400</v>
      </c>
      <c r="F38" s="71" t="n">
        <f aca="false">E38/'Reporting Hebdo'!$E$3</f>
        <v>-683.581393292548</v>
      </c>
      <c r="G38" s="69" t="s">
        <v>143</v>
      </c>
    </row>
    <row r="39" customFormat="false" ht="14.25" hidden="false" customHeight="false" outlineLevel="0" collapsed="false">
      <c r="A39" s="69" t="s">
        <v>3</v>
      </c>
      <c r="B39" s="70" t="s">
        <v>28</v>
      </c>
      <c r="C39" s="70" t="s">
        <v>110</v>
      </c>
      <c r="D39" s="70" t="s">
        <v>170</v>
      </c>
      <c r="E39" s="71" t="n">
        <v>-6575302</v>
      </c>
      <c r="F39" s="71" t="n">
        <f aca="false">E39/'Reporting Hebdo'!$E$3</f>
        <v>-10023.9832793918</v>
      </c>
      <c r="G39" s="69" t="s">
        <v>143</v>
      </c>
    </row>
    <row r="40" customFormat="false" ht="14.25" hidden="false" customHeight="false" outlineLevel="0" collapsed="false">
      <c r="A40" s="69" t="s">
        <v>3</v>
      </c>
      <c r="B40" s="70" t="s">
        <v>28</v>
      </c>
      <c r="C40" s="70" t="s">
        <v>110</v>
      </c>
      <c r="D40" s="70" t="s">
        <v>171</v>
      </c>
      <c r="E40" s="71" t="n">
        <v>-42500000</v>
      </c>
      <c r="F40" s="71" t="n">
        <f aca="false">E40/'Reporting Hebdo'!$E$3</f>
        <v>-64790.8323258994</v>
      </c>
      <c r="G40" s="69" t="s">
        <v>143</v>
      </c>
    </row>
    <row r="41" customFormat="false" ht="14.25" hidden="false" customHeight="false" outlineLevel="0" collapsed="false">
      <c r="A41" s="69" t="s">
        <v>3</v>
      </c>
      <c r="B41" s="70" t="s">
        <v>28</v>
      </c>
      <c r="C41" s="70" t="s">
        <v>110</v>
      </c>
      <c r="D41" s="70" t="s">
        <v>172</v>
      </c>
      <c r="E41" s="71" t="n">
        <v>-33915</v>
      </c>
      <c r="F41" s="71" t="n">
        <f aca="false">E41/'Reporting Hebdo'!$E$3</f>
        <v>-51.7030841960677</v>
      </c>
      <c r="G41" s="69" t="s">
        <v>143</v>
      </c>
    </row>
    <row r="42" customFormat="false" ht="14.25" hidden="false" customHeight="false" outlineLevel="0" collapsed="false">
      <c r="A42" s="69" t="s">
        <v>3</v>
      </c>
      <c r="B42" s="70" t="s">
        <v>28</v>
      </c>
      <c r="C42" s="70" t="s">
        <v>110</v>
      </c>
      <c r="D42" s="70" t="s">
        <v>161</v>
      </c>
      <c r="E42" s="71" t="n">
        <v>-127857</v>
      </c>
      <c r="F42" s="71" t="n">
        <f aca="false">E42/'Reporting Hebdo'!$E$3</f>
        <v>-194.916739969236</v>
      </c>
      <c r="G42" s="69" t="s">
        <v>143</v>
      </c>
    </row>
    <row r="43" customFormat="false" ht="14.25" hidden="false" customHeight="false" outlineLevel="0" collapsed="false">
      <c r="A43" s="69" t="s">
        <v>3</v>
      </c>
      <c r="B43" s="70" t="s">
        <v>28</v>
      </c>
      <c r="C43" s="70" t="s">
        <v>110</v>
      </c>
      <c r="D43" s="70" t="s">
        <v>173</v>
      </c>
      <c r="E43" s="71" t="n">
        <v>-205320</v>
      </c>
      <c r="F43" s="71" t="n">
        <f aca="false">E43/'Reporting Hebdo'!$E$3</f>
        <v>-313.008322191851</v>
      </c>
      <c r="G43" s="69" t="s">
        <v>143</v>
      </c>
    </row>
    <row r="44" customFormat="false" ht="14.25" hidden="false" customHeight="false" outlineLevel="0" collapsed="false">
      <c r="A44" s="69" t="s">
        <v>3</v>
      </c>
      <c r="B44" s="70" t="s">
        <v>32</v>
      </c>
      <c r="C44" s="70" t="s">
        <v>110</v>
      </c>
      <c r="D44" s="70" t="s">
        <v>145</v>
      </c>
      <c r="E44" s="71" t="n">
        <v>-67515</v>
      </c>
      <c r="F44" s="71" t="n">
        <f aca="false">E44/'Reporting Hebdo'!$E$3</f>
        <v>-102.925953987838</v>
      </c>
      <c r="G44" s="69" t="s">
        <v>143</v>
      </c>
    </row>
    <row r="45" customFormat="false" ht="14.25" hidden="false" customHeight="false" outlineLevel="0" collapsed="false">
      <c r="A45" s="69" t="s">
        <v>3</v>
      </c>
      <c r="B45" s="70" t="s">
        <v>32</v>
      </c>
      <c r="C45" s="70" t="s">
        <v>110</v>
      </c>
      <c r="D45" s="70" t="s">
        <v>174</v>
      </c>
      <c r="E45" s="71" t="n">
        <v>-882980</v>
      </c>
      <c r="F45" s="71" t="n">
        <f aca="false">E45/'Reporting Hebdo'!$E$3</f>
        <v>-1346.09433240289</v>
      </c>
      <c r="G45" s="69" t="s">
        <v>143</v>
      </c>
    </row>
    <row r="46" customFormat="false" ht="14.25" hidden="false" customHeight="false" outlineLevel="0" collapsed="false">
      <c r="A46" s="69" t="s">
        <v>3</v>
      </c>
      <c r="B46" s="70" t="s">
        <v>32</v>
      </c>
      <c r="C46" s="70" t="s">
        <v>110</v>
      </c>
      <c r="D46" s="70" t="s">
        <v>175</v>
      </c>
      <c r="E46" s="71" t="n">
        <v>-906950</v>
      </c>
      <c r="F46" s="71" t="n">
        <f aca="false">E46/'Reporting Hebdo'!$E$3</f>
        <v>-1382.63636183469</v>
      </c>
      <c r="G46" s="69" t="s">
        <v>143</v>
      </c>
    </row>
    <row r="47" customFormat="false" ht="14.25" hidden="false" customHeight="false" outlineLevel="0" collapsed="false">
      <c r="A47" s="69" t="s">
        <v>3</v>
      </c>
      <c r="B47" s="70" t="s">
        <v>32</v>
      </c>
      <c r="C47" s="70" t="s">
        <v>110</v>
      </c>
      <c r="D47" s="70" t="s">
        <v>176</v>
      </c>
      <c r="E47" s="71" t="n">
        <v>-6428640</v>
      </c>
      <c r="F47" s="71" t="n">
        <f aca="false">E47/'Reporting Hebdo'!$E$3</f>
        <v>-9800.39850173106</v>
      </c>
      <c r="G47" s="69" t="s">
        <v>143</v>
      </c>
    </row>
    <row r="48" customFormat="false" ht="14.25" hidden="false" customHeight="false" outlineLevel="0" collapsed="false">
      <c r="A48" s="69" t="s">
        <v>3</v>
      </c>
      <c r="B48" s="70" t="s">
        <v>32</v>
      </c>
      <c r="C48" s="70" t="s">
        <v>110</v>
      </c>
      <c r="D48" s="70" t="s">
        <v>147</v>
      </c>
      <c r="E48" s="71" t="n">
        <v>-1278980</v>
      </c>
      <c r="F48" s="71" t="n">
        <f aca="false">E48/'Reporting Hebdo'!$E$3</f>
        <v>-1949.79244066303</v>
      </c>
      <c r="G48" s="69" t="s">
        <v>143</v>
      </c>
    </row>
    <row r="49" customFormat="false" ht="14.25" hidden="false" customHeight="false" outlineLevel="0" collapsed="false">
      <c r="A49" s="69" t="s">
        <v>3</v>
      </c>
      <c r="B49" s="70" t="s">
        <v>32</v>
      </c>
      <c r="C49" s="70" t="s">
        <v>110</v>
      </c>
      <c r="D49" s="70" t="s">
        <v>160</v>
      </c>
      <c r="E49" s="71" t="n">
        <v>-150824</v>
      </c>
      <c r="F49" s="71" t="n">
        <f aca="false">E49/'Reporting Hebdo'!$E$3</f>
        <v>-229.929705758152</v>
      </c>
      <c r="G49" s="69" t="s">
        <v>143</v>
      </c>
    </row>
    <row r="50" customFormat="false" ht="14.25" hidden="false" customHeight="false" outlineLevel="0" collapsed="false">
      <c r="A50" s="69" t="s">
        <v>3</v>
      </c>
      <c r="B50" s="70" t="s">
        <v>36</v>
      </c>
      <c r="C50" s="70" t="s">
        <v>110</v>
      </c>
      <c r="D50" s="70" t="s">
        <v>165</v>
      </c>
      <c r="E50" s="71" t="n">
        <v>-8342600</v>
      </c>
      <c r="F50" s="71" t="n">
        <f aca="false">E50/'Reporting Hebdo'!$E$3</f>
        <v>-12718.2117120482</v>
      </c>
      <c r="G50" s="69" t="s">
        <v>143</v>
      </c>
    </row>
    <row r="51" customFormat="false" ht="14.25" hidden="false" customHeight="false" outlineLevel="0" collapsed="false">
      <c r="A51" s="69" t="s">
        <v>3</v>
      </c>
      <c r="B51" s="70" t="s">
        <v>36</v>
      </c>
      <c r="C51" s="70" t="s">
        <v>110</v>
      </c>
      <c r="D51" s="70" t="s">
        <v>177</v>
      </c>
      <c r="E51" s="71" t="n">
        <v>-141600</v>
      </c>
      <c r="F51" s="71" t="n">
        <f aca="false">E51/'Reporting Hebdo'!$E$3</f>
        <v>-215.867808408173</v>
      </c>
      <c r="G51" s="69" t="s">
        <v>143</v>
      </c>
    </row>
    <row r="52" customFormat="false" ht="14.25" hidden="false" customHeight="false" outlineLevel="0" collapsed="false">
      <c r="A52" s="69" t="s">
        <v>3</v>
      </c>
      <c r="B52" s="70" t="s">
        <v>36</v>
      </c>
      <c r="C52" s="70" t="s">
        <v>110</v>
      </c>
      <c r="D52" s="70" t="s">
        <v>167</v>
      </c>
      <c r="E52" s="71" t="n">
        <v>-3715569</v>
      </c>
      <c r="F52" s="71" t="n">
        <f aca="false">E52/'Reporting Hebdo'!$E$3</f>
        <v>-5664.34842527788</v>
      </c>
      <c r="G52" s="69" t="s">
        <v>143</v>
      </c>
    </row>
    <row r="53" customFormat="false" ht="14.25" hidden="false" customHeight="false" outlineLevel="0" collapsed="false">
      <c r="A53" s="69" t="s">
        <v>3</v>
      </c>
      <c r="B53" s="70" t="s">
        <v>36</v>
      </c>
      <c r="C53" s="70" t="s">
        <v>110</v>
      </c>
      <c r="D53" s="70" t="s">
        <v>160</v>
      </c>
      <c r="E53" s="71" t="n">
        <v>-2333</v>
      </c>
      <c r="F53" s="71" t="n">
        <f aca="false">E53/'Reporting Hebdo'!$E$3</f>
        <v>-3.55663557214878</v>
      </c>
      <c r="G53" s="69" t="s">
        <v>143</v>
      </c>
    </row>
    <row r="54" customFormat="false" ht="14.25" hidden="false" customHeight="false" outlineLevel="0" collapsed="false">
      <c r="A54" s="69" t="s">
        <v>3</v>
      </c>
      <c r="B54" s="70" t="s">
        <v>36</v>
      </c>
      <c r="C54" s="70" t="s">
        <v>111</v>
      </c>
      <c r="D54" s="70" t="s">
        <v>162</v>
      </c>
      <c r="E54" s="71" t="n">
        <v>-70000</v>
      </c>
      <c r="F54" s="71" t="n">
        <f aca="false">E54/'Reporting Hebdo'!$E$3</f>
        <v>-106.714312066187</v>
      </c>
      <c r="G54" s="69" t="s">
        <v>143</v>
      </c>
    </row>
    <row r="55" customFormat="false" ht="14.25" hidden="false" customHeight="false" outlineLevel="0" collapsed="false">
      <c r="A55" s="69" t="s">
        <v>3</v>
      </c>
      <c r="B55" s="70" t="s">
        <v>36</v>
      </c>
      <c r="C55" s="70" t="s">
        <v>112</v>
      </c>
      <c r="D55" s="70" t="s">
        <v>112</v>
      </c>
      <c r="E55" s="71" t="n">
        <v>-91000</v>
      </c>
      <c r="F55" s="71" t="n">
        <f aca="false">E55/'Reporting Hebdo'!$E$3</f>
        <v>-138.728605686043</v>
      </c>
      <c r="G55" s="69" t="s">
        <v>143</v>
      </c>
    </row>
    <row r="56" customFormat="false" ht="14.25" hidden="false" customHeight="false" outlineLevel="0" collapsed="false">
      <c r="A56" s="69" t="s">
        <v>3</v>
      </c>
      <c r="B56" s="70" t="s">
        <v>43</v>
      </c>
      <c r="C56" s="70" t="s">
        <v>110</v>
      </c>
      <c r="D56" s="70" t="s">
        <v>110</v>
      </c>
      <c r="E56" s="71" t="n">
        <v>-8129491</v>
      </c>
      <c r="F56" s="71" t="n">
        <f aca="false">E56/'Reporting Hebdo'!$E$3</f>
        <v>-12393.3291359037</v>
      </c>
      <c r="G56" s="69" t="s">
        <v>143</v>
      </c>
    </row>
    <row r="57" customFormat="false" ht="14.25" hidden="false" customHeight="false" outlineLevel="0" collapsed="false">
      <c r="A57" s="69" t="s">
        <v>3</v>
      </c>
      <c r="B57" s="70" t="s">
        <v>43</v>
      </c>
      <c r="C57" s="70" t="s">
        <v>110</v>
      </c>
      <c r="D57" s="70" t="s">
        <v>178</v>
      </c>
      <c r="E57" s="71" t="n">
        <v>-13597292</v>
      </c>
      <c r="F57" s="71" t="n">
        <f aca="false">E57/'Reporting Hebdo'!$E$3</f>
        <v>-20728.938024901</v>
      </c>
      <c r="G57" s="69" t="s">
        <v>143</v>
      </c>
    </row>
    <row r="58" customFormat="false" ht="14.25" hidden="false" customHeight="false" outlineLevel="0" collapsed="false">
      <c r="A58" s="69" t="s">
        <v>3</v>
      </c>
      <c r="B58" s="70" t="s">
        <v>43</v>
      </c>
      <c r="C58" s="70" t="s">
        <v>115</v>
      </c>
      <c r="D58" s="70" t="s">
        <v>115</v>
      </c>
      <c r="E58" s="71" t="n">
        <v>-22746612</v>
      </c>
      <c r="F58" s="71" t="n">
        <f aca="false">E58/'Reporting Hebdo'!$E$3</f>
        <v>-34676.9864488069</v>
      </c>
      <c r="G58" s="69" t="s">
        <v>143</v>
      </c>
    </row>
    <row r="59" customFormat="false" ht="14.25" hidden="false" customHeight="false" outlineLevel="0" collapsed="false">
      <c r="A59" s="69" t="s">
        <v>3</v>
      </c>
      <c r="B59" s="70" t="s">
        <v>43</v>
      </c>
      <c r="C59" s="70" t="s">
        <v>115</v>
      </c>
      <c r="D59" s="70" t="s">
        <v>179</v>
      </c>
      <c r="E59" s="71" t="n">
        <v>-3816546</v>
      </c>
      <c r="F59" s="71" t="n">
        <f aca="false">E59/'Reporting Hebdo'!$E$3</f>
        <v>-5818.2868694137</v>
      </c>
      <c r="G59" s="69" t="s">
        <v>143</v>
      </c>
    </row>
    <row r="60" customFormat="false" ht="14.25" hidden="false" customHeight="false" outlineLevel="0" collapsed="false">
      <c r="A60" s="69" t="s">
        <v>3</v>
      </c>
      <c r="B60" s="70" t="s">
        <v>43</v>
      </c>
      <c r="C60" s="70" t="s">
        <v>111</v>
      </c>
      <c r="D60" s="70" t="s">
        <v>180</v>
      </c>
      <c r="E60" s="71" t="n">
        <v>-9500000</v>
      </c>
      <c r="F60" s="71" t="n">
        <f aca="false">E60/'Reporting Hebdo'!$E$3</f>
        <v>-14482.656637554</v>
      </c>
      <c r="G60" s="69" t="s">
        <v>143</v>
      </c>
    </row>
    <row r="61" customFormat="false" ht="14.25" hidden="false" customHeight="false" outlineLevel="0" collapsed="false">
      <c r="A61" s="69" t="s">
        <v>3</v>
      </c>
      <c r="B61" s="70" t="s">
        <v>43</v>
      </c>
      <c r="C61" s="70" t="s">
        <v>112</v>
      </c>
      <c r="D61" s="70" t="s">
        <v>181</v>
      </c>
      <c r="E61" s="71" t="n">
        <v>-16566974</v>
      </c>
      <c r="F61" s="71" t="n">
        <f aca="false">E61/'Reporting Hebdo'!$E$3</f>
        <v>-25256.1890489773</v>
      </c>
      <c r="G61" s="69" t="s">
        <v>143</v>
      </c>
    </row>
    <row r="62" customFormat="false" ht="14.25" hidden="false" customHeight="false" outlineLevel="0" collapsed="false">
      <c r="A62" s="69" t="s">
        <v>3</v>
      </c>
      <c r="B62" s="70" t="s">
        <v>43</v>
      </c>
      <c r="C62" s="70" t="s">
        <v>116</v>
      </c>
      <c r="D62" s="70" t="s">
        <v>182</v>
      </c>
      <c r="E62" s="71" t="n">
        <v>-6343636</v>
      </c>
      <c r="F62" s="71" t="n">
        <f aca="false">E62/'Reporting Hebdo'!$E$3</f>
        <v>-9670.81073911857</v>
      </c>
      <c r="G62" s="69" t="s">
        <v>143</v>
      </c>
    </row>
    <row r="63" customFormat="false" ht="14.25" hidden="false" customHeight="false" outlineLevel="0" collapsed="false">
      <c r="A63" s="69" t="s">
        <v>3</v>
      </c>
      <c r="B63" s="70" t="s">
        <v>43</v>
      </c>
      <c r="C63" s="70" t="s">
        <v>116</v>
      </c>
      <c r="D63" s="70" t="s">
        <v>182</v>
      </c>
      <c r="E63" s="71" t="n">
        <v>-6343636</v>
      </c>
      <c r="F63" s="71" t="n">
        <f aca="false">E63/'Reporting Hebdo'!$E$3</f>
        <v>-9670.81073911857</v>
      </c>
      <c r="G63" s="69" t="s">
        <v>143</v>
      </c>
    </row>
    <row r="64" customFormat="false" ht="14.25" hidden="false" customHeight="false" outlineLevel="0" collapsed="false">
      <c r="A64" s="69" t="s">
        <v>3</v>
      </c>
      <c r="B64" s="70" t="s">
        <v>43</v>
      </c>
      <c r="C64" s="70" t="s">
        <v>116</v>
      </c>
      <c r="D64" s="70" t="s">
        <v>183</v>
      </c>
      <c r="E64" s="71" t="n">
        <v>-11597990</v>
      </c>
      <c r="F64" s="71" t="n">
        <f aca="false">E64/'Reporting Hebdo'!$E$3</f>
        <v>-17681.0217742931</v>
      </c>
      <c r="G64" s="69" t="s">
        <v>143</v>
      </c>
    </row>
    <row r="65" customFormat="false" ht="14.25" hidden="false" customHeight="false" outlineLevel="0" collapsed="false">
      <c r="A65" s="69" t="s">
        <v>3</v>
      </c>
      <c r="B65" s="70" t="s">
        <v>43</v>
      </c>
      <c r="C65" s="70" t="s">
        <v>117</v>
      </c>
      <c r="D65" s="70" t="s">
        <v>184</v>
      </c>
      <c r="E65" s="71" t="n">
        <v>-15000000</v>
      </c>
      <c r="F65" s="71" t="n">
        <f aca="false">E65/'Reporting Hebdo'!$E$3</f>
        <v>-22867.3525856116</v>
      </c>
      <c r="G65" s="69" t="s">
        <v>143</v>
      </c>
    </row>
    <row r="66" customFormat="false" ht="14.25" hidden="false" customHeight="false" outlineLevel="0" collapsed="false">
      <c r="A66" s="69" t="s">
        <v>3</v>
      </c>
      <c r="B66" s="70" t="s">
        <v>43</v>
      </c>
      <c r="C66" s="70" t="s">
        <v>114</v>
      </c>
      <c r="D66" s="70" t="s">
        <v>185</v>
      </c>
      <c r="E66" s="71" t="n">
        <v>3600000</v>
      </c>
      <c r="F66" s="71" t="n">
        <f aca="false">E66/'Reporting Hebdo'!$E$3</f>
        <v>5488.16462054677</v>
      </c>
      <c r="G66" s="69" t="s">
        <v>143</v>
      </c>
    </row>
    <row r="67" customFormat="false" ht="14.25" hidden="false" customHeight="false" outlineLevel="0" collapsed="false">
      <c r="A67" s="69" t="s">
        <v>3</v>
      </c>
      <c r="B67" s="70" t="s">
        <v>50</v>
      </c>
      <c r="C67" s="70" t="s">
        <v>110</v>
      </c>
      <c r="D67" s="70" t="s">
        <v>186</v>
      </c>
      <c r="E67" s="71" t="n">
        <v>-21000</v>
      </c>
      <c r="F67" s="71" t="n">
        <f aca="false">E67/'Reporting Hebdo'!$E$3</f>
        <v>-32.0142936198562</v>
      </c>
      <c r="G67" s="69" t="s">
        <v>143</v>
      </c>
    </row>
    <row r="68" customFormat="false" ht="14.25" hidden="false" customHeight="false" outlineLevel="0" collapsed="false">
      <c r="A68" s="69" t="s">
        <v>3</v>
      </c>
      <c r="B68" s="70" t="s">
        <v>50</v>
      </c>
      <c r="C68" s="70" t="s">
        <v>110</v>
      </c>
      <c r="D68" s="70" t="s">
        <v>142</v>
      </c>
      <c r="E68" s="71" t="n">
        <v>-872957</v>
      </c>
      <c r="F68" s="71" t="n">
        <f aca="false">E68/'Reporting Hebdo'!$E$3</f>
        <v>-1330.81436740518</v>
      </c>
      <c r="G68" s="69" t="s">
        <v>143</v>
      </c>
    </row>
    <row r="69" customFormat="false" ht="14.25" hidden="false" customHeight="false" outlineLevel="0" collapsed="false">
      <c r="A69" s="69" t="s">
        <v>3</v>
      </c>
      <c r="B69" s="70" t="s">
        <v>50</v>
      </c>
      <c r="C69" s="70" t="s">
        <v>110</v>
      </c>
      <c r="D69" s="70" t="s">
        <v>142</v>
      </c>
      <c r="E69" s="71" t="n">
        <v>-442184</v>
      </c>
      <c r="F69" s="71" t="n">
        <f aca="false">E69/'Reporting Hebdo'!$E$3</f>
        <v>-674.105162381071</v>
      </c>
      <c r="G69" s="69" t="s">
        <v>143</v>
      </c>
    </row>
    <row r="70" customFormat="false" ht="14.25" hidden="false" customHeight="false" outlineLevel="0" collapsed="false">
      <c r="A70" s="69" t="s">
        <v>3</v>
      </c>
      <c r="B70" s="70" t="s">
        <v>50</v>
      </c>
      <c r="C70" s="70" t="s">
        <v>110</v>
      </c>
      <c r="D70" s="70" t="s">
        <v>187</v>
      </c>
      <c r="E70" s="71" t="n">
        <v>-236000</v>
      </c>
      <c r="F70" s="71" t="n">
        <f aca="false">E70/'Reporting Hebdo'!$E$3</f>
        <v>-359.779680680289</v>
      </c>
      <c r="G70" s="69" t="s">
        <v>143</v>
      </c>
    </row>
    <row r="71" customFormat="false" ht="14.25" hidden="false" customHeight="false" outlineLevel="0" collapsed="false">
      <c r="A71" s="69" t="s">
        <v>3</v>
      </c>
      <c r="B71" s="70" t="s">
        <v>50</v>
      </c>
      <c r="C71" s="70" t="s">
        <v>110</v>
      </c>
      <c r="D71" s="70" t="s">
        <v>187</v>
      </c>
      <c r="E71" s="71" t="n">
        <v>-649000</v>
      </c>
      <c r="F71" s="71" t="n">
        <f aca="false">E71/'Reporting Hebdo'!$E$3</f>
        <v>-989.394121870793</v>
      </c>
      <c r="G71" s="69" t="s">
        <v>143</v>
      </c>
    </row>
    <row r="72" customFormat="false" ht="14.25" hidden="false" customHeight="false" outlineLevel="0" collapsed="false">
      <c r="A72" s="69" t="s">
        <v>3</v>
      </c>
      <c r="B72" s="70" t="s">
        <v>50</v>
      </c>
      <c r="C72" s="70" t="s">
        <v>110</v>
      </c>
      <c r="D72" s="70" t="s">
        <v>188</v>
      </c>
      <c r="E72" s="71" t="n">
        <v>-50000</v>
      </c>
      <c r="F72" s="71" t="n">
        <f aca="false">E72/'Reporting Hebdo'!$E$3</f>
        <v>-76.2245086187052</v>
      </c>
      <c r="G72" s="69" t="s">
        <v>143</v>
      </c>
    </row>
    <row r="73" customFormat="false" ht="14.25" hidden="false" customHeight="false" outlineLevel="0" collapsed="false">
      <c r="A73" s="69" t="s">
        <v>3</v>
      </c>
      <c r="B73" s="70" t="s">
        <v>50</v>
      </c>
      <c r="C73" s="70" t="s">
        <v>110</v>
      </c>
      <c r="D73" s="70" t="s">
        <v>189</v>
      </c>
      <c r="E73" s="71" t="n">
        <v>-10745020</v>
      </c>
      <c r="F73" s="71" t="n">
        <f aca="false">E73/'Reporting Hebdo'!$E$3</f>
        <v>-16380.6773919632</v>
      </c>
      <c r="G73" s="69" t="s">
        <v>143</v>
      </c>
    </row>
    <row r="74" customFormat="false" ht="14.25" hidden="false" customHeight="false" outlineLevel="0" collapsed="false">
      <c r="A74" s="69" t="s">
        <v>3</v>
      </c>
      <c r="B74" s="70" t="s">
        <v>50</v>
      </c>
      <c r="C74" s="70" t="s">
        <v>110</v>
      </c>
      <c r="D74" s="70" t="s">
        <v>189</v>
      </c>
      <c r="E74" s="71" t="n">
        <v>-401978</v>
      </c>
      <c r="F74" s="71" t="n">
        <f aca="false">E74/'Reporting Hebdo'!$E$3</f>
        <v>-612.811510510598</v>
      </c>
      <c r="G74" s="69" t="s">
        <v>143</v>
      </c>
    </row>
    <row r="75" customFormat="false" ht="14.25" hidden="false" customHeight="false" outlineLevel="0" collapsed="false">
      <c r="A75" s="69" t="s">
        <v>3</v>
      </c>
      <c r="B75" s="70" t="s">
        <v>50</v>
      </c>
      <c r="C75" s="70" t="s">
        <v>110</v>
      </c>
      <c r="D75" s="70" t="s">
        <v>190</v>
      </c>
      <c r="E75" s="71" t="n">
        <v>-324500</v>
      </c>
      <c r="F75" s="71" t="n">
        <f aca="false">E75/'Reporting Hebdo'!$E$3</f>
        <v>-494.697060935397</v>
      </c>
      <c r="G75" s="69" t="s">
        <v>143</v>
      </c>
    </row>
    <row r="76" customFormat="false" ht="14.25" hidden="false" customHeight="false" outlineLevel="0" collapsed="false">
      <c r="A76" s="69" t="s">
        <v>3</v>
      </c>
      <c r="B76" s="70" t="s">
        <v>50</v>
      </c>
      <c r="C76" s="70" t="s">
        <v>110</v>
      </c>
      <c r="D76" s="70" t="s">
        <v>190</v>
      </c>
      <c r="E76" s="71" t="n">
        <v>-649000</v>
      </c>
      <c r="F76" s="71" t="n">
        <f aca="false">E76/'Reporting Hebdo'!$E$3</f>
        <v>-989.394121870793</v>
      </c>
      <c r="G76" s="69" t="s">
        <v>143</v>
      </c>
    </row>
    <row r="77" customFormat="false" ht="14.25" hidden="false" customHeight="false" outlineLevel="0" collapsed="false">
      <c r="A77" s="69" t="s">
        <v>3</v>
      </c>
      <c r="B77" s="70" t="s">
        <v>50</v>
      </c>
      <c r="C77" s="70" t="s">
        <v>110</v>
      </c>
      <c r="D77" s="70" t="s">
        <v>191</v>
      </c>
      <c r="E77" s="71" t="n">
        <v>-895000</v>
      </c>
      <c r="F77" s="71" t="n">
        <f aca="false">E77/'Reporting Hebdo'!$E$3</f>
        <v>-1364.41870427482</v>
      </c>
      <c r="G77" s="69" t="s">
        <v>143</v>
      </c>
    </row>
    <row r="78" customFormat="false" ht="14.25" hidden="false" customHeight="false" outlineLevel="0" collapsed="false">
      <c r="A78" s="69" t="s">
        <v>3</v>
      </c>
      <c r="B78" s="70" t="s">
        <v>50</v>
      </c>
      <c r="C78" s="70" t="s">
        <v>110</v>
      </c>
      <c r="D78" s="70" t="s">
        <v>152</v>
      </c>
      <c r="E78" s="71" t="n">
        <v>-10482986</v>
      </c>
      <c r="F78" s="71" t="n">
        <f aca="false">E78/'Reporting Hebdo'!$E$3</f>
        <v>-15981.2091341353</v>
      </c>
      <c r="G78" s="69" t="s">
        <v>143</v>
      </c>
    </row>
    <row r="79" customFormat="false" ht="14.25" hidden="false" customHeight="false" outlineLevel="0" collapsed="false">
      <c r="A79" s="69" t="s">
        <v>3</v>
      </c>
      <c r="B79" s="70" t="s">
        <v>50</v>
      </c>
      <c r="C79" s="70" t="s">
        <v>110</v>
      </c>
      <c r="D79" s="70" t="s">
        <v>152</v>
      </c>
      <c r="E79" s="71" t="n">
        <v>-6955324</v>
      </c>
      <c r="F79" s="71" t="n">
        <f aca="false">E79/'Reporting Hebdo'!$E$3</f>
        <v>-10603.3230836777</v>
      </c>
      <c r="G79" s="69" t="s">
        <v>143</v>
      </c>
    </row>
    <row r="80" customFormat="false" ht="14.25" hidden="false" customHeight="false" outlineLevel="0" collapsed="false">
      <c r="A80" s="69" t="s">
        <v>3</v>
      </c>
      <c r="B80" s="70" t="s">
        <v>50</v>
      </c>
      <c r="C80" s="70" t="s">
        <v>110</v>
      </c>
      <c r="D80" s="70" t="s">
        <v>192</v>
      </c>
      <c r="E80" s="71" t="n">
        <v>-17342250</v>
      </c>
      <c r="F80" s="71" t="n">
        <f aca="false">E80/'Reporting Hebdo'!$E$3</f>
        <v>-26438.0896918548</v>
      </c>
      <c r="G80" s="69" t="s">
        <v>143</v>
      </c>
    </row>
    <row r="81" customFormat="false" ht="14.25" hidden="false" customHeight="false" outlineLevel="0" collapsed="false">
      <c r="A81" s="69" t="s">
        <v>3</v>
      </c>
      <c r="B81" s="70" t="s">
        <v>50</v>
      </c>
      <c r="C81" s="70" t="s">
        <v>110</v>
      </c>
      <c r="D81" s="70" t="s">
        <v>193</v>
      </c>
      <c r="E81" s="71" t="n">
        <v>-250002</v>
      </c>
      <c r="F81" s="71" t="n">
        <f aca="false">E81/'Reporting Hebdo'!$E$3</f>
        <v>-381.125592073871</v>
      </c>
      <c r="G81" s="69" t="s">
        <v>143</v>
      </c>
    </row>
    <row r="82" customFormat="false" ht="14.25" hidden="false" customHeight="false" outlineLevel="0" collapsed="false">
      <c r="A82" s="69" t="s">
        <v>3</v>
      </c>
      <c r="B82" s="70" t="s">
        <v>50</v>
      </c>
      <c r="C82" s="70" t="s">
        <v>110</v>
      </c>
      <c r="D82" s="70" t="s">
        <v>194</v>
      </c>
      <c r="E82" s="71" t="n">
        <v>-4598460</v>
      </c>
      <c r="F82" s="71" t="n">
        <f aca="false">E82/'Reporting Hebdo'!$E$3</f>
        <v>-7010.30707805542</v>
      </c>
      <c r="G82" s="69" t="s">
        <v>143</v>
      </c>
    </row>
    <row r="83" customFormat="false" ht="14.25" hidden="false" customHeight="false" outlineLevel="0" collapsed="false">
      <c r="A83" s="69" t="s">
        <v>3</v>
      </c>
      <c r="B83" s="70" t="s">
        <v>50</v>
      </c>
      <c r="C83" s="70" t="s">
        <v>110</v>
      </c>
      <c r="D83" s="70" t="s">
        <v>194</v>
      </c>
      <c r="E83" s="71" t="n">
        <v>-1839384</v>
      </c>
      <c r="F83" s="71" t="n">
        <f aca="false">E83/'Reporting Hebdo'!$E$3</f>
        <v>-2804.12283122217</v>
      </c>
      <c r="G83" s="69" t="s">
        <v>143</v>
      </c>
    </row>
    <row r="84" customFormat="false" ht="14.25" hidden="false" customHeight="false" outlineLevel="0" collapsed="false">
      <c r="A84" s="69" t="s">
        <v>3</v>
      </c>
      <c r="B84" s="70" t="s">
        <v>50</v>
      </c>
      <c r="C84" s="70" t="s">
        <v>110</v>
      </c>
      <c r="D84" s="70" t="s">
        <v>195</v>
      </c>
      <c r="E84" s="71" t="n">
        <v>-2478000</v>
      </c>
      <c r="F84" s="71" t="n">
        <f aca="false">E84/'Reporting Hebdo'!$E$3</f>
        <v>-3777.68664714303</v>
      </c>
      <c r="G84" s="69" t="s">
        <v>143</v>
      </c>
    </row>
    <row r="85" customFormat="false" ht="14.25" hidden="false" customHeight="false" outlineLevel="0" collapsed="false">
      <c r="A85" s="69" t="s">
        <v>3</v>
      </c>
      <c r="B85" s="70" t="s">
        <v>50</v>
      </c>
      <c r="C85" s="70" t="s">
        <v>111</v>
      </c>
      <c r="D85" s="70" t="s">
        <v>162</v>
      </c>
      <c r="E85" s="71" t="n">
        <v>-12000000</v>
      </c>
      <c r="F85" s="71" t="n">
        <f aca="false">E85/'Reporting Hebdo'!$E$3</f>
        <v>-18293.8820684892</v>
      </c>
      <c r="G85" s="69" t="s">
        <v>143</v>
      </c>
    </row>
    <row r="86" customFormat="false" ht="14.25" hidden="false" customHeight="false" outlineLevel="0" collapsed="false">
      <c r="A86" s="69" t="s">
        <v>3</v>
      </c>
      <c r="B86" s="70" t="s">
        <v>50</v>
      </c>
      <c r="C86" s="70" t="s">
        <v>112</v>
      </c>
      <c r="D86" s="70" t="s">
        <v>112</v>
      </c>
      <c r="E86" s="71" t="n">
        <v>-4060000</v>
      </c>
      <c r="F86" s="71" t="n">
        <f aca="false">E86/'Reporting Hebdo'!$E$3</f>
        <v>-6189.43009983886</v>
      </c>
      <c r="G86" s="69" t="s">
        <v>143</v>
      </c>
    </row>
    <row r="87" customFormat="false" ht="14.25" hidden="false" customHeight="false" outlineLevel="0" collapsed="false">
      <c r="A87" s="69" t="s">
        <v>3</v>
      </c>
      <c r="B87" s="70" t="s">
        <v>54</v>
      </c>
      <c r="C87" s="70" t="s">
        <v>110</v>
      </c>
      <c r="D87" s="70" t="s">
        <v>196</v>
      </c>
      <c r="E87" s="71" t="n">
        <v>-2289000</v>
      </c>
      <c r="F87" s="71" t="n">
        <f aca="false">E87/'Reporting Hebdo'!$E$3</f>
        <v>-3489.55800456432</v>
      </c>
      <c r="G87" s="69" t="s">
        <v>143</v>
      </c>
    </row>
    <row r="88" customFormat="false" ht="14.25" hidden="false" customHeight="false" outlineLevel="0" collapsed="false">
      <c r="A88" s="69" t="s">
        <v>3</v>
      </c>
      <c r="B88" s="70" t="s">
        <v>54</v>
      </c>
      <c r="C88" s="70" t="s">
        <v>110</v>
      </c>
      <c r="D88" s="70" t="s">
        <v>197</v>
      </c>
      <c r="E88" s="71" t="n">
        <v>-250000</v>
      </c>
      <c r="F88" s="71" t="n">
        <f aca="false">E88/'Reporting Hebdo'!$E$3</f>
        <v>-381.122543093526</v>
      </c>
      <c r="G88" s="69" t="s">
        <v>143</v>
      </c>
    </row>
    <row r="89" customFormat="false" ht="14.25" hidden="false" customHeight="false" outlineLevel="0" collapsed="false">
      <c r="A89" s="69" t="s">
        <v>3</v>
      </c>
      <c r="B89" s="70" t="s">
        <v>57</v>
      </c>
      <c r="C89" s="70" t="s">
        <v>110</v>
      </c>
      <c r="D89" s="70" t="s">
        <v>198</v>
      </c>
      <c r="E89" s="71" t="n">
        <v>-310000</v>
      </c>
      <c r="F89" s="71" t="n">
        <f aca="false">E89/'Reporting Hebdo'!$E$3</f>
        <v>-472.591953435972</v>
      </c>
      <c r="G89" s="69" t="s">
        <v>143</v>
      </c>
    </row>
    <row r="90" customFormat="false" ht="14.25" hidden="false" customHeight="false" outlineLevel="0" collapsed="false">
      <c r="A90" s="69" t="s">
        <v>3</v>
      </c>
      <c r="B90" s="70" t="s">
        <v>57</v>
      </c>
      <c r="C90" s="70" t="s">
        <v>110</v>
      </c>
      <c r="D90" s="70" t="s">
        <v>187</v>
      </c>
      <c r="E90" s="71" t="n">
        <v>-1014800</v>
      </c>
      <c r="F90" s="71" t="n">
        <f aca="false">E90/'Reporting Hebdo'!$E$3</f>
        <v>-1547.05262692524</v>
      </c>
      <c r="G90" s="69" t="s">
        <v>143</v>
      </c>
    </row>
    <row r="91" customFormat="false" ht="14.25" hidden="false" customHeight="false" outlineLevel="0" collapsed="false">
      <c r="A91" s="69" t="s">
        <v>3</v>
      </c>
      <c r="B91" s="70" t="s">
        <v>57</v>
      </c>
      <c r="C91" s="70" t="s">
        <v>110</v>
      </c>
      <c r="D91" s="70" t="s">
        <v>187</v>
      </c>
      <c r="E91" s="71" t="n">
        <v>-118000</v>
      </c>
      <c r="F91" s="71" t="n">
        <f aca="false">E91/'Reporting Hebdo'!$E$3</f>
        <v>-179.889840340144</v>
      </c>
      <c r="G91" s="69" t="s">
        <v>143</v>
      </c>
    </row>
    <row r="92" customFormat="false" ht="14.25" hidden="false" customHeight="false" outlineLevel="0" collapsed="false">
      <c r="A92" s="69" t="s">
        <v>3</v>
      </c>
      <c r="B92" s="70" t="s">
        <v>57</v>
      </c>
      <c r="C92" s="70" t="s">
        <v>110</v>
      </c>
      <c r="D92" s="70" t="s">
        <v>167</v>
      </c>
      <c r="E92" s="71" t="n">
        <v>-1340000</v>
      </c>
      <c r="F92" s="71" t="n">
        <f aca="false">E92/'Reporting Hebdo'!$E$3</f>
        <v>-2042.8168309813</v>
      </c>
      <c r="G92" s="69" t="s">
        <v>143</v>
      </c>
    </row>
    <row r="93" customFormat="false" ht="14.25" hidden="false" customHeight="false" outlineLevel="0" collapsed="false">
      <c r="A93" s="69" t="s">
        <v>3</v>
      </c>
      <c r="B93" s="70" t="s">
        <v>57</v>
      </c>
      <c r="C93" s="70" t="s">
        <v>110</v>
      </c>
      <c r="D93" s="70" t="s">
        <v>199</v>
      </c>
      <c r="E93" s="71" t="n">
        <v>-73160</v>
      </c>
      <c r="F93" s="71" t="n">
        <f aca="false">E93/'Reporting Hebdo'!$E$3</f>
        <v>-111.531701010889</v>
      </c>
      <c r="G93" s="69" t="s">
        <v>143</v>
      </c>
    </row>
    <row r="94" customFormat="false" ht="14.25" hidden="false" customHeight="false" outlineLevel="0" collapsed="false">
      <c r="A94" s="69" t="s">
        <v>3</v>
      </c>
      <c r="B94" s="70" t="s">
        <v>57</v>
      </c>
      <c r="C94" s="70" t="s">
        <v>111</v>
      </c>
      <c r="D94" s="70" t="s">
        <v>162</v>
      </c>
      <c r="E94" s="71" t="n">
        <v>-8000000</v>
      </c>
      <c r="F94" s="71" t="n">
        <f aca="false">E94/'Reporting Hebdo'!$E$3</f>
        <v>-12195.9213789928</v>
      </c>
      <c r="G94" s="69" t="s">
        <v>143</v>
      </c>
    </row>
    <row r="95" customFormat="false" ht="14.25" hidden="false" customHeight="false" outlineLevel="0" collapsed="false">
      <c r="A95" s="69" t="s">
        <v>3</v>
      </c>
      <c r="B95" s="70" t="s">
        <v>57</v>
      </c>
      <c r="C95" s="70" t="s">
        <v>112</v>
      </c>
      <c r="D95" s="70" t="s">
        <v>112</v>
      </c>
      <c r="E95" s="71" t="n">
        <v>-3230000</v>
      </c>
      <c r="F95" s="71" t="n">
        <f aca="false">E95/'Reporting Hebdo'!$E$3</f>
        <v>-4924.10325676836</v>
      </c>
      <c r="G95" s="69" t="s">
        <v>143</v>
      </c>
    </row>
    <row r="96" customFormat="false" ht="14.25" hidden="false" customHeight="false" outlineLevel="0" collapsed="false">
      <c r="A96" s="69" t="s">
        <v>3</v>
      </c>
      <c r="B96" s="70" t="s">
        <v>63</v>
      </c>
      <c r="C96" s="70" t="s">
        <v>110</v>
      </c>
      <c r="D96" s="70" t="s">
        <v>200</v>
      </c>
      <c r="E96" s="71" t="n">
        <v>-336100</v>
      </c>
      <c r="F96" s="71" t="n">
        <f aca="false">E96/'Reporting Hebdo'!$E$3</f>
        <v>-512.381146934936</v>
      </c>
      <c r="G96" s="69" t="s">
        <v>143</v>
      </c>
    </row>
    <row r="97" customFormat="false" ht="14.25" hidden="false" customHeight="false" outlineLevel="0" collapsed="false">
      <c r="A97" s="69" t="s">
        <v>3</v>
      </c>
      <c r="B97" s="70" t="s">
        <v>65</v>
      </c>
      <c r="C97" s="70" t="s">
        <v>111</v>
      </c>
      <c r="D97" s="70" t="s">
        <v>162</v>
      </c>
      <c r="E97" s="71" t="n">
        <v>-3000000</v>
      </c>
      <c r="F97" s="71" t="n">
        <f aca="false">E97/'Reporting Hebdo'!$E$3</f>
        <v>-4573.47051712231</v>
      </c>
      <c r="G97" s="69" t="s">
        <v>143</v>
      </c>
    </row>
    <row r="98" customFormat="false" ht="14.25" hidden="false" customHeight="false" outlineLevel="0" collapsed="false">
      <c r="A98" s="69" t="s">
        <v>3</v>
      </c>
      <c r="B98" s="70" t="s">
        <v>65</v>
      </c>
      <c r="C98" s="70" t="s">
        <v>112</v>
      </c>
      <c r="D98" s="70" t="s">
        <v>112</v>
      </c>
      <c r="E98" s="71" t="n">
        <v>-968000</v>
      </c>
      <c r="F98" s="71" t="n">
        <f aca="false">E98/'Reporting Hebdo'!$E$3</f>
        <v>-1475.70648685813</v>
      </c>
      <c r="G98" s="69" t="s">
        <v>143</v>
      </c>
    </row>
    <row r="99" customFormat="false" ht="14.25" hidden="false" customHeight="false" outlineLevel="0" collapsed="false">
      <c r="A99" s="69" t="s">
        <v>4</v>
      </c>
      <c r="B99" s="70" t="s">
        <v>28</v>
      </c>
      <c r="C99" s="70" t="s">
        <v>110</v>
      </c>
      <c r="D99" s="70" t="s">
        <v>201</v>
      </c>
      <c r="E99" s="71" t="n">
        <v>-354000</v>
      </c>
      <c r="F99" s="71" t="n">
        <f aca="false">E99/'Reporting Hebdo'!$E$3</f>
        <v>-539.669521020433</v>
      </c>
      <c r="G99" s="69" t="s">
        <v>143</v>
      </c>
    </row>
    <row r="100" customFormat="false" ht="14.25" hidden="false" customHeight="false" outlineLevel="0" collapsed="false">
      <c r="A100" s="69" t="s">
        <v>4</v>
      </c>
      <c r="B100" s="70" t="s">
        <v>28</v>
      </c>
      <c r="C100" s="70" t="s">
        <v>110</v>
      </c>
      <c r="D100" s="70" t="s">
        <v>202</v>
      </c>
      <c r="E100" s="71" t="n">
        <v>-987840</v>
      </c>
      <c r="F100" s="71" t="n">
        <f aca="false">E100/'Reporting Hebdo'!$E$3</f>
        <v>-1505.95237187803</v>
      </c>
      <c r="G100" s="69" t="s">
        <v>143</v>
      </c>
    </row>
    <row r="101" customFormat="false" ht="14.25" hidden="false" customHeight="false" outlineLevel="0" collapsed="false">
      <c r="A101" s="69" t="s">
        <v>4</v>
      </c>
      <c r="B101" s="70" t="s">
        <v>28</v>
      </c>
      <c r="C101" s="70" t="s">
        <v>110</v>
      </c>
      <c r="D101" s="70" t="s">
        <v>203</v>
      </c>
      <c r="E101" s="71" t="n">
        <v>-448160</v>
      </c>
      <c r="F101" s="71" t="n">
        <f aca="false">E101/'Reporting Hebdo'!$E$3</f>
        <v>-683.215515651178</v>
      </c>
      <c r="G101" s="69" t="s">
        <v>143</v>
      </c>
    </row>
    <row r="102" customFormat="false" ht="14.25" hidden="false" customHeight="false" outlineLevel="0" collapsed="false">
      <c r="A102" s="69" t="s">
        <v>4</v>
      </c>
      <c r="B102" s="70" t="s">
        <v>28</v>
      </c>
      <c r="C102" s="70" t="s">
        <v>110</v>
      </c>
      <c r="D102" s="70" t="s">
        <v>204</v>
      </c>
      <c r="E102" s="71" t="n">
        <v>-4287294</v>
      </c>
      <c r="F102" s="71" t="n">
        <f aca="false">E102/'Reporting Hebdo'!$E$3</f>
        <v>-6535.93756907846</v>
      </c>
      <c r="G102" s="69" t="s">
        <v>143</v>
      </c>
    </row>
    <row r="103" customFormat="false" ht="14.25" hidden="false" customHeight="false" outlineLevel="0" collapsed="false">
      <c r="A103" s="69" t="s">
        <v>4</v>
      </c>
      <c r="B103" s="70" t="s">
        <v>28</v>
      </c>
      <c r="C103" s="70" t="s">
        <v>110</v>
      </c>
      <c r="D103" s="70" t="s">
        <v>205</v>
      </c>
      <c r="E103" s="71" t="n">
        <v>-725700</v>
      </c>
      <c r="F103" s="71" t="n">
        <f aca="false">E103/'Reporting Hebdo'!$E$3</f>
        <v>-1106.32251809189</v>
      </c>
      <c r="G103" s="69" t="s">
        <v>143</v>
      </c>
    </row>
    <row r="104" customFormat="false" ht="14.25" hidden="false" customHeight="false" outlineLevel="0" collapsed="false">
      <c r="A104" s="69" t="s">
        <v>4</v>
      </c>
      <c r="B104" s="70" t="s">
        <v>28</v>
      </c>
      <c r="C104" s="70" t="s">
        <v>110</v>
      </c>
      <c r="D104" s="70" t="s">
        <v>206</v>
      </c>
      <c r="E104" s="71" t="n">
        <v>-894657</v>
      </c>
      <c r="F104" s="71" t="n">
        <f aca="false">E104/'Reporting Hebdo'!$E$3</f>
        <v>-1363.8958041457</v>
      </c>
      <c r="G104" s="69" t="s">
        <v>143</v>
      </c>
    </row>
    <row r="105" customFormat="false" ht="14.25" hidden="false" customHeight="false" outlineLevel="0" collapsed="false">
      <c r="A105" s="69" t="s">
        <v>4</v>
      </c>
      <c r="B105" s="70" t="s">
        <v>28</v>
      </c>
      <c r="C105" s="70" t="s">
        <v>110</v>
      </c>
      <c r="D105" s="70" t="s">
        <v>172</v>
      </c>
      <c r="E105" s="71" t="n">
        <v>-3441667</v>
      </c>
      <c r="F105" s="71" t="n">
        <f aca="false">E105/'Reporting Hebdo'!$E$3</f>
        <v>-5246.78751808427</v>
      </c>
      <c r="G105" s="69" t="s">
        <v>143</v>
      </c>
    </row>
    <row r="106" customFormat="false" ht="14.25" hidden="false" customHeight="false" outlineLevel="0" collapsed="false">
      <c r="A106" s="69" t="s">
        <v>4</v>
      </c>
      <c r="B106" s="70" t="s">
        <v>28</v>
      </c>
      <c r="C106" s="70" t="s">
        <v>110</v>
      </c>
      <c r="D106" s="70" t="s">
        <v>207</v>
      </c>
      <c r="E106" s="71" t="n">
        <v>-17700000</v>
      </c>
      <c r="F106" s="71" t="n">
        <f aca="false">E106/'Reporting Hebdo'!$E$3</f>
        <v>-26983.4760510216</v>
      </c>
      <c r="G106" s="69" t="s">
        <v>143</v>
      </c>
    </row>
    <row r="107" customFormat="false" ht="14.25" hidden="false" customHeight="false" outlineLevel="0" collapsed="false">
      <c r="A107" s="72" t="s">
        <v>3</v>
      </c>
      <c r="B107" s="73" t="s">
        <v>21</v>
      </c>
      <c r="C107" s="73" t="s">
        <v>110</v>
      </c>
      <c r="D107" s="73" t="s">
        <v>208</v>
      </c>
      <c r="E107" s="74" t="n">
        <v>-6540976</v>
      </c>
      <c r="F107" s="74" t="n">
        <f aca="false">E107/'Reporting Hebdo'!$E$3</f>
        <v>-9971.65362973488</v>
      </c>
      <c r="G107" s="72" t="s">
        <v>209</v>
      </c>
    </row>
    <row r="108" customFormat="false" ht="14.25" hidden="false" customHeight="false" outlineLevel="0" collapsed="false">
      <c r="A108" s="72" t="s">
        <v>3</v>
      </c>
      <c r="B108" s="73" t="s">
        <v>21</v>
      </c>
      <c r="C108" s="73" t="s">
        <v>110</v>
      </c>
      <c r="D108" s="73" t="s">
        <v>210</v>
      </c>
      <c r="E108" s="74" t="n">
        <v>-761565</v>
      </c>
      <c r="F108" s="74" t="n">
        <f aca="false">E108/'Reporting Hebdo'!$E$3</f>
        <v>-1160.99835812408</v>
      </c>
      <c r="G108" s="72" t="s">
        <v>209</v>
      </c>
    </row>
    <row r="109" customFormat="false" ht="14.25" hidden="false" customHeight="false" outlineLevel="0" collapsed="false">
      <c r="A109" s="72" t="s">
        <v>3</v>
      </c>
      <c r="B109" s="73" t="s">
        <v>21</v>
      </c>
      <c r="C109" s="73" t="s">
        <v>110</v>
      </c>
      <c r="D109" s="73" t="s">
        <v>178</v>
      </c>
      <c r="E109" s="74" t="n">
        <v>-43972340</v>
      </c>
      <c r="F109" s="74" t="n">
        <f aca="false">E109/'Reporting Hebdo'!$E$3</f>
        <v>-67035.4001862927</v>
      </c>
      <c r="G109" s="72" t="s">
        <v>209</v>
      </c>
    </row>
    <row r="110" customFormat="false" ht="14.25" hidden="false" customHeight="false" outlineLevel="0" collapsed="false">
      <c r="A110" s="72" t="s">
        <v>3</v>
      </c>
      <c r="B110" s="73" t="s">
        <v>21</v>
      </c>
      <c r="C110" s="73" t="s">
        <v>110</v>
      </c>
      <c r="D110" s="73" t="s">
        <v>178</v>
      </c>
      <c r="E110" s="74" t="n">
        <v>-16101903</v>
      </c>
      <c r="F110" s="74" t="n">
        <f aca="false">E110/'Reporting Hebdo'!$E$3</f>
        <v>-24547.1928800211</v>
      </c>
      <c r="G110" s="72" t="s">
        <v>209</v>
      </c>
    </row>
    <row r="111" customFormat="false" ht="14.25" hidden="false" customHeight="false" outlineLevel="0" collapsed="false">
      <c r="A111" s="72" t="s">
        <v>3</v>
      </c>
      <c r="B111" s="73" t="s">
        <v>21</v>
      </c>
      <c r="C111" s="73" t="s">
        <v>110</v>
      </c>
      <c r="D111" s="73" t="s">
        <v>211</v>
      </c>
      <c r="E111" s="74" t="n">
        <v>-26238280</v>
      </c>
      <c r="F111" s="74" t="n">
        <f aca="false">E111/'Reporting Hebdo'!$E$3</f>
        <v>-40000</v>
      </c>
      <c r="G111" s="72" t="s">
        <v>209</v>
      </c>
    </row>
    <row r="112" customFormat="false" ht="14.25" hidden="false" customHeight="false" outlineLevel="0" collapsed="false">
      <c r="A112" s="72" t="s">
        <v>3</v>
      </c>
      <c r="B112" s="73" t="s">
        <v>21</v>
      </c>
      <c r="C112" s="73" t="s">
        <v>110</v>
      </c>
      <c r="D112" s="73" t="s">
        <v>212</v>
      </c>
      <c r="E112" s="74" t="n">
        <v>-910000</v>
      </c>
      <c r="F112" s="74" t="n">
        <f aca="false">E112/'Reporting Hebdo'!$E$3</f>
        <v>-1387.28605686043</v>
      </c>
      <c r="G112" s="72" t="s">
        <v>209</v>
      </c>
    </row>
    <row r="113" customFormat="false" ht="14.25" hidden="false" customHeight="false" outlineLevel="0" collapsed="false">
      <c r="A113" s="72" t="s">
        <v>3</v>
      </c>
      <c r="B113" s="73" t="s">
        <v>21</v>
      </c>
      <c r="C113" s="73" t="s">
        <v>110</v>
      </c>
      <c r="D113" s="73" t="s">
        <v>213</v>
      </c>
      <c r="E113" s="74" t="n">
        <v>-1318473</v>
      </c>
      <c r="F113" s="74" t="n">
        <f aca="false">E113/'Reporting Hebdo'!$E$3</f>
        <v>-2009.9991310406</v>
      </c>
      <c r="G113" s="72" t="s">
        <v>209</v>
      </c>
    </row>
    <row r="114" customFormat="false" ht="14.25" hidden="false" customHeight="false" outlineLevel="0" collapsed="false">
      <c r="A114" s="72" t="s">
        <v>3</v>
      </c>
      <c r="B114" s="73" t="s">
        <v>21</v>
      </c>
      <c r="C114" s="73" t="s">
        <v>110</v>
      </c>
      <c r="D114" s="73" t="s">
        <v>214</v>
      </c>
      <c r="E114" s="74" t="n">
        <v>-62745367</v>
      </c>
      <c r="F114" s="74" t="n">
        <f aca="false">E114/'Reporting Hebdo'!$E$3</f>
        <v>-95654.6953535064</v>
      </c>
      <c r="G114" s="72" t="s">
        <v>209</v>
      </c>
    </row>
    <row r="115" customFormat="false" ht="14.25" hidden="false" customHeight="false" outlineLevel="0" collapsed="false">
      <c r="A115" s="72" t="s">
        <v>3</v>
      </c>
      <c r="B115" s="73" t="s">
        <v>21</v>
      </c>
      <c r="C115" s="73" t="s">
        <v>110</v>
      </c>
      <c r="D115" s="73" t="s">
        <v>215</v>
      </c>
      <c r="E115" s="74" t="n">
        <v>-340000</v>
      </c>
      <c r="F115" s="74" t="n">
        <f aca="false">E115/'Reporting Hebdo'!$E$3</f>
        <v>-518.326658607195</v>
      </c>
      <c r="G115" s="72" t="s">
        <v>209</v>
      </c>
    </row>
    <row r="116" customFormat="false" ht="14.25" hidden="false" customHeight="false" outlineLevel="0" collapsed="false">
      <c r="A116" s="72" t="s">
        <v>3</v>
      </c>
      <c r="B116" s="73" t="s">
        <v>21</v>
      </c>
      <c r="C116" s="73" t="s">
        <v>111</v>
      </c>
      <c r="D116" s="73" t="s">
        <v>162</v>
      </c>
      <c r="E116" s="74" t="n">
        <v>-137192873</v>
      </c>
      <c r="F116" s="74" t="n">
        <f aca="false">E116/'Reporting Hebdo'!$E$3</f>
        <v>-209149.186608269</v>
      </c>
      <c r="G116" s="72" t="s">
        <v>209</v>
      </c>
    </row>
    <row r="117" customFormat="false" ht="14.25" hidden="false" customHeight="false" outlineLevel="0" collapsed="false">
      <c r="A117" s="72" t="s">
        <v>3</v>
      </c>
      <c r="B117" s="73" t="s">
        <v>21</v>
      </c>
      <c r="C117" s="73" t="s">
        <v>112</v>
      </c>
      <c r="D117" s="73" t="s">
        <v>112</v>
      </c>
      <c r="E117" s="74" t="n">
        <v>-42076130</v>
      </c>
      <c r="F117" s="74" t="n">
        <f aca="false">E117/'Reporting Hebdo'!$E$3</f>
        <v>-64144.6466765352</v>
      </c>
      <c r="G117" s="72" t="s">
        <v>209</v>
      </c>
    </row>
    <row r="118" customFormat="false" ht="14.25" hidden="false" customHeight="false" outlineLevel="0" collapsed="false">
      <c r="A118" s="72" t="s">
        <v>3</v>
      </c>
      <c r="B118" s="73" t="s">
        <v>21</v>
      </c>
      <c r="C118" s="73" t="s">
        <v>113</v>
      </c>
      <c r="D118" s="73" t="s">
        <v>216</v>
      </c>
      <c r="E118" s="74" t="n">
        <v>-15365000</v>
      </c>
      <c r="F118" s="74" t="n">
        <f aca="false">E118/'Reporting Hebdo'!$E$3</f>
        <v>-23423.7914985281</v>
      </c>
      <c r="G118" s="72" t="s">
        <v>209</v>
      </c>
    </row>
    <row r="119" customFormat="false" ht="14.25" hidden="false" customHeight="false" outlineLevel="0" collapsed="false">
      <c r="A119" s="72" t="s">
        <v>3</v>
      </c>
      <c r="B119" s="73" t="s">
        <v>28</v>
      </c>
      <c r="C119" s="73" t="s">
        <v>110</v>
      </c>
      <c r="D119" s="73" t="s">
        <v>178</v>
      </c>
      <c r="E119" s="74" t="n">
        <v>-23852605</v>
      </c>
      <c r="F119" s="74" t="n">
        <f aca="false">E119/'Reporting Hebdo'!$E$3</f>
        <v>-36363.0619080214</v>
      </c>
      <c r="G119" s="72" t="s">
        <v>209</v>
      </c>
    </row>
    <row r="120" customFormat="false" ht="14.25" hidden="false" customHeight="false" outlineLevel="0" collapsed="false">
      <c r="A120" s="72" t="s">
        <v>3</v>
      </c>
      <c r="B120" s="73" t="s">
        <v>28</v>
      </c>
      <c r="C120" s="73" t="s">
        <v>110</v>
      </c>
      <c r="D120" s="73" t="s">
        <v>178</v>
      </c>
      <c r="E120" s="74" t="n">
        <v>-48315781</v>
      </c>
      <c r="F120" s="74" t="n">
        <f aca="false">E120/'Reporting Hebdo'!$E$3</f>
        <v>-73656.9333050795</v>
      </c>
      <c r="G120" s="72" t="s">
        <v>209</v>
      </c>
    </row>
    <row r="121" customFormat="false" ht="14.25" hidden="false" customHeight="false" outlineLevel="0" collapsed="false">
      <c r="A121" s="72" t="s">
        <v>3</v>
      </c>
      <c r="B121" s="73" t="s">
        <v>28</v>
      </c>
      <c r="C121" s="73" t="s">
        <v>110</v>
      </c>
      <c r="D121" s="73" t="s">
        <v>178</v>
      </c>
      <c r="E121" s="74" t="n">
        <v>-14562716</v>
      </c>
      <c r="F121" s="74" t="n">
        <f aca="false">E121/'Reporting Hebdo'!$E$3</f>
        <v>-22200.7174250751</v>
      </c>
      <c r="G121" s="72" t="s">
        <v>209</v>
      </c>
    </row>
    <row r="122" customFormat="false" ht="14.25" hidden="false" customHeight="false" outlineLevel="0" collapsed="false">
      <c r="A122" s="72" t="s">
        <v>3</v>
      </c>
      <c r="B122" s="73" t="s">
        <v>28</v>
      </c>
      <c r="C122" s="73" t="s">
        <v>110</v>
      </c>
      <c r="D122" s="73" t="s">
        <v>217</v>
      </c>
      <c r="E122" s="74" t="n">
        <v>-3679785</v>
      </c>
      <c r="F122" s="74" t="n">
        <f aca="false">E122/'Reporting Hebdo'!$E$3</f>
        <v>-5609.79606894964</v>
      </c>
      <c r="G122" s="72" t="s">
        <v>209</v>
      </c>
    </row>
    <row r="123" customFormat="false" ht="14.25" hidden="false" customHeight="false" outlineLevel="0" collapsed="false">
      <c r="A123" s="72" t="s">
        <v>3</v>
      </c>
      <c r="B123" s="73" t="s">
        <v>28</v>
      </c>
      <c r="C123" s="73" t="s">
        <v>111</v>
      </c>
      <c r="D123" s="73" t="s">
        <v>162</v>
      </c>
      <c r="E123" s="74" t="n">
        <v>-54195956</v>
      </c>
      <c r="F123" s="74" t="n">
        <f aca="false">E123/'Reporting Hebdo'!$E$3</f>
        <v>-82621.2023044194</v>
      </c>
      <c r="G123" s="72" t="s">
        <v>209</v>
      </c>
    </row>
    <row r="124" customFormat="false" ht="14.25" hidden="false" customHeight="false" outlineLevel="0" collapsed="false">
      <c r="A124" s="72" t="s">
        <v>3</v>
      </c>
      <c r="B124" s="73" t="s">
        <v>32</v>
      </c>
      <c r="C124" s="73" t="s">
        <v>110</v>
      </c>
      <c r="D124" s="73" t="s">
        <v>178</v>
      </c>
      <c r="E124" s="74" t="n">
        <v>-10038027</v>
      </c>
      <c r="F124" s="74" t="n">
        <f aca="false">E124/'Reporting Hebdo'!$E$3</f>
        <v>-15302.8735115259</v>
      </c>
      <c r="G124" s="72" t="s">
        <v>209</v>
      </c>
    </row>
    <row r="125" customFormat="false" ht="14.25" hidden="false" customHeight="false" outlineLevel="0" collapsed="false">
      <c r="A125" s="72" t="s">
        <v>3</v>
      </c>
      <c r="B125" s="73" t="s">
        <v>32</v>
      </c>
      <c r="C125" s="73" t="s">
        <v>110</v>
      </c>
      <c r="D125" s="73" t="s">
        <v>218</v>
      </c>
      <c r="E125" s="74" t="n">
        <v>-283242233</v>
      </c>
      <c r="F125" s="74" t="n">
        <f aca="false">E125/'Reporting Hebdo'!$E$3</f>
        <v>-431800.000609796</v>
      </c>
      <c r="G125" s="72" t="s">
        <v>209</v>
      </c>
    </row>
    <row r="126" customFormat="false" ht="14.25" hidden="false" customHeight="false" outlineLevel="0" collapsed="false">
      <c r="A126" s="72" t="s">
        <v>3</v>
      </c>
      <c r="B126" s="73" t="s">
        <v>32</v>
      </c>
      <c r="C126" s="73" t="s">
        <v>110</v>
      </c>
      <c r="D126" s="73" t="s">
        <v>21</v>
      </c>
      <c r="E126" s="74" t="n">
        <v>-8594077952</v>
      </c>
      <c r="F126" s="74" t="n">
        <f aca="false">E126/'Reporting Hebdo'!$E$3</f>
        <v>-13101587.378441</v>
      </c>
      <c r="G126" s="72" t="s">
        <v>209</v>
      </c>
    </row>
    <row r="127" customFormat="false" ht="14.25" hidden="false" customHeight="false" outlineLevel="0" collapsed="false">
      <c r="A127" s="72" t="s">
        <v>3</v>
      </c>
      <c r="B127" s="73" t="s">
        <v>32</v>
      </c>
      <c r="C127" s="73" t="s">
        <v>111</v>
      </c>
      <c r="D127" s="73" t="s">
        <v>162</v>
      </c>
      <c r="E127" s="74" t="n">
        <v>-289529132</v>
      </c>
      <c r="F127" s="74" t="n">
        <f aca="false">E127/'Reporting Hebdo'!$E$3</f>
        <v>-441384.316350005</v>
      </c>
      <c r="G127" s="72" t="s">
        <v>209</v>
      </c>
    </row>
    <row r="128" customFormat="false" ht="14.25" hidden="false" customHeight="false" outlineLevel="0" collapsed="false">
      <c r="A128" s="72" t="s">
        <v>3</v>
      </c>
      <c r="B128" s="73" t="s">
        <v>32</v>
      </c>
      <c r="C128" s="73" t="s">
        <v>113</v>
      </c>
      <c r="D128" s="73" t="s">
        <v>216</v>
      </c>
      <c r="E128" s="74" t="n">
        <v>-860588775</v>
      </c>
      <c r="F128" s="74" t="n">
        <f aca="false">E128/'Reporting Hebdo'!$E$3</f>
        <v>-1311959.12994297</v>
      </c>
      <c r="G128" s="72" t="s">
        <v>209</v>
      </c>
    </row>
    <row r="129" customFormat="false" ht="14.25" hidden="false" customHeight="false" outlineLevel="0" collapsed="false">
      <c r="A129" s="72" t="s">
        <v>3</v>
      </c>
      <c r="B129" s="73" t="s">
        <v>36</v>
      </c>
      <c r="C129" s="73" t="s">
        <v>110</v>
      </c>
      <c r="D129" s="73" t="s">
        <v>178</v>
      </c>
      <c r="E129" s="74" t="n">
        <v>-12058169</v>
      </c>
      <c r="F129" s="74" t="n">
        <f aca="false">E129/'Reporting Hebdo'!$E$3</f>
        <v>-18382.5601373261</v>
      </c>
      <c r="G129" s="72" t="s">
        <v>209</v>
      </c>
    </row>
    <row r="130" customFormat="false" ht="14.25" hidden="false" customHeight="false" outlineLevel="0" collapsed="false">
      <c r="A130" s="72" t="s">
        <v>3</v>
      </c>
      <c r="B130" s="73" t="s">
        <v>36</v>
      </c>
      <c r="C130" s="73" t="s">
        <v>110</v>
      </c>
      <c r="D130" s="73" t="s">
        <v>219</v>
      </c>
      <c r="E130" s="74" t="n">
        <v>-3728238700</v>
      </c>
      <c r="F130" s="74" t="n">
        <f aca="false">E130/'Reporting Hebdo'!$E$3</f>
        <v>-5683663.25841481</v>
      </c>
      <c r="G130" s="72" t="s">
        <v>209</v>
      </c>
    </row>
    <row r="131" customFormat="false" ht="14.25" hidden="false" customHeight="false" outlineLevel="0" collapsed="false">
      <c r="A131" s="72" t="s">
        <v>3</v>
      </c>
      <c r="B131" s="73" t="s">
        <v>36</v>
      </c>
      <c r="C131" s="73" t="s">
        <v>110</v>
      </c>
      <c r="D131" s="73" t="s">
        <v>218</v>
      </c>
      <c r="E131" s="74" t="n">
        <v>-405477195</v>
      </c>
      <c r="F131" s="74" t="n">
        <f aca="false">E131/'Reporting Hebdo'!$E$3</f>
        <v>-618145.998899318</v>
      </c>
      <c r="G131" s="72" t="s">
        <v>209</v>
      </c>
    </row>
    <row r="132" customFormat="false" ht="14.25" hidden="false" customHeight="false" outlineLevel="0" collapsed="false">
      <c r="A132" s="72" t="s">
        <v>3</v>
      </c>
      <c r="B132" s="73" t="s">
        <v>36</v>
      </c>
      <c r="C132" s="73" t="s">
        <v>111</v>
      </c>
      <c r="D132" s="73" t="s">
        <v>162</v>
      </c>
      <c r="E132" s="74" t="n">
        <v>-77852380</v>
      </c>
      <c r="F132" s="74" t="n">
        <f aca="false">E132/'Reporting Hebdo'!$E$3</f>
        <v>-118685.188205934</v>
      </c>
      <c r="G132" s="72" t="s">
        <v>209</v>
      </c>
    </row>
    <row r="133" customFormat="false" ht="14.25" hidden="false" customHeight="false" outlineLevel="0" collapsed="false">
      <c r="A133" s="72" t="s">
        <v>3</v>
      </c>
      <c r="B133" s="73" t="s">
        <v>36</v>
      </c>
      <c r="C133" s="73" t="s">
        <v>112</v>
      </c>
      <c r="D133" s="73" t="s">
        <v>112</v>
      </c>
      <c r="E133" s="74" t="n">
        <v>-158880</v>
      </c>
      <c r="F133" s="74" t="n">
        <f aca="false">E133/'Reporting Hebdo'!$E$3</f>
        <v>-242.210998586798</v>
      </c>
      <c r="G133" s="72" t="s">
        <v>209</v>
      </c>
    </row>
    <row r="134" customFormat="false" ht="14.25" hidden="false" customHeight="false" outlineLevel="0" collapsed="false">
      <c r="A134" s="72" t="s">
        <v>3</v>
      </c>
      <c r="B134" s="73" t="s">
        <v>36</v>
      </c>
      <c r="C134" s="73" t="s">
        <v>113</v>
      </c>
      <c r="D134" s="73" t="s">
        <v>216</v>
      </c>
      <c r="E134" s="74" t="n">
        <v>-810588775</v>
      </c>
      <c r="F134" s="74" t="n">
        <f aca="false">E134/'Reporting Hebdo'!$E$3</f>
        <v>-1235734.62132426</v>
      </c>
      <c r="G134" s="72" t="s">
        <v>209</v>
      </c>
    </row>
    <row r="135" customFormat="false" ht="14.25" hidden="false" customHeight="false" outlineLevel="0" collapsed="false">
      <c r="A135" s="72" t="s">
        <v>3</v>
      </c>
      <c r="B135" s="73" t="s">
        <v>43</v>
      </c>
      <c r="C135" s="73" t="s">
        <v>110</v>
      </c>
      <c r="D135" s="73" t="s">
        <v>220</v>
      </c>
      <c r="E135" s="74" t="n">
        <v>-13597292</v>
      </c>
      <c r="F135" s="74" t="n">
        <f aca="false">E135/'Reporting Hebdo'!$E$3</f>
        <v>-20728.938024901</v>
      </c>
      <c r="G135" s="72" t="s">
        <v>209</v>
      </c>
    </row>
    <row r="136" customFormat="false" ht="14.25" hidden="false" customHeight="false" outlineLevel="0" collapsed="false">
      <c r="A136" s="72" t="s">
        <v>3</v>
      </c>
      <c r="B136" s="73" t="s">
        <v>43</v>
      </c>
      <c r="C136" s="73" t="s">
        <v>115</v>
      </c>
      <c r="D136" s="73" t="s">
        <v>221</v>
      </c>
      <c r="E136" s="74" t="n">
        <v>-6780531</v>
      </c>
      <c r="F136" s="74" t="n">
        <f aca="false">E136/'Reporting Hebdo'!$E$3</f>
        <v>-10336.852872978</v>
      </c>
      <c r="G136" s="72" t="s">
        <v>209</v>
      </c>
    </row>
    <row r="137" customFormat="false" ht="14.25" hidden="false" customHeight="false" outlineLevel="0" collapsed="false">
      <c r="A137" s="72" t="s">
        <v>3</v>
      </c>
      <c r="B137" s="73" t="s">
        <v>43</v>
      </c>
      <c r="C137" s="73" t="s">
        <v>115</v>
      </c>
      <c r="D137" s="73" t="s">
        <v>222</v>
      </c>
      <c r="E137" s="74" t="n">
        <v>-6780531</v>
      </c>
      <c r="F137" s="74" t="n">
        <f aca="false">E137/'Reporting Hebdo'!$E$3</f>
        <v>-10336.852872978</v>
      </c>
      <c r="G137" s="72" t="s">
        <v>209</v>
      </c>
    </row>
    <row r="138" customFormat="false" ht="14.25" hidden="false" customHeight="false" outlineLevel="0" collapsed="false">
      <c r="A138" s="72" t="s">
        <v>3</v>
      </c>
      <c r="B138" s="73" t="s">
        <v>43</v>
      </c>
      <c r="C138" s="73" t="s">
        <v>115</v>
      </c>
      <c r="D138" s="73" t="s">
        <v>223</v>
      </c>
      <c r="E138" s="74" t="n">
        <v>-62558158</v>
      </c>
      <c r="F138" s="74" t="n">
        <f aca="false">E138/'Reporting Hebdo'!$E$3</f>
        <v>-95369.2970728264</v>
      </c>
      <c r="G138" s="72" t="s">
        <v>209</v>
      </c>
    </row>
    <row r="139" customFormat="false" ht="14.25" hidden="false" customHeight="false" outlineLevel="0" collapsed="false">
      <c r="A139" s="72" t="s">
        <v>3</v>
      </c>
      <c r="B139" s="73" t="s">
        <v>43</v>
      </c>
      <c r="C139" s="73" t="s">
        <v>111</v>
      </c>
      <c r="D139" s="73" t="s">
        <v>224</v>
      </c>
      <c r="E139" s="74" t="n">
        <v>-12160500</v>
      </c>
      <c r="F139" s="74" t="n">
        <f aca="false">E139/'Reporting Hebdo'!$E$3</f>
        <v>-18538.5627411553</v>
      </c>
      <c r="G139" s="72" t="s">
        <v>209</v>
      </c>
    </row>
    <row r="140" customFormat="false" ht="14.25" hidden="false" customHeight="false" outlineLevel="0" collapsed="false">
      <c r="A140" s="72" t="s">
        <v>3</v>
      </c>
      <c r="B140" s="73" t="s">
        <v>50</v>
      </c>
      <c r="C140" s="73" t="s">
        <v>110</v>
      </c>
      <c r="D140" s="73" t="s">
        <v>225</v>
      </c>
      <c r="E140" s="74" t="n">
        <v>-906277</v>
      </c>
      <c r="F140" s="74" t="n">
        <f aca="false">E140/'Reporting Hebdo'!$E$3</f>
        <v>-1381.61037994869</v>
      </c>
      <c r="G140" s="72" t="s">
        <v>209</v>
      </c>
    </row>
    <row r="141" customFormat="false" ht="14.25" hidden="false" customHeight="false" outlineLevel="0" collapsed="false">
      <c r="A141" s="72" t="s">
        <v>3</v>
      </c>
      <c r="B141" s="73" t="s">
        <v>50</v>
      </c>
      <c r="C141" s="73" t="s">
        <v>110</v>
      </c>
      <c r="D141" s="73" t="s">
        <v>178</v>
      </c>
      <c r="E141" s="74" t="n">
        <v>-47725841</v>
      </c>
      <c r="F141" s="74" t="n">
        <f aca="false">E141/'Reporting Hebdo'!$E$3</f>
        <v>-72757.5755727891</v>
      </c>
      <c r="G141" s="72" t="s">
        <v>209</v>
      </c>
    </row>
    <row r="142" customFormat="false" ht="14.25" hidden="false" customHeight="false" outlineLevel="0" collapsed="false">
      <c r="A142" s="72" t="s">
        <v>3</v>
      </c>
      <c r="B142" s="73" t="s">
        <v>50</v>
      </c>
      <c r="C142" s="73" t="s">
        <v>110</v>
      </c>
      <c r="D142" s="73" t="s">
        <v>21</v>
      </c>
      <c r="E142" s="74" t="n">
        <v>-15231224</v>
      </c>
      <c r="F142" s="74" t="n">
        <f aca="false">E142/'Reporting Hebdo'!$E$3</f>
        <v>-23219.8513012286</v>
      </c>
      <c r="G142" s="72" t="s">
        <v>209</v>
      </c>
    </row>
    <row r="143" customFormat="false" ht="14.25" hidden="false" customHeight="false" outlineLevel="0" collapsed="false">
      <c r="A143" s="72" t="s">
        <v>3</v>
      </c>
      <c r="B143" s="73" t="s">
        <v>50</v>
      </c>
      <c r="C143" s="73" t="s">
        <v>110</v>
      </c>
      <c r="D143" s="73" t="s">
        <v>214</v>
      </c>
      <c r="E143" s="74" t="n">
        <v>-109014663</v>
      </c>
      <c r="F143" s="74" t="n">
        <f aca="false">E143/'Reporting Hebdo'!$E$3</f>
        <v>-166191.782388175</v>
      </c>
      <c r="G143" s="72" t="s">
        <v>209</v>
      </c>
    </row>
    <row r="144" customFormat="false" ht="14.25" hidden="false" customHeight="false" outlineLevel="0" collapsed="false">
      <c r="A144" s="72" t="s">
        <v>3</v>
      </c>
      <c r="B144" s="73" t="s">
        <v>50</v>
      </c>
      <c r="C144" s="73" t="s">
        <v>111</v>
      </c>
      <c r="D144" s="73" t="s">
        <v>162</v>
      </c>
      <c r="E144" s="74" t="n">
        <v>-118993455</v>
      </c>
      <c r="F144" s="74" t="n">
        <f aca="false">E144/'Reporting Hebdo'!$E$3</f>
        <v>-181404.35272434</v>
      </c>
      <c r="G144" s="72" t="s">
        <v>209</v>
      </c>
    </row>
    <row r="145" customFormat="false" ht="14.25" hidden="false" customHeight="false" outlineLevel="0" collapsed="false">
      <c r="A145" s="72" t="s">
        <v>3</v>
      </c>
      <c r="B145" s="73" t="s">
        <v>50</v>
      </c>
      <c r="C145" s="73" t="s">
        <v>112</v>
      </c>
      <c r="D145" s="73" t="s">
        <v>112</v>
      </c>
      <c r="E145" s="74" t="n">
        <v>-46289144</v>
      </c>
      <c r="F145" s="74" t="n">
        <f aca="false">E145/'Reporting Hebdo'!$E$3</f>
        <v>-70567.3451156097</v>
      </c>
      <c r="G145" s="72" t="s">
        <v>209</v>
      </c>
    </row>
    <row r="146" customFormat="false" ht="14.25" hidden="false" customHeight="false" outlineLevel="0" collapsed="false">
      <c r="A146" s="72" t="s">
        <v>3</v>
      </c>
      <c r="B146" s="73" t="s">
        <v>54</v>
      </c>
      <c r="C146" s="73" t="s">
        <v>110</v>
      </c>
      <c r="D146" s="73" t="s">
        <v>178</v>
      </c>
      <c r="E146" s="74" t="n">
        <v>-2539000</v>
      </c>
      <c r="F146" s="74" t="n">
        <f aca="false">E146/'Reporting Hebdo'!$E$3</f>
        <v>-3870.68054765785</v>
      </c>
      <c r="G146" s="72" t="s">
        <v>209</v>
      </c>
    </row>
    <row r="147" customFormat="false" ht="14.25" hidden="false" customHeight="false" outlineLevel="0" collapsed="false">
      <c r="A147" s="72" t="s">
        <v>3</v>
      </c>
      <c r="B147" s="73" t="s">
        <v>54</v>
      </c>
      <c r="C147" s="73" t="s">
        <v>111</v>
      </c>
      <c r="D147" s="73" t="s">
        <v>162</v>
      </c>
      <c r="E147" s="74" t="n">
        <v>-4500000</v>
      </c>
      <c r="F147" s="74" t="n">
        <f aca="false">E147/'Reporting Hebdo'!$E$3</f>
        <v>-6860.20577568347</v>
      </c>
      <c r="G147" s="72" t="s">
        <v>209</v>
      </c>
    </row>
    <row r="148" customFormat="false" ht="14.25" hidden="false" customHeight="false" outlineLevel="0" collapsed="false">
      <c r="A148" s="72" t="s">
        <v>3</v>
      </c>
      <c r="B148" s="73" t="s">
        <v>54</v>
      </c>
      <c r="C148" s="73" t="s">
        <v>113</v>
      </c>
      <c r="D148" s="73" t="s">
        <v>216</v>
      </c>
      <c r="E148" s="74" t="n">
        <v>-14400000</v>
      </c>
      <c r="F148" s="74" t="n">
        <f aca="false">E148/'Reporting Hebdo'!$E$3</f>
        <v>-21952.6584821871</v>
      </c>
      <c r="G148" s="72" t="s">
        <v>209</v>
      </c>
    </row>
    <row r="149" customFormat="false" ht="14.25" hidden="false" customHeight="false" outlineLevel="0" collapsed="false">
      <c r="A149" s="72" t="s">
        <v>3</v>
      </c>
      <c r="B149" s="73" t="s">
        <v>57</v>
      </c>
      <c r="C149" s="73" t="s">
        <v>110</v>
      </c>
      <c r="D149" s="73" t="s">
        <v>226</v>
      </c>
      <c r="E149" s="74" t="n">
        <v>-463565</v>
      </c>
      <c r="F149" s="74" t="n">
        <f aca="false">E149/'Reporting Hebdo'!$E$3</f>
        <v>-706.700286756602</v>
      </c>
      <c r="G149" s="72" t="s">
        <v>209</v>
      </c>
    </row>
    <row r="150" customFormat="false" ht="14.25" hidden="false" customHeight="false" outlineLevel="0" collapsed="false">
      <c r="A150" s="72" t="s">
        <v>3</v>
      </c>
      <c r="B150" s="73" t="s">
        <v>57</v>
      </c>
      <c r="C150" s="73" t="s">
        <v>110</v>
      </c>
      <c r="D150" s="73" t="s">
        <v>226</v>
      </c>
      <c r="E150" s="74" t="n">
        <v>-2926224</v>
      </c>
      <c r="F150" s="74" t="n">
        <f aca="false">E150/'Reporting Hebdo'!$E$3</f>
        <v>-4460.99973016524</v>
      </c>
      <c r="G150" s="72" t="s">
        <v>209</v>
      </c>
    </row>
    <row r="151" customFormat="false" ht="14.25" hidden="false" customHeight="false" outlineLevel="0" collapsed="false">
      <c r="A151" s="72" t="s">
        <v>3</v>
      </c>
      <c r="B151" s="73" t="s">
        <v>57</v>
      </c>
      <c r="C151" s="73" t="s">
        <v>110</v>
      </c>
      <c r="D151" s="73" t="s">
        <v>227</v>
      </c>
      <c r="E151" s="74" t="n">
        <v>-13000000</v>
      </c>
      <c r="F151" s="74" t="n">
        <f aca="false">E151/'Reporting Hebdo'!$E$3</f>
        <v>-19818.3722408634</v>
      </c>
      <c r="G151" s="72" t="s">
        <v>209</v>
      </c>
    </row>
    <row r="152" customFormat="false" ht="14.25" hidden="false" customHeight="false" outlineLevel="0" collapsed="false">
      <c r="A152" s="72" t="s">
        <v>3</v>
      </c>
      <c r="B152" s="73" t="s">
        <v>57</v>
      </c>
      <c r="C152" s="73" t="s">
        <v>110</v>
      </c>
      <c r="D152" s="73" t="s">
        <v>178</v>
      </c>
      <c r="E152" s="74" t="n">
        <v>-14797760</v>
      </c>
      <c r="F152" s="74" t="n">
        <f aca="false">E152/'Reporting Hebdo'!$E$3</f>
        <v>-22559.0396931506</v>
      </c>
      <c r="G152" s="72" t="s">
        <v>209</v>
      </c>
    </row>
    <row r="153" customFormat="false" ht="14.25" hidden="false" customHeight="false" outlineLevel="0" collapsed="false">
      <c r="A153" s="72" t="s">
        <v>3</v>
      </c>
      <c r="B153" s="73" t="s">
        <v>57</v>
      </c>
      <c r="C153" s="73" t="s">
        <v>110</v>
      </c>
      <c r="D153" s="73" t="s">
        <v>178</v>
      </c>
      <c r="E153" s="74" t="n">
        <v>-73160</v>
      </c>
      <c r="F153" s="74" t="n">
        <f aca="false">E153/'Reporting Hebdo'!$E$3</f>
        <v>-111.531701010889</v>
      </c>
      <c r="G153" s="72" t="s">
        <v>209</v>
      </c>
    </row>
    <row r="154" customFormat="false" ht="14.25" hidden="false" customHeight="false" outlineLevel="0" collapsed="false">
      <c r="A154" s="72" t="s">
        <v>3</v>
      </c>
      <c r="B154" s="73" t="s">
        <v>57</v>
      </c>
      <c r="C154" s="73" t="s">
        <v>111</v>
      </c>
      <c r="D154" s="73" t="s">
        <v>162</v>
      </c>
      <c r="E154" s="74" t="n">
        <v>-92565303</v>
      </c>
      <c r="F154" s="74" t="n">
        <f aca="false">E154/'Reporting Hebdo'!$E$3</f>
        <v>-141114.894726331</v>
      </c>
      <c r="G154" s="72" t="s">
        <v>209</v>
      </c>
    </row>
    <row r="155" customFormat="false" ht="14.25" hidden="false" customHeight="false" outlineLevel="0" collapsed="false">
      <c r="A155" s="72" t="s">
        <v>3</v>
      </c>
      <c r="B155" s="73" t="s">
        <v>57</v>
      </c>
      <c r="C155" s="73" t="s">
        <v>112</v>
      </c>
      <c r="D155" s="73" t="s">
        <v>112</v>
      </c>
      <c r="E155" s="74" t="n">
        <v>-21941016</v>
      </c>
      <c r="F155" s="74" t="n">
        <f aca="false">E155/'Reporting Hebdo'!$E$3</f>
        <v>-33448.863263903</v>
      </c>
      <c r="G155" s="72" t="s">
        <v>209</v>
      </c>
    </row>
    <row r="156" customFormat="false" ht="14.25" hidden="false" customHeight="false" outlineLevel="0" collapsed="false">
      <c r="A156" s="72" t="s">
        <v>3</v>
      </c>
      <c r="B156" s="73" t="s">
        <v>57</v>
      </c>
      <c r="C156" s="73" t="s">
        <v>113</v>
      </c>
      <c r="D156" s="73" t="s">
        <v>216</v>
      </c>
      <c r="E156" s="74" t="n">
        <v>-14400000</v>
      </c>
      <c r="F156" s="74" t="n">
        <f aca="false">E156/'Reporting Hebdo'!$E$3</f>
        <v>-21952.6584821871</v>
      </c>
      <c r="G156" s="72" t="s">
        <v>209</v>
      </c>
    </row>
    <row r="157" customFormat="false" ht="14.25" hidden="false" customHeight="false" outlineLevel="0" collapsed="false">
      <c r="A157" s="72" t="s">
        <v>3</v>
      </c>
      <c r="B157" s="73" t="s">
        <v>61</v>
      </c>
      <c r="C157" s="73" t="s">
        <v>111</v>
      </c>
      <c r="D157" s="73" t="s">
        <v>162</v>
      </c>
      <c r="E157" s="74" t="n">
        <v>-22991599</v>
      </c>
      <c r="F157" s="74" t="n">
        <f aca="false">E157/'Reporting Hebdo'!$E$3</f>
        <v>-35050.4667226663</v>
      </c>
      <c r="G157" s="72" t="s">
        <v>209</v>
      </c>
    </row>
    <row r="158" customFormat="false" ht="14.25" hidden="false" customHeight="false" outlineLevel="0" collapsed="false">
      <c r="A158" s="72" t="s">
        <v>3</v>
      </c>
      <c r="B158" s="73" t="s">
        <v>63</v>
      </c>
      <c r="C158" s="73" t="s">
        <v>110</v>
      </c>
      <c r="D158" s="73" t="s">
        <v>187</v>
      </c>
      <c r="E158" s="74" t="n">
        <v>-1239000</v>
      </c>
      <c r="F158" s="74" t="n">
        <f aca="false">E158/'Reporting Hebdo'!$E$3</f>
        <v>-1888.84332357151</v>
      </c>
      <c r="G158" s="72" t="s">
        <v>209</v>
      </c>
    </row>
    <row r="159" customFormat="false" ht="14.25" hidden="false" customHeight="false" outlineLevel="0" collapsed="false">
      <c r="A159" s="72" t="s">
        <v>3</v>
      </c>
      <c r="B159" s="73" t="s">
        <v>63</v>
      </c>
      <c r="C159" s="73" t="s">
        <v>110</v>
      </c>
      <c r="D159" s="73" t="s">
        <v>228</v>
      </c>
      <c r="E159" s="74" t="n">
        <v>-1115127</v>
      </c>
      <c r="F159" s="74" t="n">
        <f aca="false">E159/'Reporting Hebdo'!$E$3</f>
        <v>-1700.00015244902</v>
      </c>
      <c r="G159" s="72" t="s">
        <v>209</v>
      </c>
    </row>
    <row r="160" customFormat="false" ht="14.25" hidden="false" customHeight="false" outlineLevel="0" collapsed="false">
      <c r="A160" s="72" t="s">
        <v>3</v>
      </c>
      <c r="B160" s="73" t="s">
        <v>63</v>
      </c>
      <c r="C160" s="73" t="s">
        <v>110</v>
      </c>
      <c r="D160" s="73" t="s">
        <v>229</v>
      </c>
      <c r="E160" s="74" t="n">
        <v>-1705487</v>
      </c>
      <c r="F160" s="74" t="n">
        <f aca="false">E160/'Reporting Hebdo'!$E$3</f>
        <v>-2599.99817061179</v>
      </c>
      <c r="G160" s="72" t="s">
        <v>209</v>
      </c>
    </row>
    <row r="161" customFormat="false" ht="14.25" hidden="false" customHeight="false" outlineLevel="0" collapsed="false">
      <c r="A161" s="72" t="s">
        <v>3</v>
      </c>
      <c r="B161" s="73" t="s">
        <v>65</v>
      </c>
      <c r="C161" s="73" t="s">
        <v>110</v>
      </c>
      <c r="D161" s="73" t="s">
        <v>178</v>
      </c>
      <c r="E161" s="74" t="n">
        <v>-21333114</v>
      </c>
      <c r="F161" s="74" t="n">
        <f aca="false">E161/'Reporting Hebdo'!$E$3</f>
        <v>-32522.1226391364</v>
      </c>
      <c r="G161" s="72" t="s">
        <v>209</v>
      </c>
    </row>
    <row r="162" customFormat="false" ht="14.25" hidden="false" customHeight="false" outlineLevel="0" collapsed="false">
      <c r="A162" s="72" t="s">
        <v>3</v>
      </c>
      <c r="B162" s="73" t="s">
        <v>65</v>
      </c>
      <c r="C162" s="73" t="s">
        <v>111</v>
      </c>
      <c r="D162" s="73" t="s">
        <v>162</v>
      </c>
      <c r="E162" s="74" t="n">
        <v>-40206989</v>
      </c>
      <c r="F162" s="74" t="n">
        <f aca="false">E162/'Reporting Hebdo'!$E$3</f>
        <v>-61295.1595912537</v>
      </c>
      <c r="G162" s="72" t="s">
        <v>209</v>
      </c>
    </row>
    <row r="163" customFormat="false" ht="14.25" hidden="false" customHeight="false" outlineLevel="0" collapsed="false">
      <c r="A163" s="72" t="s">
        <v>3</v>
      </c>
      <c r="B163" s="73" t="s">
        <v>65</v>
      </c>
      <c r="C163" s="73" t="s">
        <v>112</v>
      </c>
      <c r="D163" s="73" t="s">
        <v>112</v>
      </c>
      <c r="E163" s="74" t="n">
        <v>-9181192</v>
      </c>
      <c r="F163" s="74" t="n">
        <f aca="false">E163/'Reporting Hebdo'!$E$3</f>
        <v>-13996.6369746797</v>
      </c>
      <c r="G163" s="72" t="s">
        <v>209</v>
      </c>
    </row>
  </sheetData>
  <autoFilter ref="A4:G163"/>
  <dataValidations count="2">
    <dataValidation allowBlank="true" errorStyle="stop" operator="between" showDropDown="false" showErrorMessage="false" showInputMessage="false" sqref="A5:A463" type="list">
      <formula1>"S1,S2,S3,S4,S5,Nov. 2026,Après S5"</formula1>
      <formula2>0</formula2>
    </dataValidation>
    <dataValidation allowBlank="true" errorStyle="stop" operator="between" showDropDown="false" showErrorMessage="false" showInputMessage="false" sqref="G5:G463" type="list">
      <formula1>"O,N"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3"/>
  <sheetViews>
    <sheetView showFormulas="false" showGridLines="false" showRowColHeaders="true" showZeros="true" rightToLeft="false" tabSelected="false" showOutlineSymbols="true" defaultGridColor="true" view="normal" topLeftCell="A1" colorId="64" zoomScale="96" zoomScaleNormal="96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K1" activeCellId="0" sqref="K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11"/>
    <col collapsed="false" customWidth="true" hidden="false" outlineLevel="0" max="6" min="6" style="0" width="36"/>
    <col collapsed="false" customWidth="true" hidden="false" outlineLevel="0" max="7" min="7" style="0" width="22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9"/>
  </cols>
  <sheetData>
    <row r="1" customFormat="false" ht="15" hidden="false" customHeight="true" outlineLevel="0" collapsed="false">
      <c r="A1" s="2" t="s">
        <v>230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4.25" hidden="false" customHeight="false" outlineLevel="0" collapsed="false">
      <c r="A2" s="7"/>
      <c r="B2" s="1"/>
      <c r="C2" s="1"/>
      <c r="D2" s="1"/>
      <c r="E2" s="1"/>
      <c r="F2" s="1"/>
      <c r="G2" s="1"/>
      <c r="H2" s="1"/>
      <c r="I2" s="1"/>
      <c r="J2" s="1"/>
    </row>
    <row r="3" customFormat="false" ht="14.2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22.5" hidden="false" customHeight="true" outlineLevel="0" collapsed="false">
      <c r="A4" s="68" t="s">
        <v>2</v>
      </c>
      <c r="B4" s="68" t="s">
        <v>231</v>
      </c>
      <c r="C4" s="68" t="s">
        <v>100</v>
      </c>
      <c r="D4" s="68" t="s">
        <v>137</v>
      </c>
      <c r="E4" s="68" t="s">
        <v>232</v>
      </c>
      <c r="F4" s="68" t="s">
        <v>233</v>
      </c>
      <c r="G4" s="68" t="s">
        <v>234</v>
      </c>
      <c r="H4" s="68" t="s">
        <v>235</v>
      </c>
      <c r="I4" s="68" t="s">
        <v>139</v>
      </c>
      <c r="J4" s="68" t="s">
        <v>141</v>
      </c>
    </row>
    <row r="5" customFormat="false" ht="14.25" hidden="false" customHeight="false" outlineLevel="0" collapsed="false">
      <c r="A5" s="69" t="s">
        <v>3</v>
      </c>
      <c r="B5" s="70" t="s">
        <v>71</v>
      </c>
      <c r="C5" s="70" t="s">
        <v>32</v>
      </c>
      <c r="D5" s="70" t="s">
        <v>128</v>
      </c>
      <c r="E5" s="70" t="s">
        <v>236</v>
      </c>
      <c r="F5" s="70" t="s">
        <v>237</v>
      </c>
      <c r="G5" s="70" t="s">
        <v>238</v>
      </c>
      <c r="H5" s="71" t="n">
        <v>-5802</v>
      </c>
      <c r="I5" s="71" t="n">
        <f aca="false">H5*'Reporting Hebdo'!$E$3</f>
        <v>-3805862.514</v>
      </c>
      <c r="J5" s="69" t="s">
        <v>143</v>
      </c>
    </row>
    <row r="6" customFormat="false" ht="14.25" hidden="false" customHeight="false" outlineLevel="0" collapsed="false">
      <c r="A6" s="69" t="s">
        <v>3</v>
      </c>
      <c r="B6" s="70" t="s">
        <v>71</v>
      </c>
      <c r="C6" s="70" t="s">
        <v>32</v>
      </c>
      <c r="D6" s="70" t="s">
        <v>129</v>
      </c>
      <c r="E6" s="70" t="s">
        <v>239</v>
      </c>
      <c r="F6" s="70" t="s">
        <v>240</v>
      </c>
      <c r="G6" s="70"/>
      <c r="H6" s="71" t="n">
        <v>-86158.9604958862</v>
      </c>
      <c r="I6" s="71" t="n">
        <f aca="false">H6*'Reporting Hebdo'!$E$3</f>
        <v>-56516573.25</v>
      </c>
      <c r="J6" s="69" t="s">
        <v>143</v>
      </c>
    </row>
    <row r="7" customFormat="false" ht="14.25" hidden="false" customHeight="false" outlineLevel="0" collapsed="false">
      <c r="A7" s="69" t="s">
        <v>3</v>
      </c>
      <c r="B7" s="70" t="s">
        <v>71</v>
      </c>
      <c r="C7" s="70" t="s">
        <v>32</v>
      </c>
      <c r="D7" s="70" t="s">
        <v>129</v>
      </c>
      <c r="E7" s="70" t="s">
        <v>241</v>
      </c>
      <c r="F7" s="70" t="s">
        <v>242</v>
      </c>
      <c r="G7" s="70"/>
      <c r="H7" s="71" t="n">
        <v>-12500</v>
      </c>
      <c r="I7" s="71" t="n">
        <f aca="false">H7*'Reporting Hebdo'!$E$3</f>
        <v>-8199462.5</v>
      </c>
      <c r="J7" s="69" t="s">
        <v>143</v>
      </c>
    </row>
    <row r="8" customFormat="false" ht="14.25" hidden="false" customHeight="false" outlineLevel="0" collapsed="false">
      <c r="A8" s="69" t="s">
        <v>3</v>
      </c>
      <c r="B8" s="70" t="s">
        <v>71</v>
      </c>
      <c r="C8" s="70" t="s">
        <v>32</v>
      </c>
      <c r="D8" s="70" t="s">
        <v>129</v>
      </c>
      <c r="E8" s="70" t="s">
        <v>243</v>
      </c>
      <c r="F8" s="70" t="s">
        <v>244</v>
      </c>
      <c r="G8" s="70"/>
      <c r="H8" s="71" t="n">
        <v>-598630.986142509</v>
      </c>
      <c r="I8" s="71" t="n">
        <f aca="false">H8*'Reporting Hebdo'!$E$3</f>
        <v>-392676185.777082</v>
      </c>
      <c r="J8" s="69" t="s">
        <v>143</v>
      </c>
    </row>
    <row r="9" customFormat="false" ht="14.25" hidden="false" customHeight="false" outlineLevel="0" collapsed="false">
      <c r="A9" s="69" t="s">
        <v>3</v>
      </c>
      <c r="B9" s="70" t="s">
        <v>71</v>
      </c>
      <c r="C9" s="70" t="s">
        <v>32</v>
      </c>
      <c r="D9" s="70" t="s">
        <v>129</v>
      </c>
      <c r="E9" s="70" t="s">
        <v>245</v>
      </c>
      <c r="F9" s="70" t="s">
        <v>246</v>
      </c>
      <c r="G9" s="70"/>
      <c r="H9" s="71" t="n">
        <v>-164209.04983101</v>
      </c>
      <c r="I9" s="71" t="n">
        <f aca="false">H9*'Reporting Hebdo'!$E$3</f>
        <v>-107714075.7</v>
      </c>
      <c r="J9" s="69" t="s">
        <v>143</v>
      </c>
    </row>
    <row r="10" customFormat="false" ht="14.25" hidden="false" customHeight="false" outlineLevel="0" collapsed="false">
      <c r="A10" s="69" t="s">
        <v>3</v>
      </c>
      <c r="B10" s="70" t="s">
        <v>71</v>
      </c>
      <c r="C10" s="70" t="s">
        <v>32</v>
      </c>
      <c r="D10" s="70" t="s">
        <v>129</v>
      </c>
      <c r="E10" s="70" t="s">
        <v>247</v>
      </c>
      <c r="F10" s="70" t="s">
        <v>248</v>
      </c>
      <c r="G10" s="70"/>
      <c r="H10" s="71" t="n">
        <v>-224940.599993597</v>
      </c>
      <c r="I10" s="71" t="n">
        <f aca="false">H10*'Reporting Hebdo'!$E$3</f>
        <v>-147551361.15</v>
      </c>
      <c r="J10" s="69" t="s">
        <v>143</v>
      </c>
    </row>
    <row r="11" customFormat="false" ht="14.25" hidden="false" customHeight="false" outlineLevel="0" collapsed="false">
      <c r="A11" s="69" t="s">
        <v>3</v>
      </c>
      <c r="B11" s="70" t="s">
        <v>71</v>
      </c>
      <c r="C11" s="70" t="s">
        <v>32</v>
      </c>
      <c r="D11" s="70" t="s">
        <v>129</v>
      </c>
      <c r="E11" s="70" t="s">
        <v>249</v>
      </c>
      <c r="F11" s="70" t="s">
        <v>250</v>
      </c>
      <c r="G11" s="70"/>
      <c r="H11" s="71" t="n">
        <v>-338435.850063343</v>
      </c>
      <c r="I11" s="71" t="n">
        <f aca="false">H11*'Reporting Hebdo'!$E$3</f>
        <v>-221999364.9</v>
      </c>
      <c r="J11" s="69" t="s">
        <v>143</v>
      </c>
    </row>
    <row r="12" customFormat="false" ht="14.25" hidden="false" customHeight="false" outlineLevel="0" collapsed="false">
      <c r="A12" s="69" t="s">
        <v>3</v>
      </c>
      <c r="B12" s="70" t="s">
        <v>71</v>
      </c>
      <c r="C12" s="70" t="s">
        <v>32</v>
      </c>
      <c r="D12" s="70" t="s">
        <v>130</v>
      </c>
      <c r="E12" s="70" t="s">
        <v>251</v>
      </c>
      <c r="F12" s="70" t="s">
        <v>252</v>
      </c>
      <c r="G12" s="70" t="s">
        <v>253</v>
      </c>
      <c r="H12" s="71" t="n">
        <v>-54903</v>
      </c>
      <c r="I12" s="71" t="n">
        <f aca="false">H12*'Reporting Hebdo'!$E$3</f>
        <v>-36014007.171</v>
      </c>
      <c r="J12" s="69" t="s">
        <v>143</v>
      </c>
    </row>
    <row r="13" customFormat="false" ht="14.25" hidden="false" customHeight="false" outlineLevel="0" collapsed="false">
      <c r="A13" s="69" t="s">
        <v>3</v>
      </c>
      <c r="B13" s="70" t="s">
        <v>71</v>
      </c>
      <c r="C13" s="70" t="s">
        <v>32</v>
      </c>
      <c r="D13" s="70" t="s">
        <v>130</v>
      </c>
      <c r="E13" s="70" t="s">
        <v>251</v>
      </c>
      <c r="F13" s="70" t="s">
        <v>252</v>
      </c>
      <c r="G13" s="70" t="s">
        <v>253</v>
      </c>
      <c r="H13" s="71" t="n">
        <v>-6577</v>
      </c>
      <c r="I13" s="71" t="n">
        <f aca="false">H13*'Reporting Hebdo'!$E$3</f>
        <v>-4314229.189</v>
      </c>
      <c r="J13" s="69" t="s">
        <v>143</v>
      </c>
    </row>
    <row r="14" customFormat="false" ht="14.25" hidden="false" customHeight="false" outlineLevel="0" collapsed="false">
      <c r="A14" s="69" t="s">
        <v>3</v>
      </c>
      <c r="B14" s="70" t="s">
        <v>71</v>
      </c>
      <c r="C14" s="70" t="s">
        <v>32</v>
      </c>
      <c r="D14" s="70" t="s">
        <v>130</v>
      </c>
      <c r="E14" s="70" t="s">
        <v>254</v>
      </c>
      <c r="F14" s="70" t="s">
        <v>255</v>
      </c>
      <c r="G14" s="70" t="s">
        <v>256</v>
      </c>
      <c r="H14" s="71" t="n">
        <v>-82323.1827696023</v>
      </c>
      <c r="I14" s="71" t="n">
        <f aca="false">H14*'Reporting Hebdo'!$E$3</f>
        <v>-54000468</v>
      </c>
      <c r="J14" s="69" t="s">
        <v>143</v>
      </c>
    </row>
    <row r="15" customFormat="false" ht="14.25" hidden="false" customHeight="false" outlineLevel="0" collapsed="false">
      <c r="A15" s="69" t="s">
        <v>3</v>
      </c>
      <c r="B15" s="70" t="s">
        <v>71</v>
      </c>
      <c r="C15" s="70" t="s">
        <v>32</v>
      </c>
      <c r="D15" s="70" t="s">
        <v>130</v>
      </c>
      <c r="E15" s="70" t="s">
        <v>257</v>
      </c>
      <c r="F15" s="70" t="s">
        <v>258</v>
      </c>
      <c r="G15" s="70" t="s">
        <v>259</v>
      </c>
      <c r="H15" s="71" t="n">
        <v>-8415.18575150505</v>
      </c>
      <c r="I15" s="71" t="n">
        <f aca="false">H15*'Reporting Hebdo'!$E$3</f>
        <v>-5520000</v>
      </c>
      <c r="J15" s="69" t="s">
        <v>143</v>
      </c>
    </row>
    <row r="16" customFormat="false" ht="14.25" hidden="false" customHeight="false" outlineLevel="0" collapsed="false">
      <c r="A16" s="69" t="s">
        <v>3</v>
      </c>
      <c r="B16" s="70" t="s">
        <v>71</v>
      </c>
      <c r="C16" s="70" t="s">
        <v>32</v>
      </c>
      <c r="D16" s="70" t="s">
        <v>130</v>
      </c>
      <c r="E16" s="70" t="s">
        <v>260</v>
      </c>
      <c r="F16" s="70" t="s">
        <v>261</v>
      </c>
      <c r="G16" s="70" t="s">
        <v>262</v>
      </c>
      <c r="H16" s="71" t="n">
        <v>-6738.36855159713</v>
      </c>
      <c r="I16" s="71" t="n">
        <f aca="false">H16*'Reporting Hebdo'!$E$3</f>
        <v>-4420080.02</v>
      </c>
      <c r="J16" s="69" t="s">
        <v>143</v>
      </c>
    </row>
    <row r="17" customFormat="false" ht="14.25" hidden="false" customHeight="false" outlineLevel="0" collapsed="false">
      <c r="A17" s="69" t="s">
        <v>3</v>
      </c>
      <c r="B17" s="70" t="s">
        <v>71</v>
      </c>
      <c r="C17" s="70" t="s">
        <v>32</v>
      </c>
      <c r="D17" s="70" t="s">
        <v>130</v>
      </c>
      <c r="E17" s="70" t="s">
        <v>263</v>
      </c>
      <c r="F17" s="70" t="s">
        <v>264</v>
      </c>
      <c r="G17" s="70" t="s">
        <v>265</v>
      </c>
      <c r="H17" s="71" t="n">
        <v>-105395.81060333</v>
      </c>
      <c r="I17" s="71" t="n">
        <f aca="false">H17*'Reporting Hebdo'!$E$3</f>
        <v>-69135119.7359285</v>
      </c>
      <c r="J17" s="69" t="s">
        <v>143</v>
      </c>
    </row>
    <row r="18" customFormat="false" ht="14.25" hidden="false" customHeight="false" outlineLevel="0" collapsed="false">
      <c r="A18" s="69" t="s">
        <v>3</v>
      </c>
      <c r="B18" s="70" t="s">
        <v>71</v>
      </c>
      <c r="C18" s="70" t="s">
        <v>32</v>
      </c>
      <c r="D18" s="70" t="s">
        <v>130</v>
      </c>
      <c r="E18" s="70" t="s">
        <v>266</v>
      </c>
      <c r="F18" s="70" t="s">
        <v>267</v>
      </c>
      <c r="G18" s="70" t="s">
        <v>268</v>
      </c>
      <c r="H18" s="71" t="n">
        <v>-7000</v>
      </c>
      <c r="I18" s="71" t="n">
        <f aca="false">H18*'Reporting Hebdo'!$E$3</f>
        <v>-4591699</v>
      </c>
      <c r="J18" s="69" t="s">
        <v>143</v>
      </c>
    </row>
    <row r="19" customFormat="false" ht="14.25" hidden="false" customHeight="false" outlineLevel="0" collapsed="false">
      <c r="A19" s="69" t="s">
        <v>3</v>
      </c>
      <c r="B19" s="70" t="s">
        <v>71</v>
      </c>
      <c r="C19" s="70" t="s">
        <v>32</v>
      </c>
      <c r="D19" s="70" t="s">
        <v>130</v>
      </c>
      <c r="E19" s="70" t="s">
        <v>269</v>
      </c>
      <c r="F19" s="70" t="s">
        <v>270</v>
      </c>
      <c r="G19" s="70"/>
      <c r="H19" s="71" t="n">
        <v>-48527.8354235532</v>
      </c>
      <c r="I19" s="71" t="n">
        <f aca="false">H19*'Reporting Hebdo'!$E$3</f>
        <v>-31832173.3409277</v>
      </c>
      <c r="J19" s="69" t="s">
        <v>143</v>
      </c>
    </row>
    <row r="20" customFormat="false" ht="14.25" hidden="false" customHeight="false" outlineLevel="0" collapsed="false">
      <c r="A20" s="69" t="s">
        <v>3</v>
      </c>
      <c r="B20" s="70" t="s">
        <v>71</v>
      </c>
      <c r="C20" s="70" t="s">
        <v>32</v>
      </c>
      <c r="D20" s="70" t="s">
        <v>131</v>
      </c>
      <c r="E20" s="70" t="s">
        <v>271</v>
      </c>
      <c r="F20" s="70" t="s">
        <v>272</v>
      </c>
      <c r="G20" s="70" t="s">
        <v>273</v>
      </c>
      <c r="H20" s="71" t="n">
        <v>-10000</v>
      </c>
      <c r="I20" s="71" t="n">
        <f aca="false">H20*'Reporting Hebdo'!$E$3</f>
        <v>-6559570</v>
      </c>
      <c r="J20" s="69" t="s">
        <v>143</v>
      </c>
    </row>
    <row r="21" customFormat="false" ht="14.25" hidden="false" customHeight="false" outlineLevel="0" collapsed="false">
      <c r="A21" s="69" t="s">
        <v>3</v>
      </c>
      <c r="B21" s="70" t="s">
        <v>71</v>
      </c>
      <c r="C21" s="70" t="s">
        <v>32</v>
      </c>
      <c r="D21" s="70" t="s">
        <v>131</v>
      </c>
      <c r="E21" s="70" t="s">
        <v>274</v>
      </c>
      <c r="F21" s="70" t="s">
        <v>275</v>
      </c>
      <c r="G21" s="70" t="s">
        <v>276</v>
      </c>
      <c r="H21" s="71" t="n">
        <v>-1255555.19831577</v>
      </c>
      <c r="I21" s="71" t="n">
        <f aca="false">H21*'Reporting Hebdo'!$E$3</f>
        <v>-823590221.221618</v>
      </c>
      <c r="J21" s="69" t="s">
        <v>143</v>
      </c>
    </row>
    <row r="22" customFormat="false" ht="14.25" hidden="false" customHeight="false" outlineLevel="0" collapsed="false">
      <c r="A22" s="69" t="s">
        <v>3</v>
      </c>
      <c r="B22" s="70" t="s">
        <v>71</v>
      </c>
      <c r="C22" s="70" t="s">
        <v>32</v>
      </c>
      <c r="D22" s="70" t="s">
        <v>132</v>
      </c>
      <c r="E22" s="70" t="s">
        <v>277</v>
      </c>
      <c r="F22" s="70" t="s">
        <v>278</v>
      </c>
      <c r="G22" s="70"/>
      <c r="H22" s="71" t="n">
        <v>-128661.331155477</v>
      </c>
      <c r="I22" s="71" t="n">
        <f aca="false">H22*'Reporting Hebdo'!$E$3</f>
        <v>-84396300.8007532</v>
      </c>
      <c r="J22" s="69" t="s">
        <v>143</v>
      </c>
    </row>
    <row r="23" customFormat="false" ht="14.25" hidden="false" customHeight="false" outlineLevel="0" collapsed="false">
      <c r="A23" s="69" t="s">
        <v>3</v>
      </c>
      <c r="B23" s="70" t="s">
        <v>71</v>
      </c>
      <c r="C23" s="70" t="s">
        <v>32</v>
      </c>
      <c r="D23" s="70" t="s">
        <v>132</v>
      </c>
      <c r="E23" s="70" t="s">
        <v>279</v>
      </c>
      <c r="F23" s="70" t="s">
        <v>280</v>
      </c>
      <c r="G23" s="70"/>
      <c r="H23" s="71" t="n">
        <v>-212269.89116247</v>
      </c>
      <c r="I23" s="71" t="n">
        <f aca="false">H23*'Reporting Hebdo'!$E$3</f>
        <v>-139239920.99726</v>
      </c>
      <c r="J23" s="69" t="s">
        <v>143</v>
      </c>
    </row>
    <row r="24" customFormat="false" ht="14.25" hidden="false" customHeight="false" outlineLevel="0" collapsed="false">
      <c r="A24" s="69" t="s">
        <v>3</v>
      </c>
      <c r="B24" s="70" t="s">
        <v>68</v>
      </c>
      <c r="C24" s="70" t="s">
        <v>36</v>
      </c>
      <c r="D24" s="70" t="s">
        <v>128</v>
      </c>
      <c r="E24" s="70" t="s">
        <v>236</v>
      </c>
      <c r="F24" s="70" t="s">
        <v>237</v>
      </c>
      <c r="G24" s="70" t="s">
        <v>281</v>
      </c>
      <c r="H24" s="71" t="n">
        <v>-2000</v>
      </c>
      <c r="I24" s="71" t="n">
        <f aca="false">H24*'Reporting Hebdo'!$E$3</f>
        <v>-1311914</v>
      </c>
      <c r="J24" s="69" t="s">
        <v>143</v>
      </c>
    </row>
    <row r="25" customFormat="false" ht="14.25" hidden="false" customHeight="false" outlineLevel="0" collapsed="false">
      <c r="A25" s="69" t="s">
        <v>3</v>
      </c>
      <c r="B25" s="70" t="s">
        <v>68</v>
      </c>
      <c r="C25" s="70" t="s">
        <v>36</v>
      </c>
      <c r="D25" s="70" t="s">
        <v>128</v>
      </c>
      <c r="E25" s="70" t="s">
        <v>282</v>
      </c>
      <c r="F25" s="70" t="s">
        <v>283</v>
      </c>
      <c r="G25" s="70" t="s">
        <v>284</v>
      </c>
      <c r="H25" s="71" t="n">
        <v>-6532.01219512195</v>
      </c>
      <c r="I25" s="71" t="n">
        <f aca="false">H25*'Reporting Hebdo'!$E$3</f>
        <v>-4284719.12347561</v>
      </c>
      <c r="J25" s="69" t="s">
        <v>143</v>
      </c>
    </row>
    <row r="26" customFormat="false" ht="14.25" hidden="false" customHeight="false" outlineLevel="0" collapsed="false">
      <c r="A26" s="69" t="s">
        <v>3</v>
      </c>
      <c r="B26" s="70" t="s">
        <v>68</v>
      </c>
      <c r="C26" s="70" t="s">
        <v>36</v>
      </c>
      <c r="D26" s="70" t="s">
        <v>128</v>
      </c>
      <c r="E26" s="70" t="s">
        <v>285</v>
      </c>
      <c r="F26" s="70" t="s">
        <v>286</v>
      </c>
      <c r="G26" s="70" t="s">
        <v>160</v>
      </c>
      <c r="H26" s="71" t="n">
        <v>-9643.64577122059</v>
      </c>
      <c r="I26" s="71" t="n">
        <f aca="false">H26*'Reporting Hebdo'!$E$3</f>
        <v>-6325816.94915255</v>
      </c>
      <c r="J26" s="69" t="s">
        <v>143</v>
      </c>
    </row>
    <row r="27" customFormat="false" ht="14.25" hidden="false" customHeight="false" outlineLevel="0" collapsed="false">
      <c r="A27" s="69" t="s">
        <v>3</v>
      </c>
      <c r="B27" s="70" t="s">
        <v>68</v>
      </c>
      <c r="C27" s="70" t="s">
        <v>36</v>
      </c>
      <c r="D27" s="70" t="s">
        <v>129</v>
      </c>
      <c r="E27" s="70" t="s">
        <v>287</v>
      </c>
      <c r="F27" s="70" t="s">
        <v>288</v>
      </c>
      <c r="G27" s="70"/>
      <c r="H27" s="71" t="n">
        <v>-35324</v>
      </c>
      <c r="I27" s="71" t="n">
        <f aca="false">H27*'Reporting Hebdo'!$E$3</f>
        <v>-23171025.068</v>
      </c>
      <c r="J27" s="69" t="s">
        <v>143</v>
      </c>
    </row>
    <row r="28" customFormat="false" ht="14.25" hidden="false" customHeight="false" outlineLevel="0" collapsed="false">
      <c r="A28" s="69" t="s">
        <v>3</v>
      </c>
      <c r="B28" s="70" t="s">
        <v>68</v>
      </c>
      <c r="C28" s="70" t="s">
        <v>36</v>
      </c>
      <c r="D28" s="70" t="s">
        <v>129</v>
      </c>
      <c r="E28" s="70" t="s">
        <v>289</v>
      </c>
      <c r="F28" s="70" t="s">
        <v>290</v>
      </c>
      <c r="G28" s="70"/>
      <c r="H28" s="71" t="n">
        <v>-153276</v>
      </c>
      <c r="I28" s="71" t="n">
        <f aca="false">H28*'Reporting Hebdo'!$E$3</f>
        <v>-100542465.132</v>
      </c>
      <c r="J28" s="69" t="s">
        <v>143</v>
      </c>
    </row>
    <row r="29" customFormat="false" ht="14.25" hidden="false" customHeight="false" outlineLevel="0" collapsed="false">
      <c r="A29" s="69" t="s">
        <v>3</v>
      </c>
      <c r="B29" s="70" t="s">
        <v>68</v>
      </c>
      <c r="C29" s="70" t="s">
        <v>36</v>
      </c>
      <c r="D29" s="70" t="s">
        <v>129</v>
      </c>
      <c r="E29" s="70" t="s">
        <v>291</v>
      </c>
      <c r="F29" s="70" t="s">
        <v>292</v>
      </c>
      <c r="G29" s="70" t="s">
        <v>293</v>
      </c>
      <c r="H29" s="71" t="n">
        <v>-318222.844174699</v>
      </c>
      <c r="I29" s="71" t="n">
        <f aca="false">H29*'Reporting Hebdo'!$E$3</f>
        <v>-208740502.196303</v>
      </c>
      <c r="J29" s="69" t="s">
        <v>143</v>
      </c>
    </row>
    <row r="30" customFormat="false" ht="14.25" hidden="false" customHeight="false" outlineLevel="0" collapsed="false">
      <c r="A30" s="69" t="s">
        <v>3</v>
      </c>
      <c r="B30" s="70" t="s">
        <v>68</v>
      </c>
      <c r="C30" s="70" t="s">
        <v>36</v>
      </c>
      <c r="D30" s="70" t="s">
        <v>129</v>
      </c>
      <c r="E30" s="70" t="s">
        <v>294</v>
      </c>
      <c r="F30" s="70" t="s">
        <v>295</v>
      </c>
      <c r="G30" s="70"/>
      <c r="H30" s="71" t="n">
        <v>-1078767.18002082</v>
      </c>
      <c r="I30" s="71" t="n">
        <f aca="false">H30*'Reporting Hebdo'!$E$3</f>
        <v>-707624883.104917</v>
      </c>
      <c r="J30" s="69" t="s">
        <v>143</v>
      </c>
    </row>
    <row r="31" customFormat="false" ht="14.25" hidden="false" customHeight="false" outlineLevel="0" collapsed="false">
      <c r="A31" s="69" t="s">
        <v>3</v>
      </c>
      <c r="B31" s="70" t="s">
        <v>68</v>
      </c>
      <c r="C31" s="70" t="s">
        <v>36</v>
      </c>
      <c r="D31" s="70" t="s">
        <v>129</v>
      </c>
      <c r="E31" s="70" t="s">
        <v>296</v>
      </c>
      <c r="F31" s="70" t="s">
        <v>297</v>
      </c>
      <c r="G31" s="70"/>
      <c r="H31" s="71" t="n">
        <v>-114194.591820334</v>
      </c>
      <c r="I31" s="71" t="n">
        <f aca="false">H31*'Reporting Hebdo'!$E$3</f>
        <v>-74906741.8666908</v>
      </c>
      <c r="J31" s="69" t="s">
        <v>143</v>
      </c>
    </row>
    <row r="32" customFormat="false" ht="14.25" hidden="false" customHeight="false" outlineLevel="0" collapsed="false">
      <c r="A32" s="69" t="s">
        <v>3</v>
      </c>
      <c r="B32" s="70" t="s">
        <v>68</v>
      </c>
      <c r="C32" s="70" t="s">
        <v>36</v>
      </c>
      <c r="D32" s="70" t="s">
        <v>129</v>
      </c>
      <c r="E32" s="70" t="s">
        <v>298</v>
      </c>
      <c r="F32" s="70" t="s">
        <v>299</v>
      </c>
      <c r="G32" s="70"/>
      <c r="H32" s="71" t="n">
        <v>-420171.146165341</v>
      </c>
      <c r="I32" s="71" t="n">
        <f aca="false">H32*'Reporting Hebdo'!$E$3</f>
        <v>-275614204.525179</v>
      </c>
      <c r="J32" s="69" t="s">
        <v>143</v>
      </c>
    </row>
    <row r="33" customFormat="false" ht="14.25" hidden="false" customHeight="false" outlineLevel="0" collapsed="false">
      <c r="A33" s="69" t="s">
        <v>3</v>
      </c>
      <c r="B33" s="70" t="s">
        <v>68</v>
      </c>
      <c r="C33" s="70" t="s">
        <v>36</v>
      </c>
      <c r="D33" s="70" t="s">
        <v>129</v>
      </c>
      <c r="E33" s="70" t="s">
        <v>243</v>
      </c>
      <c r="F33" s="70" t="s">
        <v>300</v>
      </c>
      <c r="G33" s="70"/>
      <c r="H33" s="71" t="n">
        <v>-215577.466962552</v>
      </c>
      <c r="I33" s="71" t="n">
        <f aca="false">H33*'Reporting Hebdo'!$E$3</f>
        <v>-141409548.496355</v>
      </c>
      <c r="J33" s="69" t="s">
        <v>143</v>
      </c>
    </row>
    <row r="34" customFormat="false" ht="14.25" hidden="false" customHeight="false" outlineLevel="0" collapsed="false">
      <c r="A34" s="69" t="s">
        <v>3</v>
      </c>
      <c r="B34" s="70" t="s">
        <v>68</v>
      </c>
      <c r="C34" s="70" t="s">
        <v>36</v>
      </c>
      <c r="D34" s="70" t="s">
        <v>129</v>
      </c>
      <c r="E34" s="70" t="s">
        <v>301</v>
      </c>
      <c r="F34" s="70" t="s">
        <v>302</v>
      </c>
      <c r="G34" s="70"/>
      <c r="H34" s="71" t="n">
        <v>-74507.7563687755</v>
      </c>
      <c r="I34" s="71" t="n">
        <f aca="false">H34*'Reporting Hebdo'!$E$3</f>
        <v>-48873884.3443929</v>
      </c>
      <c r="J34" s="69" t="s">
        <v>143</v>
      </c>
    </row>
    <row r="35" customFormat="false" ht="14.25" hidden="false" customHeight="false" outlineLevel="0" collapsed="false">
      <c r="A35" s="69" t="s">
        <v>3</v>
      </c>
      <c r="B35" s="70" t="s">
        <v>68</v>
      </c>
      <c r="C35" s="70" t="s">
        <v>36</v>
      </c>
      <c r="D35" s="70" t="s">
        <v>129</v>
      </c>
      <c r="E35" s="70" t="s">
        <v>303</v>
      </c>
      <c r="F35" s="70" t="s">
        <v>304</v>
      </c>
      <c r="G35" s="70"/>
      <c r="H35" s="71" t="n">
        <v>-92662.9792152077</v>
      </c>
      <c r="I35" s="71" t="n">
        <f aca="false">H35*'Reporting Hebdo'!$E$3</f>
        <v>-60782929.85707</v>
      </c>
      <c r="J35" s="69" t="s">
        <v>143</v>
      </c>
    </row>
    <row r="36" customFormat="false" ht="14.25" hidden="false" customHeight="false" outlineLevel="0" collapsed="false">
      <c r="A36" s="69" t="s">
        <v>3</v>
      </c>
      <c r="B36" s="70" t="s">
        <v>68</v>
      </c>
      <c r="C36" s="70" t="s">
        <v>36</v>
      </c>
      <c r="D36" s="70" t="s">
        <v>130</v>
      </c>
      <c r="E36" s="70" t="s">
        <v>251</v>
      </c>
      <c r="F36" s="70" t="s">
        <v>252</v>
      </c>
      <c r="G36" s="70" t="s">
        <v>305</v>
      </c>
      <c r="H36" s="71" t="n">
        <v>-59066.6228242957</v>
      </c>
      <c r="I36" s="71" t="n">
        <f aca="false">H36*'Reporting Hebdo'!$E$3</f>
        <v>-38745164.7079565</v>
      </c>
      <c r="J36" s="69" t="s">
        <v>143</v>
      </c>
    </row>
    <row r="37" customFormat="false" ht="14.25" hidden="false" customHeight="false" outlineLevel="0" collapsed="false">
      <c r="A37" s="69" t="s">
        <v>3</v>
      </c>
      <c r="B37" s="70" t="s">
        <v>68</v>
      </c>
      <c r="C37" s="70" t="s">
        <v>36</v>
      </c>
      <c r="D37" s="70" t="s">
        <v>130</v>
      </c>
      <c r="E37" s="70" t="s">
        <v>251</v>
      </c>
      <c r="F37" s="70" t="s">
        <v>252</v>
      </c>
      <c r="G37" s="70" t="s">
        <v>305</v>
      </c>
      <c r="H37" s="71" t="n">
        <v>-18066.6228242957</v>
      </c>
      <c r="I37" s="71" t="n">
        <f aca="false">H37*'Reporting Hebdo'!$E$3</f>
        <v>-11850927.7079565</v>
      </c>
      <c r="J37" s="69" t="s">
        <v>143</v>
      </c>
    </row>
    <row r="38" customFormat="false" ht="14.25" hidden="false" customHeight="false" outlineLevel="0" collapsed="false">
      <c r="A38" s="69" t="s">
        <v>3</v>
      </c>
      <c r="B38" s="70" t="s">
        <v>68</v>
      </c>
      <c r="C38" s="70" t="s">
        <v>36</v>
      </c>
      <c r="D38" s="70" t="s">
        <v>130</v>
      </c>
      <c r="E38" s="70" t="s">
        <v>254</v>
      </c>
      <c r="F38" s="70" t="s">
        <v>255</v>
      </c>
      <c r="G38" s="70" t="s">
        <v>256</v>
      </c>
      <c r="H38" s="71" t="n">
        <v>-41399.6535153276</v>
      </c>
      <c r="I38" s="71" t="n">
        <f aca="false">H38*'Reporting Hebdo'!$E$3</f>
        <v>-27156392.5209537</v>
      </c>
      <c r="J38" s="69" t="s">
        <v>143</v>
      </c>
    </row>
    <row r="39" customFormat="false" ht="14.25" hidden="false" customHeight="false" outlineLevel="0" collapsed="false">
      <c r="A39" s="69" t="s">
        <v>3</v>
      </c>
      <c r="B39" s="70" t="s">
        <v>68</v>
      </c>
      <c r="C39" s="70" t="s">
        <v>36</v>
      </c>
      <c r="D39" s="70" t="s">
        <v>130</v>
      </c>
      <c r="E39" s="70" t="s">
        <v>257</v>
      </c>
      <c r="F39" s="70" t="s">
        <v>258</v>
      </c>
      <c r="G39" s="70" t="s">
        <v>262</v>
      </c>
      <c r="H39" s="71" t="n">
        <v>-10236.6194787003</v>
      </c>
      <c r="I39" s="71" t="n">
        <f aca="false">H39*'Reporting Hebdo'!$E$3</f>
        <v>-6714782.20338981</v>
      </c>
      <c r="J39" s="69" t="s">
        <v>143</v>
      </c>
    </row>
    <row r="40" customFormat="false" ht="14.25" hidden="false" customHeight="false" outlineLevel="0" collapsed="false">
      <c r="A40" s="69" t="s">
        <v>3</v>
      </c>
      <c r="B40" s="70" t="s">
        <v>68</v>
      </c>
      <c r="C40" s="70" t="s">
        <v>36</v>
      </c>
      <c r="D40" s="70" t="s">
        <v>130</v>
      </c>
      <c r="E40" s="70" t="s">
        <v>260</v>
      </c>
      <c r="F40" s="70" t="s">
        <v>261</v>
      </c>
      <c r="G40" s="70" t="s">
        <v>262</v>
      </c>
      <c r="H40" s="71" t="n">
        <v>-4428</v>
      </c>
      <c r="I40" s="71" t="n">
        <f aca="false">H40*'Reporting Hebdo'!$E$3</f>
        <v>-2904577.596</v>
      </c>
      <c r="J40" s="69" t="s">
        <v>143</v>
      </c>
    </row>
    <row r="41" customFormat="false" ht="14.25" hidden="false" customHeight="false" outlineLevel="0" collapsed="false">
      <c r="A41" s="69" t="s">
        <v>3</v>
      </c>
      <c r="B41" s="70" t="s">
        <v>68</v>
      </c>
      <c r="C41" s="70" t="s">
        <v>36</v>
      </c>
      <c r="D41" s="70" t="s">
        <v>130</v>
      </c>
      <c r="E41" s="70" t="s">
        <v>263</v>
      </c>
      <c r="F41" s="70" t="s">
        <v>264</v>
      </c>
      <c r="G41" s="70" t="s">
        <v>306</v>
      </c>
      <c r="H41" s="71" t="n">
        <v>-13438.3258880536</v>
      </c>
      <c r="I41" s="71" t="n">
        <f aca="false">H41*'Reporting Hebdo'!$E$3</f>
        <v>-8814963.93454997</v>
      </c>
      <c r="J41" s="69" t="s">
        <v>143</v>
      </c>
    </row>
    <row r="42" customFormat="false" ht="14.25" hidden="false" customHeight="false" outlineLevel="0" collapsed="false">
      <c r="A42" s="69" t="s">
        <v>3</v>
      </c>
      <c r="B42" s="70" t="s">
        <v>68</v>
      </c>
      <c r="C42" s="70" t="s">
        <v>36</v>
      </c>
      <c r="D42" s="70" t="s">
        <v>130</v>
      </c>
      <c r="E42" s="70" t="s">
        <v>307</v>
      </c>
      <c r="F42" s="70" t="s">
        <v>308</v>
      </c>
      <c r="G42" s="70"/>
      <c r="H42" s="71" t="n">
        <v>-9818</v>
      </c>
      <c r="I42" s="71" t="n">
        <f aca="false">H42*'Reporting Hebdo'!$E$3</f>
        <v>-6440185.826</v>
      </c>
      <c r="J42" s="69" t="s">
        <v>143</v>
      </c>
    </row>
    <row r="43" customFormat="false" ht="14.25" hidden="false" customHeight="false" outlineLevel="0" collapsed="false">
      <c r="A43" s="69" t="s">
        <v>3</v>
      </c>
      <c r="B43" s="70" t="s">
        <v>68</v>
      </c>
      <c r="C43" s="70" t="s">
        <v>36</v>
      </c>
      <c r="D43" s="70" t="s">
        <v>130</v>
      </c>
      <c r="E43" s="70" t="s">
        <v>266</v>
      </c>
      <c r="F43" s="70" t="s">
        <v>267</v>
      </c>
      <c r="G43" s="70" t="s">
        <v>309</v>
      </c>
      <c r="H43" s="71" t="n">
        <v>-8000</v>
      </c>
      <c r="I43" s="71" t="n">
        <f aca="false">H43*'Reporting Hebdo'!$E$3</f>
        <v>-5247656</v>
      </c>
      <c r="J43" s="69" t="s">
        <v>143</v>
      </c>
    </row>
    <row r="44" customFormat="false" ht="14.25" hidden="false" customHeight="false" outlineLevel="0" collapsed="false">
      <c r="A44" s="69" t="s">
        <v>3</v>
      </c>
      <c r="B44" s="70" t="s">
        <v>68</v>
      </c>
      <c r="C44" s="70" t="s">
        <v>36</v>
      </c>
      <c r="D44" s="70" t="s">
        <v>130</v>
      </c>
      <c r="E44" s="70" t="s">
        <v>269</v>
      </c>
      <c r="F44" s="70" t="s">
        <v>270</v>
      </c>
      <c r="G44" s="70"/>
      <c r="H44" s="71" t="n">
        <v>-53450.4567808718</v>
      </c>
      <c r="I44" s="71" t="n">
        <f aca="false">H44*'Reporting Hebdo'!$E$3</f>
        <v>-35061201.2786103</v>
      </c>
      <c r="J44" s="69" t="s">
        <v>143</v>
      </c>
    </row>
    <row r="45" customFormat="false" ht="14.25" hidden="false" customHeight="false" outlineLevel="0" collapsed="false">
      <c r="A45" s="69" t="s">
        <v>3</v>
      </c>
      <c r="B45" s="70" t="s">
        <v>68</v>
      </c>
      <c r="C45" s="70" t="s">
        <v>36</v>
      </c>
      <c r="D45" s="70" t="s">
        <v>131</v>
      </c>
      <c r="E45" s="70" t="s">
        <v>310</v>
      </c>
      <c r="F45" s="70" t="s">
        <v>311</v>
      </c>
      <c r="G45" s="70" t="s">
        <v>312</v>
      </c>
      <c r="H45" s="71" t="n">
        <v>-7000</v>
      </c>
      <c r="I45" s="71" t="n">
        <f aca="false">H45*'Reporting Hebdo'!$E$3</f>
        <v>-4591699</v>
      </c>
      <c r="J45" s="69" t="s">
        <v>143</v>
      </c>
    </row>
    <row r="46" customFormat="false" ht="14.25" hidden="false" customHeight="false" outlineLevel="0" collapsed="false">
      <c r="A46" s="69" t="s">
        <v>3</v>
      </c>
      <c r="B46" s="70" t="s">
        <v>68</v>
      </c>
      <c r="C46" s="70" t="s">
        <v>36</v>
      </c>
      <c r="D46" s="70" t="s">
        <v>132</v>
      </c>
      <c r="E46" s="70" t="s">
        <v>277</v>
      </c>
      <c r="F46" s="70" t="s">
        <v>278</v>
      </c>
      <c r="G46" s="70"/>
      <c r="H46" s="71" t="n">
        <v>-214443.771988541</v>
      </c>
      <c r="I46" s="71" t="n">
        <f aca="false">H46*'Reporting Hebdo'!$E$3</f>
        <v>-140665893.342287</v>
      </c>
      <c r="J46" s="69" t="s">
        <v>143</v>
      </c>
    </row>
    <row r="47" customFormat="false" ht="14.25" hidden="false" customHeight="false" outlineLevel="0" collapsed="false">
      <c r="A47" s="69" t="s">
        <v>3</v>
      </c>
      <c r="B47" s="70" t="s">
        <v>68</v>
      </c>
      <c r="C47" s="70" t="s">
        <v>36</v>
      </c>
      <c r="D47" s="70" t="s">
        <v>132</v>
      </c>
      <c r="E47" s="70" t="s">
        <v>313</v>
      </c>
      <c r="F47" s="70" t="s">
        <v>314</v>
      </c>
      <c r="G47" s="70"/>
      <c r="H47" s="71" t="n">
        <v>75303.6300334538</v>
      </c>
      <c r="I47" s="71" t="n">
        <f aca="false">H47*'Reporting Hebdo'!$E$3</f>
        <v>49395943.2458543</v>
      </c>
      <c r="J47" s="69" t="s">
        <v>143</v>
      </c>
    </row>
    <row r="48" customFormat="false" ht="14.25" hidden="false" customHeight="false" outlineLevel="0" collapsed="false">
      <c r="A48" s="69" t="s">
        <v>3</v>
      </c>
      <c r="B48" s="70" t="s">
        <v>68</v>
      </c>
      <c r="C48" s="70" t="s">
        <v>36</v>
      </c>
      <c r="D48" s="70" t="s">
        <v>132</v>
      </c>
      <c r="E48" s="70" t="s">
        <v>279</v>
      </c>
      <c r="F48" s="70" t="s">
        <v>280</v>
      </c>
      <c r="G48" s="70"/>
      <c r="H48" s="71" t="n">
        <v>-146427.091330076</v>
      </c>
      <c r="I48" s="71" t="n">
        <f aca="false">H48*'Reporting Hebdo'!$E$3</f>
        <v>-96049875.5476027</v>
      </c>
      <c r="J48" s="69" t="s">
        <v>143</v>
      </c>
    </row>
    <row r="49" customFormat="false" ht="14.25" hidden="false" customHeight="false" outlineLevel="0" collapsed="false">
      <c r="A49" s="69" t="s">
        <v>3</v>
      </c>
      <c r="B49" s="70" t="s">
        <v>74</v>
      </c>
      <c r="C49" s="70" t="s">
        <v>28</v>
      </c>
      <c r="D49" s="70" t="s">
        <v>133</v>
      </c>
      <c r="E49" s="70"/>
      <c r="F49" s="70" t="s">
        <v>315</v>
      </c>
      <c r="G49" s="70" t="s">
        <v>316</v>
      </c>
      <c r="H49" s="71" t="n">
        <f aca="false">-343929648/'Reporting Hebdo'!$E$3</f>
        <v>-524317.368364085</v>
      </c>
      <c r="I49" s="71" t="n">
        <v>-343929648</v>
      </c>
      <c r="J49" s="69" t="s">
        <v>143</v>
      </c>
    </row>
    <row r="50" customFormat="false" ht="14.25" hidden="false" customHeight="false" outlineLevel="0" collapsed="false">
      <c r="A50" s="69" t="s">
        <v>4</v>
      </c>
      <c r="B50" s="70" t="s">
        <v>71</v>
      </c>
      <c r="C50" s="70" t="s">
        <v>32</v>
      </c>
      <c r="D50" s="70" t="s">
        <v>129</v>
      </c>
      <c r="E50" s="70" t="s">
        <v>241</v>
      </c>
      <c r="F50" s="70" t="s">
        <v>242</v>
      </c>
      <c r="G50" s="70"/>
      <c r="H50" s="71" t="n">
        <v>-12500</v>
      </c>
      <c r="I50" s="71" t="n">
        <f aca="false">H50*'Reporting Hebdo'!$E$3</f>
        <v>-8199462.5</v>
      </c>
      <c r="J50" s="69" t="s">
        <v>143</v>
      </c>
    </row>
    <row r="51" customFormat="false" ht="14.25" hidden="false" customHeight="false" outlineLevel="0" collapsed="false">
      <c r="A51" s="69" t="s">
        <v>4</v>
      </c>
      <c r="B51" s="70" t="s">
        <v>71</v>
      </c>
      <c r="C51" s="70" t="s">
        <v>32</v>
      </c>
      <c r="D51" s="70" t="s">
        <v>129</v>
      </c>
      <c r="E51" s="70" t="s">
        <v>243</v>
      </c>
      <c r="F51" s="70" t="s">
        <v>244</v>
      </c>
      <c r="G51" s="70"/>
      <c r="H51" s="71" t="n">
        <v>-579003.740695213</v>
      </c>
      <c r="I51" s="71" t="n">
        <f aca="false">H51*'Reporting Hebdo'!$E$3</f>
        <v>-379801556.73521</v>
      </c>
      <c r="J51" s="69" t="s">
        <v>143</v>
      </c>
    </row>
    <row r="52" customFormat="false" ht="14.25" hidden="false" customHeight="false" outlineLevel="0" collapsed="false">
      <c r="A52" s="69" t="s">
        <v>4</v>
      </c>
      <c r="B52" s="70" t="s">
        <v>71</v>
      </c>
      <c r="C52" s="70" t="s">
        <v>32</v>
      </c>
      <c r="D52" s="70" t="s">
        <v>129</v>
      </c>
      <c r="E52" s="70" t="s">
        <v>301</v>
      </c>
      <c r="F52" s="70" t="s">
        <v>317</v>
      </c>
      <c r="G52" s="70"/>
      <c r="H52" s="71" t="n">
        <v>-42223.4771296061</v>
      </c>
      <c r="I52" s="71" t="n">
        <f aca="false">H52*'Reporting Hebdo'!$E$3</f>
        <v>-27696785.387505</v>
      </c>
      <c r="J52" s="69" t="s">
        <v>143</v>
      </c>
    </row>
    <row r="53" customFormat="false" ht="14.25" hidden="false" customHeight="false" outlineLevel="0" collapsed="false">
      <c r="A53" s="69" t="s">
        <v>4</v>
      </c>
      <c r="B53" s="70" t="s">
        <v>71</v>
      </c>
      <c r="C53" s="70" t="s">
        <v>32</v>
      </c>
      <c r="D53" s="70" t="s">
        <v>129</v>
      </c>
      <c r="E53" s="70" t="s">
        <v>318</v>
      </c>
      <c r="F53" s="70" t="s">
        <v>319</v>
      </c>
      <c r="G53" s="70"/>
      <c r="H53" s="71" t="n">
        <v>-58400</v>
      </c>
      <c r="I53" s="71" t="n">
        <f aca="false">H53*'Reporting Hebdo'!$E$3</f>
        <v>-38307888.8</v>
      </c>
      <c r="J53" s="69" t="s">
        <v>143</v>
      </c>
    </row>
    <row r="54" customFormat="false" ht="14.25" hidden="false" customHeight="false" outlineLevel="0" collapsed="false">
      <c r="A54" s="69" t="s">
        <v>4</v>
      </c>
      <c r="B54" s="70" t="s">
        <v>71</v>
      </c>
      <c r="C54" s="70" t="s">
        <v>32</v>
      </c>
      <c r="D54" s="70" t="s">
        <v>130</v>
      </c>
      <c r="E54" s="70" t="s">
        <v>263</v>
      </c>
      <c r="F54" s="70" t="s">
        <v>264</v>
      </c>
      <c r="G54" s="70" t="s">
        <v>265</v>
      </c>
      <c r="H54" s="71" t="n">
        <v>-4827.47520035612</v>
      </c>
      <c r="I54" s="71" t="n">
        <f aca="false">H54*'Reporting Hebdo'!$E$3</f>
        <v>-3166616.15</v>
      </c>
      <c r="J54" s="69" t="s">
        <v>143</v>
      </c>
    </row>
    <row r="55" customFormat="false" ht="14.25" hidden="false" customHeight="false" outlineLevel="0" collapsed="false">
      <c r="A55" s="69" t="s">
        <v>4</v>
      </c>
      <c r="B55" s="70" t="s">
        <v>71</v>
      </c>
      <c r="C55" s="70" t="s">
        <v>32</v>
      </c>
      <c r="D55" s="70" t="s">
        <v>130</v>
      </c>
      <c r="E55" s="70" t="s">
        <v>266</v>
      </c>
      <c r="F55" s="70" t="s">
        <v>267</v>
      </c>
      <c r="G55" s="70" t="s">
        <v>268</v>
      </c>
      <c r="H55" s="71" t="n">
        <v>-8253</v>
      </c>
      <c r="I55" s="71" t="n">
        <f aca="false">H55*'Reporting Hebdo'!$E$3</f>
        <v>-5413613.121</v>
      </c>
      <c r="J55" s="69" t="s">
        <v>143</v>
      </c>
    </row>
    <row r="56" customFormat="false" ht="14.25" hidden="false" customHeight="false" outlineLevel="0" collapsed="false">
      <c r="A56" s="69" t="s">
        <v>4</v>
      </c>
      <c r="B56" s="70" t="s">
        <v>71</v>
      </c>
      <c r="C56" s="70" t="s">
        <v>32</v>
      </c>
      <c r="D56" s="70" t="s">
        <v>130</v>
      </c>
      <c r="E56" s="70" t="s">
        <v>269</v>
      </c>
      <c r="F56" s="70" t="s">
        <v>270</v>
      </c>
      <c r="G56" s="70"/>
      <c r="H56" s="71" t="n">
        <v>-4731.00497590421</v>
      </c>
      <c r="I56" s="71" t="n">
        <f aca="false">H56*'Reporting Hebdo'!$E$3</f>
        <v>-3103335.8309792</v>
      </c>
      <c r="J56" s="69" t="s">
        <v>143</v>
      </c>
    </row>
    <row r="57" customFormat="false" ht="14.25" hidden="false" customHeight="false" outlineLevel="0" collapsed="false">
      <c r="A57" s="69" t="s">
        <v>4</v>
      </c>
      <c r="B57" s="70" t="s">
        <v>71</v>
      </c>
      <c r="C57" s="70" t="s">
        <v>32</v>
      </c>
      <c r="D57" s="70" t="s">
        <v>131</v>
      </c>
      <c r="E57" s="70" t="s">
        <v>310</v>
      </c>
      <c r="F57" s="70" t="s">
        <v>311</v>
      </c>
      <c r="G57" s="70" t="s">
        <v>159</v>
      </c>
      <c r="H57" s="71" t="n">
        <v>-10000</v>
      </c>
      <c r="I57" s="71" t="n">
        <f aca="false">H57*'Reporting Hebdo'!$E$3</f>
        <v>-6559570</v>
      </c>
      <c r="J57" s="69" t="s">
        <v>143</v>
      </c>
    </row>
    <row r="58" customFormat="false" ht="14.25" hidden="false" customHeight="false" outlineLevel="0" collapsed="false">
      <c r="A58" s="69" t="s">
        <v>4</v>
      </c>
      <c r="B58" s="70" t="s">
        <v>68</v>
      </c>
      <c r="C58" s="70" t="s">
        <v>36</v>
      </c>
      <c r="D58" s="70" t="s">
        <v>128</v>
      </c>
      <c r="E58" s="70" t="s">
        <v>320</v>
      </c>
      <c r="F58" s="70" t="s">
        <v>321</v>
      </c>
      <c r="G58" s="70" t="s">
        <v>322</v>
      </c>
      <c r="H58" s="71" t="n">
        <v>-22400</v>
      </c>
      <c r="I58" s="71" t="n">
        <f aca="false">H58*'Reporting Hebdo'!$E$3</f>
        <v>-14693436.8</v>
      </c>
      <c r="J58" s="69" t="s">
        <v>143</v>
      </c>
    </row>
    <row r="59" customFormat="false" ht="14.25" hidden="false" customHeight="false" outlineLevel="0" collapsed="false">
      <c r="A59" s="69" t="s">
        <v>4</v>
      </c>
      <c r="B59" s="70" t="s">
        <v>68</v>
      </c>
      <c r="C59" s="70" t="s">
        <v>36</v>
      </c>
      <c r="D59" s="70" t="s">
        <v>129</v>
      </c>
      <c r="E59" s="70" t="s">
        <v>291</v>
      </c>
      <c r="F59" s="70" t="s">
        <v>292</v>
      </c>
      <c r="G59" s="70" t="s">
        <v>293</v>
      </c>
      <c r="H59" s="71" t="n">
        <v>-64093.9829787878</v>
      </c>
      <c r="I59" s="71" t="n">
        <f aca="false">H59*'Reporting Hebdo'!$E$3</f>
        <v>-42042896.7928167</v>
      </c>
      <c r="J59" s="69" t="s">
        <v>143</v>
      </c>
    </row>
    <row r="60" customFormat="false" ht="14.25" hidden="false" customHeight="false" outlineLevel="0" collapsed="false">
      <c r="A60" s="69" t="s">
        <v>4</v>
      </c>
      <c r="B60" s="70" t="s">
        <v>68</v>
      </c>
      <c r="C60" s="70" t="s">
        <v>36</v>
      </c>
      <c r="D60" s="70" t="s">
        <v>129</v>
      </c>
      <c r="E60" s="70" t="s">
        <v>294</v>
      </c>
      <c r="F60" s="70" t="s">
        <v>295</v>
      </c>
      <c r="G60" s="70"/>
      <c r="H60" s="71" t="n">
        <v>-495269.113074799</v>
      </c>
      <c r="I60" s="71" t="n">
        <f aca="false">H60*'Reporting Hebdo'!$E$3</f>
        <v>-324875241.605206</v>
      </c>
      <c r="J60" s="69" t="s">
        <v>143</v>
      </c>
    </row>
    <row r="61" customFormat="false" ht="14.25" hidden="false" customHeight="false" outlineLevel="0" collapsed="false">
      <c r="A61" s="69" t="s">
        <v>4</v>
      </c>
      <c r="B61" s="70" t="s">
        <v>68</v>
      </c>
      <c r="C61" s="70" t="s">
        <v>36</v>
      </c>
      <c r="D61" s="70" t="s">
        <v>129</v>
      </c>
      <c r="E61" s="70" t="s">
        <v>294</v>
      </c>
      <c r="F61" s="70" t="s">
        <v>323</v>
      </c>
      <c r="G61" s="70"/>
      <c r="H61" s="71" t="n">
        <v>-333541.254723291</v>
      </c>
      <c r="I61" s="71" t="n">
        <f aca="false">H61*'Reporting Hebdo'!$E$3</f>
        <v>-218788720.824526</v>
      </c>
      <c r="J61" s="69" t="s">
        <v>143</v>
      </c>
    </row>
    <row r="62" customFormat="false" ht="14.25" hidden="false" customHeight="false" outlineLevel="0" collapsed="false">
      <c r="A62" s="69" t="s">
        <v>4</v>
      </c>
      <c r="B62" s="70" t="s">
        <v>68</v>
      </c>
      <c r="C62" s="70" t="s">
        <v>36</v>
      </c>
      <c r="D62" s="70" t="s">
        <v>129</v>
      </c>
      <c r="E62" s="70" t="s">
        <v>296</v>
      </c>
      <c r="F62" s="70" t="s">
        <v>324</v>
      </c>
      <c r="G62" s="70"/>
      <c r="H62" s="71" t="n">
        <v>-54877.4133688326</v>
      </c>
      <c r="I62" s="71" t="n">
        <f aca="false">H62*'Reporting Hebdo'!$E$3</f>
        <v>-35997223.4411793</v>
      </c>
      <c r="J62" s="69" t="s">
        <v>143</v>
      </c>
    </row>
    <row r="63" customFormat="false" ht="14.25" hidden="false" customHeight="false" outlineLevel="0" collapsed="false">
      <c r="A63" s="69" t="s">
        <v>4</v>
      </c>
      <c r="B63" s="70" t="s">
        <v>68</v>
      </c>
      <c r="C63" s="70" t="s">
        <v>36</v>
      </c>
      <c r="D63" s="70" t="s">
        <v>129</v>
      </c>
      <c r="E63" s="70" t="s">
        <v>298</v>
      </c>
      <c r="F63" s="70" t="s">
        <v>325</v>
      </c>
      <c r="G63" s="70"/>
      <c r="H63" s="71" t="n">
        <v>-141680.227050778</v>
      </c>
      <c r="I63" s="71" t="n">
        <f aca="false">H63*'Reporting Hebdo'!$E$3</f>
        <v>-92936136.6955472</v>
      </c>
      <c r="J63" s="69" t="s">
        <v>143</v>
      </c>
    </row>
    <row r="64" customFormat="false" ht="14.25" hidden="false" customHeight="false" outlineLevel="0" collapsed="false">
      <c r="A64" s="69" t="s">
        <v>4</v>
      </c>
      <c r="B64" s="70" t="s">
        <v>68</v>
      </c>
      <c r="C64" s="70" t="s">
        <v>36</v>
      </c>
      <c r="D64" s="70" t="s">
        <v>129</v>
      </c>
      <c r="E64" s="70" t="s">
        <v>243</v>
      </c>
      <c r="F64" s="70" t="s">
        <v>326</v>
      </c>
      <c r="G64" s="70"/>
      <c r="H64" s="71" t="n">
        <v>-207907.041582766</v>
      </c>
      <c r="I64" s="71" t="n">
        <f aca="false">H64*'Reporting Hebdo'!$E$3</f>
        <v>-136378079.275506</v>
      </c>
      <c r="J64" s="69" t="s">
        <v>143</v>
      </c>
    </row>
    <row r="65" customFormat="false" ht="14.25" hidden="false" customHeight="false" outlineLevel="0" collapsed="false">
      <c r="A65" s="69" t="s">
        <v>4</v>
      </c>
      <c r="B65" s="70" t="s">
        <v>68</v>
      </c>
      <c r="C65" s="70" t="s">
        <v>36</v>
      </c>
      <c r="D65" s="70" t="s">
        <v>130</v>
      </c>
      <c r="E65" s="70" t="s">
        <v>263</v>
      </c>
      <c r="F65" s="70" t="s">
        <v>264</v>
      </c>
      <c r="G65" s="70" t="s">
        <v>306</v>
      </c>
      <c r="H65" s="71" t="n">
        <v>-6719.32588805364</v>
      </c>
      <c r="I65" s="71" t="n">
        <f aca="false">H65*'Reporting Hebdo'!$E$3</f>
        <v>-4407588.85155</v>
      </c>
      <c r="J65" s="69" t="s">
        <v>143</v>
      </c>
    </row>
    <row r="66" customFormat="false" ht="14.25" hidden="false" customHeight="false" outlineLevel="0" collapsed="false">
      <c r="A66" s="69" t="s">
        <v>4</v>
      </c>
      <c r="B66" s="70" t="s">
        <v>68</v>
      </c>
      <c r="C66" s="70" t="s">
        <v>36</v>
      </c>
      <c r="D66" s="70" t="s">
        <v>130</v>
      </c>
      <c r="E66" s="70" t="s">
        <v>269</v>
      </c>
      <c r="F66" s="70" t="s">
        <v>270</v>
      </c>
      <c r="G66" s="70"/>
      <c r="H66" s="71" t="n">
        <v>-4100.35131707723</v>
      </c>
      <c r="I66" s="71" t="n">
        <f aca="false">H66*'Reporting Hebdo'!$E$3</f>
        <v>-2689654.14889603</v>
      </c>
      <c r="J66" s="69" t="s">
        <v>143</v>
      </c>
    </row>
    <row r="67" customFormat="false" ht="14.25" hidden="false" customHeight="false" outlineLevel="0" collapsed="false">
      <c r="A67" s="69" t="s">
        <v>4</v>
      </c>
      <c r="B67" s="70" t="s">
        <v>68</v>
      </c>
      <c r="C67" s="70" t="s">
        <v>36</v>
      </c>
      <c r="D67" s="70" t="s">
        <v>131</v>
      </c>
      <c r="E67" s="70" t="s">
        <v>271</v>
      </c>
      <c r="F67" s="70" t="s">
        <v>272</v>
      </c>
      <c r="G67" s="70" t="s">
        <v>327</v>
      </c>
      <c r="H67" s="71" t="n">
        <v>-11683</v>
      </c>
      <c r="I67" s="71" t="n">
        <f aca="false">H67*'Reporting Hebdo'!$E$3</f>
        <v>-7663545.631</v>
      </c>
      <c r="J67" s="69" t="s">
        <v>143</v>
      </c>
    </row>
    <row r="68" customFormat="false" ht="14.25" hidden="false" customHeight="false" outlineLevel="0" collapsed="false">
      <c r="A68" s="69" t="s">
        <v>4</v>
      </c>
      <c r="B68" s="70" t="s">
        <v>68</v>
      </c>
      <c r="C68" s="70" t="s">
        <v>36</v>
      </c>
      <c r="D68" s="70" t="s">
        <v>131</v>
      </c>
      <c r="E68" s="70" t="s">
        <v>310</v>
      </c>
      <c r="F68" s="70" t="s">
        <v>311</v>
      </c>
      <c r="G68" s="70" t="s">
        <v>312</v>
      </c>
      <c r="H68" s="71" t="n">
        <v>-3000</v>
      </c>
      <c r="I68" s="71" t="n">
        <f aca="false">H68*'Reporting Hebdo'!$E$3</f>
        <v>-1967871</v>
      </c>
      <c r="J68" s="69" t="s">
        <v>143</v>
      </c>
    </row>
    <row r="69" customFormat="false" ht="14.25" hidden="false" customHeight="false" outlineLevel="0" collapsed="false">
      <c r="A69" s="69" t="s">
        <v>4</v>
      </c>
      <c r="B69" s="70" t="s">
        <v>68</v>
      </c>
      <c r="C69" s="70" t="s">
        <v>36</v>
      </c>
      <c r="D69" s="70" t="s">
        <v>131</v>
      </c>
      <c r="E69" s="70" t="s">
        <v>328</v>
      </c>
      <c r="F69" s="70" t="s">
        <v>329</v>
      </c>
      <c r="G69" s="70" t="s">
        <v>330</v>
      </c>
      <c r="H69" s="71" t="n">
        <v>-35480</v>
      </c>
      <c r="I69" s="71" t="n">
        <f aca="false">H69*'Reporting Hebdo'!$E$3</f>
        <v>-23273354.36</v>
      </c>
      <c r="J69" s="69" t="s">
        <v>143</v>
      </c>
    </row>
    <row r="70" customFormat="false" ht="14.25" hidden="false" customHeight="false" outlineLevel="0" collapsed="false">
      <c r="A70" s="69" t="s">
        <v>4</v>
      </c>
      <c r="B70" s="70" t="s">
        <v>68</v>
      </c>
      <c r="C70" s="70" t="s">
        <v>36</v>
      </c>
      <c r="D70" s="70" t="s">
        <v>132</v>
      </c>
      <c r="E70" s="70" t="s">
        <v>331</v>
      </c>
      <c r="F70" s="70" t="s">
        <v>332</v>
      </c>
      <c r="G70" s="70"/>
      <c r="H70" s="71" t="n">
        <v>-504987.369598922</v>
      </c>
      <c r="I70" s="71" t="n">
        <f aca="false">H70*'Reporting Hebdo'!$E$3</f>
        <v>-331250000</v>
      </c>
      <c r="J70" s="69" t="s">
        <v>143</v>
      </c>
    </row>
    <row r="71" customFormat="false" ht="14.25" hidden="false" customHeight="false" outlineLevel="0" collapsed="false">
      <c r="A71" s="69" t="s">
        <v>4</v>
      </c>
      <c r="B71" s="70" t="s">
        <v>68</v>
      </c>
      <c r="C71" s="70" t="s">
        <v>36</v>
      </c>
      <c r="D71" s="70" t="s">
        <v>132</v>
      </c>
      <c r="E71" s="70" t="s">
        <v>333</v>
      </c>
      <c r="F71" s="70" t="s">
        <v>334</v>
      </c>
      <c r="G71" s="70"/>
      <c r="H71" s="71" t="n">
        <v>-8404.26434696672</v>
      </c>
      <c r="I71" s="71" t="n">
        <f aca="false">H71*'Reporting Hebdo'!$E$3</f>
        <v>-5512836.02824325</v>
      </c>
      <c r="J71" s="69" t="s">
        <v>143</v>
      </c>
    </row>
    <row r="72" customFormat="false" ht="14.25" hidden="false" customHeight="false" outlineLevel="0" collapsed="false">
      <c r="A72" s="69" t="s">
        <v>6</v>
      </c>
      <c r="B72" s="70" t="s">
        <v>71</v>
      </c>
      <c r="C72" s="70" t="s">
        <v>32</v>
      </c>
      <c r="D72" s="70" t="s">
        <v>130</v>
      </c>
      <c r="E72" s="70" t="s">
        <v>254</v>
      </c>
      <c r="F72" s="70" t="s">
        <v>255</v>
      </c>
      <c r="G72" s="70" t="s">
        <v>256</v>
      </c>
      <c r="H72" s="71" t="n">
        <v>-20580.7956924006</v>
      </c>
      <c r="I72" s="71" t="n">
        <f aca="false">H72*'Reporting Hebdo'!$E$3</f>
        <v>-13500117</v>
      </c>
      <c r="J72" s="69" t="s">
        <v>143</v>
      </c>
    </row>
    <row r="73" customFormat="false" ht="14.25" hidden="false" customHeight="false" outlineLevel="0" collapsed="false">
      <c r="A73" s="69" t="s">
        <v>6</v>
      </c>
      <c r="B73" s="70" t="s">
        <v>68</v>
      </c>
      <c r="C73" s="70" t="s">
        <v>36</v>
      </c>
      <c r="D73" s="70" t="s">
        <v>130</v>
      </c>
      <c r="E73" s="70" t="s">
        <v>254</v>
      </c>
      <c r="F73" s="70" t="s">
        <v>255</v>
      </c>
      <c r="G73" s="70" t="s">
        <v>256</v>
      </c>
      <c r="H73" s="71" t="n">
        <v>-20699.6535153276</v>
      </c>
      <c r="I73" s="71" t="n">
        <f aca="false">H73*'Reporting Hebdo'!$E$3</f>
        <v>-13578082.6209537</v>
      </c>
      <c r="J73" s="69" t="s">
        <v>143</v>
      </c>
    </row>
    <row r="74" customFormat="false" ht="14.25" hidden="false" customHeight="false" outlineLevel="0" collapsed="false">
      <c r="A74" s="69" t="s">
        <v>335</v>
      </c>
      <c r="B74" s="70" t="s">
        <v>71</v>
      </c>
      <c r="C74" s="70" t="s">
        <v>32</v>
      </c>
      <c r="D74" s="70" t="s">
        <v>129</v>
      </c>
      <c r="E74" s="70" t="s">
        <v>336</v>
      </c>
      <c r="F74" s="70" t="s">
        <v>337</v>
      </c>
      <c r="G74" s="70"/>
      <c r="H74" s="71" t="n">
        <v>-11750</v>
      </c>
      <c r="I74" s="71" t="n">
        <f aca="false">H74*'Reporting Hebdo'!$E$3</f>
        <v>-7707494.75</v>
      </c>
      <c r="J74" s="69" t="s">
        <v>143</v>
      </c>
    </row>
    <row r="75" customFormat="false" ht="14.25" hidden="false" customHeight="false" outlineLevel="0" collapsed="false">
      <c r="A75" s="69" t="s">
        <v>335</v>
      </c>
      <c r="B75" s="70" t="s">
        <v>71</v>
      </c>
      <c r="C75" s="70" t="s">
        <v>32</v>
      </c>
      <c r="D75" s="70" t="s">
        <v>129</v>
      </c>
      <c r="E75" s="70" t="s">
        <v>241</v>
      </c>
      <c r="F75" s="70" t="s">
        <v>242</v>
      </c>
      <c r="G75" s="70"/>
      <c r="H75" s="71" t="n">
        <v>-12500</v>
      </c>
      <c r="I75" s="71" t="n">
        <f aca="false">H75*'Reporting Hebdo'!$E$3</f>
        <v>-8199462.5</v>
      </c>
      <c r="J75" s="69" t="s">
        <v>143</v>
      </c>
    </row>
    <row r="76" customFormat="false" ht="14.25" hidden="false" customHeight="false" outlineLevel="0" collapsed="false">
      <c r="A76" s="69" t="s">
        <v>335</v>
      </c>
      <c r="B76" s="70" t="s">
        <v>71</v>
      </c>
      <c r="C76" s="70" t="s">
        <v>32</v>
      </c>
      <c r="D76" s="70" t="s">
        <v>129</v>
      </c>
      <c r="E76" s="70" t="s">
        <v>243</v>
      </c>
      <c r="F76" s="70" t="s">
        <v>244</v>
      </c>
      <c r="G76" s="70"/>
      <c r="H76" s="71" t="n">
        <v>-598630.986142509</v>
      </c>
      <c r="I76" s="71" t="n">
        <f aca="false">H76*'Reporting Hebdo'!$E$3</f>
        <v>-392676185.777082</v>
      </c>
      <c r="J76" s="69" t="s">
        <v>143</v>
      </c>
    </row>
    <row r="77" customFormat="false" ht="14.25" hidden="false" customHeight="false" outlineLevel="0" collapsed="false">
      <c r="A77" s="69" t="s">
        <v>335</v>
      </c>
      <c r="B77" s="70" t="s">
        <v>71</v>
      </c>
      <c r="C77" s="70" t="s">
        <v>32</v>
      </c>
      <c r="D77" s="70" t="s">
        <v>129</v>
      </c>
      <c r="E77" s="70" t="s">
        <v>301</v>
      </c>
      <c r="F77" s="70" t="s">
        <v>317</v>
      </c>
      <c r="G77" s="70"/>
      <c r="H77" s="71" t="n">
        <v>-52358.11457366</v>
      </c>
      <c r="I77" s="71" t="n">
        <f aca="false">H77*'Reporting Hebdo'!$E$3</f>
        <v>-34344671.7613943</v>
      </c>
      <c r="J77" s="69" t="s">
        <v>143</v>
      </c>
    </row>
    <row r="78" customFormat="false" ht="14.25" hidden="false" customHeight="false" outlineLevel="0" collapsed="false">
      <c r="A78" s="69" t="s">
        <v>335</v>
      </c>
      <c r="B78" s="70" t="s">
        <v>71</v>
      </c>
      <c r="C78" s="70" t="s">
        <v>32</v>
      </c>
      <c r="D78" s="70" t="s">
        <v>129</v>
      </c>
      <c r="E78" s="70" t="s">
        <v>338</v>
      </c>
      <c r="F78" s="70" t="s">
        <v>339</v>
      </c>
      <c r="G78" s="70"/>
      <c r="H78" s="71" t="n">
        <v>-20266.9554210017</v>
      </c>
      <c r="I78" s="71" t="n">
        <f aca="false">H78*'Reporting Hebdo'!$E$3</f>
        <v>-13294251.277094</v>
      </c>
      <c r="J78" s="69" t="s">
        <v>143</v>
      </c>
    </row>
    <row r="79" customFormat="false" ht="14.25" hidden="false" customHeight="false" outlineLevel="0" collapsed="false">
      <c r="A79" s="69" t="s">
        <v>335</v>
      </c>
      <c r="B79" s="70" t="s">
        <v>71</v>
      </c>
      <c r="C79" s="70" t="s">
        <v>32</v>
      </c>
      <c r="D79" s="70" t="s">
        <v>129</v>
      </c>
      <c r="E79" s="70" t="s">
        <v>340</v>
      </c>
      <c r="F79" s="70" t="s">
        <v>341</v>
      </c>
      <c r="G79" s="70"/>
      <c r="H79" s="71" t="n">
        <v>-5391.58566545203</v>
      </c>
      <c r="I79" s="71" t="n">
        <f aca="false">H79*'Reporting Hebdo'!$E$3</f>
        <v>-3536648.35835292</v>
      </c>
      <c r="J79" s="69" t="s">
        <v>143</v>
      </c>
    </row>
    <row r="80" customFormat="false" ht="14.25" hidden="false" customHeight="false" outlineLevel="0" collapsed="false">
      <c r="A80" s="69" t="s">
        <v>335</v>
      </c>
      <c r="B80" s="70" t="s">
        <v>71</v>
      </c>
      <c r="C80" s="70" t="s">
        <v>32</v>
      </c>
      <c r="D80" s="70" t="s">
        <v>129</v>
      </c>
      <c r="E80" s="70" t="s">
        <v>342</v>
      </c>
      <c r="F80" s="70" t="s">
        <v>343</v>
      </c>
      <c r="G80" s="70"/>
      <c r="H80" s="71" t="n">
        <v>-2149.38726435529</v>
      </c>
      <c r="I80" s="71" t="n">
        <f aca="false">H80*'Reporting Hebdo'!$E$3</f>
        <v>-1409905.6217647</v>
      </c>
      <c r="J80" s="69" t="s">
        <v>143</v>
      </c>
    </row>
    <row r="81" customFormat="false" ht="14.25" hidden="false" customHeight="false" outlineLevel="0" collapsed="false">
      <c r="A81" s="69" t="s">
        <v>335</v>
      </c>
      <c r="B81" s="70" t="s">
        <v>71</v>
      </c>
      <c r="C81" s="70" t="s">
        <v>32</v>
      </c>
      <c r="D81" s="70" t="s">
        <v>129</v>
      </c>
      <c r="E81" s="70" t="s">
        <v>344</v>
      </c>
      <c r="F81" s="70" t="s">
        <v>345</v>
      </c>
      <c r="G81" s="70"/>
      <c r="H81" s="71" t="n">
        <v>-21726.2989786363</v>
      </c>
      <c r="I81" s="71" t="n">
        <f aca="false">H81*'Reporting Hebdo'!$E$3</f>
        <v>-14251517.8991293</v>
      </c>
      <c r="J81" s="69" t="s">
        <v>143</v>
      </c>
    </row>
    <row r="82" customFormat="false" ht="14.25" hidden="false" customHeight="false" outlineLevel="0" collapsed="false">
      <c r="A82" s="69" t="s">
        <v>335</v>
      </c>
      <c r="B82" s="70" t="s">
        <v>71</v>
      </c>
      <c r="C82" s="70" t="s">
        <v>32</v>
      </c>
      <c r="D82" s="70" t="s">
        <v>129</v>
      </c>
      <c r="E82" s="70" t="s">
        <v>346</v>
      </c>
      <c r="F82" s="70" t="s">
        <v>347</v>
      </c>
      <c r="G82" s="70"/>
      <c r="H82" s="71" t="n">
        <v>-13508.1275358167</v>
      </c>
      <c r="I82" s="71" t="n">
        <f aca="false">H82*'Reporting Hebdo'!$E$3</f>
        <v>-8860750.81401172</v>
      </c>
      <c r="J82" s="69" t="s">
        <v>143</v>
      </c>
    </row>
    <row r="83" customFormat="false" ht="14.25" hidden="false" customHeight="false" outlineLevel="0" collapsed="false">
      <c r="A83" s="69" t="s">
        <v>335</v>
      </c>
      <c r="B83" s="70" t="s">
        <v>71</v>
      </c>
      <c r="C83" s="70" t="s">
        <v>32</v>
      </c>
      <c r="D83" s="70" t="s">
        <v>129</v>
      </c>
      <c r="E83" s="70" t="s">
        <v>318</v>
      </c>
      <c r="F83" s="70" t="s">
        <v>319</v>
      </c>
      <c r="G83" s="70"/>
      <c r="H83" s="71" t="n">
        <v>-58400</v>
      </c>
      <c r="I83" s="71" t="n">
        <f aca="false">H83*'Reporting Hebdo'!$E$3</f>
        <v>-38307888.8</v>
      </c>
      <c r="J83" s="69" t="s">
        <v>143</v>
      </c>
    </row>
    <row r="84" customFormat="false" ht="14.25" hidden="false" customHeight="false" outlineLevel="0" collapsed="false">
      <c r="A84" s="69" t="s">
        <v>335</v>
      </c>
      <c r="B84" s="70" t="s">
        <v>71</v>
      </c>
      <c r="C84" s="70" t="s">
        <v>32</v>
      </c>
      <c r="D84" s="70" t="s">
        <v>130</v>
      </c>
      <c r="E84" s="70" t="s">
        <v>251</v>
      </c>
      <c r="F84" s="70" t="s">
        <v>252</v>
      </c>
      <c r="G84" s="70" t="s">
        <v>253</v>
      </c>
      <c r="H84" s="71" t="n">
        <v>-6577</v>
      </c>
      <c r="I84" s="71" t="n">
        <f aca="false">H84*'Reporting Hebdo'!$E$3</f>
        <v>-4314229.189</v>
      </c>
      <c r="J84" s="69" t="s">
        <v>143</v>
      </c>
    </row>
    <row r="85" customFormat="false" ht="14.25" hidden="false" customHeight="false" outlineLevel="0" collapsed="false">
      <c r="A85" s="69" t="s">
        <v>335</v>
      </c>
      <c r="B85" s="70" t="s">
        <v>71</v>
      </c>
      <c r="C85" s="70" t="s">
        <v>32</v>
      </c>
      <c r="D85" s="70" t="s">
        <v>130</v>
      </c>
      <c r="E85" s="70" t="s">
        <v>254</v>
      </c>
      <c r="F85" s="70" t="s">
        <v>255</v>
      </c>
      <c r="G85" s="70" t="s">
        <v>256</v>
      </c>
      <c r="H85" s="71" t="n">
        <v>-20580.7956924006</v>
      </c>
      <c r="I85" s="71" t="n">
        <f aca="false">H85*'Reporting Hebdo'!$E$3</f>
        <v>-13500117</v>
      </c>
      <c r="J85" s="69" t="s">
        <v>143</v>
      </c>
    </row>
    <row r="86" customFormat="false" ht="14.25" hidden="false" customHeight="false" outlineLevel="0" collapsed="false">
      <c r="A86" s="69" t="s">
        <v>335</v>
      </c>
      <c r="B86" s="70" t="s">
        <v>71</v>
      </c>
      <c r="C86" s="70" t="s">
        <v>32</v>
      </c>
      <c r="D86" s="70" t="s">
        <v>130</v>
      </c>
      <c r="E86" s="70" t="s">
        <v>260</v>
      </c>
      <c r="F86" s="70" t="s">
        <v>261</v>
      </c>
      <c r="G86" s="70" t="s">
        <v>262</v>
      </c>
      <c r="H86" s="71" t="n">
        <v>-4878.36855159713</v>
      </c>
      <c r="I86" s="71" t="n">
        <f aca="false">H86*'Reporting Hebdo'!$E$3</f>
        <v>-3200000</v>
      </c>
      <c r="J86" s="69" t="s">
        <v>143</v>
      </c>
    </row>
    <row r="87" customFormat="false" ht="14.25" hidden="false" customHeight="false" outlineLevel="0" collapsed="false">
      <c r="A87" s="69" t="s">
        <v>335</v>
      </c>
      <c r="B87" s="70" t="s">
        <v>71</v>
      </c>
      <c r="C87" s="70" t="s">
        <v>32</v>
      </c>
      <c r="D87" s="70" t="s">
        <v>130</v>
      </c>
      <c r="E87" s="70" t="s">
        <v>263</v>
      </c>
      <c r="F87" s="70" t="s">
        <v>264</v>
      </c>
      <c r="G87" s="70" t="s">
        <v>265</v>
      </c>
      <c r="H87" s="71" t="n">
        <v>-4827.47520035612</v>
      </c>
      <c r="I87" s="71" t="n">
        <f aca="false">H87*'Reporting Hebdo'!$E$3</f>
        <v>-3166616.15</v>
      </c>
      <c r="J87" s="69" t="s">
        <v>143</v>
      </c>
    </row>
    <row r="88" customFormat="false" ht="14.25" hidden="false" customHeight="false" outlineLevel="0" collapsed="false">
      <c r="A88" s="69" t="s">
        <v>335</v>
      </c>
      <c r="B88" s="70" t="s">
        <v>71</v>
      </c>
      <c r="C88" s="70" t="s">
        <v>32</v>
      </c>
      <c r="D88" s="70" t="s">
        <v>130</v>
      </c>
      <c r="E88" s="70" t="s">
        <v>269</v>
      </c>
      <c r="F88" s="70" t="s">
        <v>270</v>
      </c>
      <c r="G88" s="70"/>
      <c r="H88" s="71" t="n">
        <v>-566.74170312227</v>
      </c>
      <c r="I88" s="71" t="n">
        <f aca="false">H88*'Reporting Hebdo'!$E$3</f>
        <v>-371758.187354975</v>
      </c>
      <c r="J88" s="69" t="s">
        <v>143</v>
      </c>
    </row>
    <row r="89" customFormat="false" ht="14.25" hidden="false" customHeight="false" outlineLevel="0" collapsed="false">
      <c r="A89" s="69" t="s">
        <v>335</v>
      </c>
      <c r="B89" s="70" t="s">
        <v>71</v>
      </c>
      <c r="C89" s="70" t="s">
        <v>32</v>
      </c>
      <c r="D89" s="70" t="s">
        <v>131</v>
      </c>
      <c r="E89" s="70" t="s">
        <v>310</v>
      </c>
      <c r="F89" s="70" t="s">
        <v>311</v>
      </c>
      <c r="G89" s="70" t="s">
        <v>159</v>
      </c>
      <c r="H89" s="71" t="n">
        <v>-5000</v>
      </c>
      <c r="I89" s="71" t="n">
        <f aca="false">H89*'Reporting Hebdo'!$E$3</f>
        <v>-3279785</v>
      </c>
      <c r="J89" s="69" t="s">
        <v>143</v>
      </c>
    </row>
    <row r="90" customFormat="false" ht="14.25" hidden="false" customHeight="false" outlineLevel="0" collapsed="false">
      <c r="A90" s="69" t="s">
        <v>335</v>
      </c>
      <c r="B90" s="70" t="s">
        <v>71</v>
      </c>
      <c r="C90" s="70" t="s">
        <v>32</v>
      </c>
      <c r="D90" s="70" t="s">
        <v>131</v>
      </c>
      <c r="E90" s="70" t="s">
        <v>328</v>
      </c>
      <c r="F90" s="70" t="s">
        <v>329</v>
      </c>
      <c r="G90" s="70" t="s">
        <v>348</v>
      </c>
      <c r="H90" s="71" t="n">
        <v>-42996.6942155933</v>
      </c>
      <c r="I90" s="71" t="n">
        <f aca="false">H90*'Reporting Hebdo'!$E$3</f>
        <v>-28203982.5475779</v>
      </c>
      <c r="J90" s="69" t="s">
        <v>143</v>
      </c>
    </row>
    <row r="91" customFormat="false" ht="14.25" hidden="false" customHeight="false" outlineLevel="0" collapsed="false">
      <c r="A91" s="69" t="s">
        <v>335</v>
      </c>
      <c r="B91" s="70" t="s">
        <v>71</v>
      </c>
      <c r="C91" s="70" t="s">
        <v>32</v>
      </c>
      <c r="D91" s="70" t="s">
        <v>349</v>
      </c>
      <c r="E91" s="70" t="s">
        <v>350</v>
      </c>
      <c r="F91" s="70" t="s">
        <v>351</v>
      </c>
      <c r="G91" s="70"/>
      <c r="H91" s="71" t="n">
        <v>-313500</v>
      </c>
      <c r="I91" s="71" t="n">
        <f aca="false">H91*'Reporting Hebdo'!$E$3</f>
        <v>-205642519.5</v>
      </c>
      <c r="J91" s="69" t="s">
        <v>143</v>
      </c>
    </row>
    <row r="92" customFormat="false" ht="14.25" hidden="false" customHeight="false" outlineLevel="0" collapsed="false">
      <c r="A92" s="69" t="s">
        <v>335</v>
      </c>
      <c r="B92" s="70" t="s">
        <v>71</v>
      </c>
      <c r="C92" s="70" t="s">
        <v>32</v>
      </c>
      <c r="D92" s="70" t="s">
        <v>349</v>
      </c>
      <c r="E92" s="70" t="s">
        <v>352</v>
      </c>
      <c r="F92" s="70" t="s">
        <v>353</v>
      </c>
      <c r="G92" s="70"/>
      <c r="H92" s="71" t="n">
        <v>-358671</v>
      </c>
      <c r="I92" s="71" t="n">
        <f aca="false">H92*'Reporting Hebdo'!$E$3</f>
        <v>-235272753.147</v>
      </c>
      <c r="J92" s="69" t="s">
        <v>143</v>
      </c>
    </row>
    <row r="93" customFormat="false" ht="14.25" hidden="false" customHeight="false" outlineLevel="0" collapsed="false">
      <c r="A93" s="69" t="s">
        <v>335</v>
      </c>
      <c r="B93" s="70" t="s">
        <v>71</v>
      </c>
      <c r="C93" s="70" t="s">
        <v>32</v>
      </c>
      <c r="D93" s="70" t="s">
        <v>132</v>
      </c>
      <c r="E93" s="70" t="s">
        <v>331</v>
      </c>
      <c r="F93" s="70" t="s">
        <v>332</v>
      </c>
      <c r="G93" s="70" t="s">
        <v>354</v>
      </c>
      <c r="H93" s="71" t="n">
        <v>-289547.416621821</v>
      </c>
      <c r="I93" s="71" t="n">
        <f aca="false">H93*'Reporting Hebdo'!$E$3</f>
        <v>-189930654.765</v>
      </c>
      <c r="J93" s="69" t="s">
        <v>143</v>
      </c>
    </row>
    <row r="94" customFormat="false" ht="14.25" hidden="false" customHeight="false" outlineLevel="0" collapsed="false">
      <c r="A94" s="69" t="s">
        <v>335</v>
      </c>
      <c r="B94" s="70" t="s">
        <v>71</v>
      </c>
      <c r="C94" s="70" t="s">
        <v>32</v>
      </c>
      <c r="D94" s="70" t="s">
        <v>132</v>
      </c>
      <c r="E94" s="70" t="s">
        <v>333</v>
      </c>
      <c r="F94" s="70" t="s">
        <v>334</v>
      </c>
      <c r="G94" s="70" t="s">
        <v>354</v>
      </c>
      <c r="H94" s="71" t="n">
        <v>-44236.4108727783</v>
      </c>
      <c r="I94" s="71" t="n">
        <f aca="false">H94*'Reporting Hebdo'!$E$3</f>
        <v>-29017183.366875</v>
      </c>
      <c r="J94" s="69" t="s">
        <v>143</v>
      </c>
    </row>
    <row r="95" customFormat="false" ht="14.25" hidden="false" customHeight="false" outlineLevel="0" collapsed="false">
      <c r="A95" s="69" t="s">
        <v>335</v>
      </c>
      <c r="B95" s="70" t="s">
        <v>68</v>
      </c>
      <c r="C95" s="70" t="s">
        <v>36</v>
      </c>
      <c r="D95" s="70" t="s">
        <v>129</v>
      </c>
      <c r="E95" s="70" t="s">
        <v>355</v>
      </c>
      <c r="F95" s="70" t="s">
        <v>356</v>
      </c>
      <c r="G95" s="70"/>
      <c r="H95" s="71" t="n">
        <v>200000</v>
      </c>
      <c r="I95" s="71" t="n">
        <f aca="false">H95*'Reporting Hebdo'!$E$3</f>
        <v>131191400</v>
      </c>
      <c r="J95" s="69" t="s">
        <v>143</v>
      </c>
    </row>
    <row r="96" customFormat="false" ht="14.25" hidden="false" customHeight="false" outlineLevel="0" collapsed="false">
      <c r="A96" s="69" t="s">
        <v>335</v>
      </c>
      <c r="B96" s="70" t="s">
        <v>68</v>
      </c>
      <c r="C96" s="70" t="s">
        <v>36</v>
      </c>
      <c r="D96" s="70" t="s">
        <v>129</v>
      </c>
      <c r="E96" s="70" t="s">
        <v>291</v>
      </c>
      <c r="F96" s="70" t="s">
        <v>292</v>
      </c>
      <c r="G96" s="70" t="s">
        <v>293</v>
      </c>
      <c r="H96" s="71" t="n">
        <v>-87897.3531212121</v>
      </c>
      <c r="I96" s="71" t="n">
        <f aca="false">H96*'Reporting Hebdo'!$E$3</f>
        <v>-57656884.0613309</v>
      </c>
      <c r="J96" s="69" t="s">
        <v>143</v>
      </c>
    </row>
    <row r="97" customFormat="false" ht="14.25" hidden="false" customHeight="false" outlineLevel="0" collapsed="false">
      <c r="A97" s="69" t="s">
        <v>335</v>
      </c>
      <c r="B97" s="70" t="s">
        <v>68</v>
      </c>
      <c r="C97" s="70" t="s">
        <v>36</v>
      </c>
      <c r="D97" s="70" t="s">
        <v>129</v>
      </c>
      <c r="E97" s="70" t="s">
        <v>294</v>
      </c>
      <c r="F97" s="70" t="s">
        <v>295</v>
      </c>
      <c r="G97" s="70"/>
      <c r="H97" s="71" t="n">
        <v>-645447.274543639</v>
      </c>
      <c r="I97" s="71" t="n">
        <f aca="false">H97*'Reporting Hebdo'!$E$3</f>
        <v>-423385657.867822</v>
      </c>
      <c r="J97" s="69" t="s">
        <v>143</v>
      </c>
    </row>
    <row r="98" customFormat="false" ht="14.25" hidden="false" customHeight="false" outlineLevel="0" collapsed="false">
      <c r="A98" s="69" t="s">
        <v>335</v>
      </c>
      <c r="B98" s="70" t="s">
        <v>68</v>
      </c>
      <c r="C98" s="70" t="s">
        <v>36</v>
      </c>
      <c r="D98" s="70" t="s">
        <v>129</v>
      </c>
      <c r="E98" s="70" t="s">
        <v>298</v>
      </c>
      <c r="F98" s="70" t="s">
        <v>299</v>
      </c>
      <c r="G98" s="70"/>
      <c r="H98" s="71" t="n">
        <v>-76680.3461787963</v>
      </c>
      <c r="I98" s="71" t="n">
        <f aca="false">H98*'Reporting Hebdo'!$E$3</f>
        <v>-50299009.8384047</v>
      </c>
      <c r="J98" s="69" t="s">
        <v>143</v>
      </c>
    </row>
    <row r="99" customFormat="false" ht="14.25" hidden="false" customHeight="false" outlineLevel="0" collapsed="false">
      <c r="A99" s="69" t="s">
        <v>335</v>
      </c>
      <c r="B99" s="70" t="s">
        <v>68</v>
      </c>
      <c r="C99" s="70" t="s">
        <v>36</v>
      </c>
      <c r="D99" s="70" t="s">
        <v>130</v>
      </c>
      <c r="E99" s="70" t="s">
        <v>251</v>
      </c>
      <c r="F99" s="70" t="s">
        <v>252</v>
      </c>
      <c r="G99" s="70" t="s">
        <v>305</v>
      </c>
      <c r="H99" s="71" t="n">
        <v>-18066.6228242957</v>
      </c>
      <c r="I99" s="71" t="n">
        <f aca="false">H99*'Reporting Hebdo'!$E$3</f>
        <v>-11850927.7079565</v>
      </c>
      <c r="J99" s="69" t="s">
        <v>143</v>
      </c>
    </row>
    <row r="100" customFormat="false" ht="14.25" hidden="false" customHeight="false" outlineLevel="0" collapsed="false">
      <c r="A100" s="69" t="s">
        <v>335</v>
      </c>
      <c r="B100" s="70" t="s">
        <v>68</v>
      </c>
      <c r="C100" s="70" t="s">
        <v>36</v>
      </c>
      <c r="D100" s="70" t="s">
        <v>130</v>
      </c>
      <c r="E100" s="70" t="s">
        <v>254</v>
      </c>
      <c r="F100" s="70" t="s">
        <v>255</v>
      </c>
      <c r="G100" s="70" t="s">
        <v>256</v>
      </c>
      <c r="H100" s="71" t="n">
        <v>-20699.6535153276</v>
      </c>
      <c r="I100" s="71" t="n">
        <f aca="false">H100*'Reporting Hebdo'!$E$3</f>
        <v>-13578082.6209537</v>
      </c>
      <c r="J100" s="69" t="s">
        <v>143</v>
      </c>
    </row>
    <row r="101" customFormat="false" ht="14.25" hidden="false" customHeight="false" outlineLevel="0" collapsed="false">
      <c r="A101" s="69" t="s">
        <v>335</v>
      </c>
      <c r="B101" s="70" t="s">
        <v>68</v>
      </c>
      <c r="C101" s="70" t="s">
        <v>36</v>
      </c>
      <c r="D101" s="70" t="s">
        <v>130</v>
      </c>
      <c r="E101" s="70" t="s">
        <v>263</v>
      </c>
      <c r="F101" s="70" t="s">
        <v>264</v>
      </c>
      <c r="G101" s="70" t="s">
        <v>306</v>
      </c>
      <c r="H101" s="71" t="n">
        <v>-6719.32588805364</v>
      </c>
      <c r="I101" s="71" t="n">
        <f aca="false">H101*'Reporting Hebdo'!$E$3</f>
        <v>-4407588.85155</v>
      </c>
      <c r="J101" s="69" t="s">
        <v>143</v>
      </c>
    </row>
    <row r="102" customFormat="false" ht="14.25" hidden="false" customHeight="false" outlineLevel="0" collapsed="false">
      <c r="A102" s="69" t="s">
        <v>335</v>
      </c>
      <c r="B102" s="70" t="s">
        <v>68</v>
      </c>
      <c r="C102" s="70" t="s">
        <v>36</v>
      </c>
      <c r="D102" s="70" t="s">
        <v>130</v>
      </c>
      <c r="E102" s="70" t="s">
        <v>266</v>
      </c>
      <c r="F102" s="70" t="s">
        <v>267</v>
      </c>
      <c r="G102" s="70" t="s">
        <v>309</v>
      </c>
      <c r="H102" s="71" t="n">
        <v>-10000</v>
      </c>
      <c r="I102" s="71" t="n">
        <f aca="false">H102*'Reporting Hebdo'!$E$3</f>
        <v>-6559570</v>
      </c>
      <c r="J102" s="69" t="s">
        <v>143</v>
      </c>
    </row>
    <row r="103" customFormat="false" ht="14.25" hidden="false" customHeight="false" outlineLevel="0" collapsed="false">
      <c r="A103" s="69" t="s">
        <v>335</v>
      </c>
      <c r="B103" s="70" t="s">
        <v>68</v>
      </c>
      <c r="C103" s="70" t="s">
        <v>36</v>
      </c>
      <c r="D103" s="70" t="s">
        <v>130</v>
      </c>
      <c r="E103" s="70" t="s">
        <v>269</v>
      </c>
      <c r="F103" s="70" t="s">
        <v>270</v>
      </c>
      <c r="G103" s="70"/>
      <c r="H103" s="71" t="n">
        <v>-1254.16854986108</v>
      </c>
      <c r="I103" s="71" t="n">
        <f aca="false">H103*'Reporting Hebdo'!$E$3</f>
        <v>-822680.639461224</v>
      </c>
      <c r="J103" s="69" t="s">
        <v>143</v>
      </c>
    </row>
    <row r="104" customFormat="false" ht="14.25" hidden="false" customHeight="false" outlineLevel="0" collapsed="false">
      <c r="A104" s="69" t="s">
        <v>335</v>
      </c>
      <c r="B104" s="70" t="s">
        <v>68</v>
      </c>
      <c r="C104" s="70" t="s">
        <v>36</v>
      </c>
      <c r="D104" s="70" t="s">
        <v>131</v>
      </c>
      <c r="E104" s="70" t="s">
        <v>357</v>
      </c>
      <c r="F104" s="70" t="s">
        <v>358</v>
      </c>
      <c r="G104" s="70" t="s">
        <v>359</v>
      </c>
      <c r="H104" s="71" t="n">
        <v>-8600</v>
      </c>
      <c r="I104" s="71" t="n">
        <f aca="false">H104*'Reporting Hebdo'!$E$3</f>
        <v>-5641230.2</v>
      </c>
      <c r="J104" s="69" t="s">
        <v>143</v>
      </c>
    </row>
    <row r="105" customFormat="false" ht="14.25" hidden="false" customHeight="false" outlineLevel="0" collapsed="false">
      <c r="A105" s="69" t="s">
        <v>335</v>
      </c>
      <c r="B105" s="70" t="s">
        <v>68</v>
      </c>
      <c r="C105" s="70" t="s">
        <v>36</v>
      </c>
      <c r="D105" s="70" t="s">
        <v>131</v>
      </c>
      <c r="E105" s="70" t="s">
        <v>271</v>
      </c>
      <c r="F105" s="70" t="s">
        <v>272</v>
      </c>
      <c r="G105" s="70" t="s">
        <v>327</v>
      </c>
      <c r="H105" s="71" t="n">
        <v>-10394.3455034349</v>
      </c>
      <c r="I105" s="71" t="n">
        <f aca="false">H105*'Reporting Hebdo'!$E$3</f>
        <v>-6818243.69339665</v>
      </c>
      <c r="J105" s="69" t="s">
        <v>143</v>
      </c>
    </row>
    <row r="106" customFormat="false" ht="14.25" hidden="false" customHeight="false" outlineLevel="0" collapsed="false">
      <c r="A106" s="69" t="s">
        <v>335</v>
      </c>
      <c r="B106" s="70" t="s">
        <v>68</v>
      </c>
      <c r="C106" s="70" t="s">
        <v>36</v>
      </c>
      <c r="D106" s="70" t="s">
        <v>131</v>
      </c>
      <c r="E106" s="70" t="s">
        <v>310</v>
      </c>
      <c r="F106" s="70" t="s">
        <v>311</v>
      </c>
      <c r="G106" s="70" t="s">
        <v>312</v>
      </c>
      <c r="H106" s="71" t="n">
        <v>-8000</v>
      </c>
      <c r="I106" s="71" t="n">
        <f aca="false">H106*'Reporting Hebdo'!$E$3</f>
        <v>-5247656</v>
      </c>
      <c r="J106" s="69" t="s">
        <v>143</v>
      </c>
    </row>
    <row r="107" customFormat="false" ht="14.25" hidden="false" customHeight="false" outlineLevel="0" collapsed="false">
      <c r="A107" s="72" t="s">
        <v>3</v>
      </c>
      <c r="B107" s="73" t="s">
        <v>71</v>
      </c>
      <c r="C107" s="73" t="s">
        <v>32</v>
      </c>
      <c r="D107" s="73" t="s">
        <v>360</v>
      </c>
      <c r="E107" s="73"/>
      <c r="F107" s="73" t="s">
        <v>361</v>
      </c>
      <c r="G107" s="73"/>
      <c r="H107" s="74" t="n">
        <f aca="false">-722440095/'Reporting Hebdo'!$E$3</f>
        <v>-1101352.82495651</v>
      </c>
      <c r="I107" s="74" t="n">
        <v>-722440095</v>
      </c>
      <c r="J107" s="72" t="s">
        <v>209</v>
      </c>
    </row>
    <row r="108" customFormat="false" ht="14.25" hidden="false" customHeight="false" outlineLevel="0" collapsed="false">
      <c r="A108" s="72" t="s">
        <v>3</v>
      </c>
      <c r="B108" s="73" t="s">
        <v>71</v>
      </c>
      <c r="C108" s="73" t="s">
        <v>32</v>
      </c>
      <c r="D108" s="73" t="s">
        <v>360</v>
      </c>
      <c r="E108" s="73"/>
      <c r="F108" s="73" t="s">
        <v>361</v>
      </c>
      <c r="G108" s="73"/>
      <c r="H108" s="74" t="n">
        <f aca="false">-26734149/'Reporting Hebdo'!$E$3</f>
        <v>-40755.947417285</v>
      </c>
      <c r="I108" s="74" t="n">
        <v>-26734149</v>
      </c>
      <c r="J108" s="72" t="s">
        <v>209</v>
      </c>
    </row>
    <row r="109" customFormat="false" ht="14.25" hidden="false" customHeight="false" outlineLevel="0" collapsed="false">
      <c r="A109" s="72" t="s">
        <v>3</v>
      </c>
      <c r="B109" s="73" t="s">
        <v>71</v>
      </c>
      <c r="C109" s="73" t="s">
        <v>32</v>
      </c>
      <c r="D109" s="73" t="s">
        <v>360</v>
      </c>
      <c r="E109" s="73"/>
      <c r="F109" s="73" t="s">
        <v>361</v>
      </c>
      <c r="G109" s="73"/>
      <c r="H109" s="74" t="n">
        <f aca="false">-210954708/'Reporting Hebdo'!$E$3</f>
        <v>-321598.379162049</v>
      </c>
      <c r="I109" s="74" t="n">
        <v>-210954708</v>
      </c>
      <c r="J109" s="72" t="s">
        <v>209</v>
      </c>
    </row>
    <row r="110" customFormat="false" ht="14.25" hidden="false" customHeight="false" outlineLevel="0" collapsed="false">
      <c r="A110" s="72" t="s">
        <v>3</v>
      </c>
      <c r="B110" s="73" t="s">
        <v>68</v>
      </c>
      <c r="C110" s="73" t="s">
        <v>36</v>
      </c>
      <c r="D110" s="73" t="s">
        <v>360</v>
      </c>
      <c r="E110" s="73"/>
      <c r="F110" s="73" t="s">
        <v>362</v>
      </c>
      <c r="G110" s="73"/>
      <c r="H110" s="74" t="n">
        <f aca="false">-188191881/'Reporting Hebdo'!$E$3</f>
        <v>-286896.673105097</v>
      </c>
      <c r="I110" s="74" t="n">
        <v>-188191881</v>
      </c>
      <c r="J110" s="72" t="s">
        <v>209</v>
      </c>
    </row>
    <row r="111" customFormat="false" ht="14.25" hidden="false" customHeight="false" outlineLevel="0" collapsed="false">
      <c r="A111" s="72" t="s">
        <v>3</v>
      </c>
      <c r="B111" s="73" t="s">
        <v>68</v>
      </c>
      <c r="C111" s="73" t="s">
        <v>36</v>
      </c>
      <c r="D111" s="73" t="s">
        <v>360</v>
      </c>
      <c r="E111" s="73"/>
      <c r="F111" s="73" t="s">
        <v>362</v>
      </c>
      <c r="G111" s="73"/>
      <c r="H111" s="74" t="n">
        <f aca="false">-771800000/'Reporting Hebdo'!$E$3</f>
        <v>-1176601.51503833</v>
      </c>
      <c r="I111" s="74" t="n">
        <v>-771800000</v>
      </c>
      <c r="J111" s="72" t="s">
        <v>209</v>
      </c>
    </row>
    <row r="112" customFormat="false" ht="14.25" hidden="false" customHeight="false" outlineLevel="0" collapsed="false">
      <c r="A112" s="72" t="s">
        <v>3</v>
      </c>
      <c r="B112" s="73" t="s">
        <v>68</v>
      </c>
      <c r="C112" s="73" t="s">
        <v>36</v>
      </c>
      <c r="D112" s="73" t="s">
        <v>360</v>
      </c>
      <c r="E112" s="73"/>
      <c r="F112" s="73" t="s">
        <v>362</v>
      </c>
      <c r="G112" s="73"/>
      <c r="H112" s="74" t="n">
        <f aca="false">-15152607/'Reporting Hebdo'!$E$3</f>
        <v>-23100.0004573471</v>
      </c>
      <c r="I112" s="74" t="n">
        <v>-15152607</v>
      </c>
      <c r="J112" s="72" t="s">
        <v>209</v>
      </c>
    </row>
    <row r="113" customFormat="false" ht="14.25" hidden="false" customHeight="false" outlineLevel="0" collapsed="false">
      <c r="A113" s="72" t="s">
        <v>3</v>
      </c>
      <c r="B113" s="73" t="s">
        <v>74</v>
      </c>
      <c r="C113" s="73" t="s">
        <v>28</v>
      </c>
      <c r="D113" s="73" t="s">
        <v>133</v>
      </c>
      <c r="E113" s="73"/>
      <c r="F113" s="73" t="s">
        <v>315</v>
      </c>
      <c r="G113" s="73" t="s">
        <v>316</v>
      </c>
      <c r="H113" s="74" t="n">
        <f aca="false">-107544150/'Reporting Hebdo'!$E$3</f>
        <v>-163949.999771327</v>
      </c>
      <c r="I113" s="74" t="n">
        <v>-107544150</v>
      </c>
      <c r="J113" s="72" t="s">
        <v>209</v>
      </c>
    </row>
  </sheetData>
  <autoFilter ref="A4:J113"/>
  <dataValidations count="2">
    <dataValidation allowBlank="true" errorStyle="stop" operator="between" showDropDown="false" showErrorMessage="false" showInputMessage="false" sqref="J5:J413" type="list">
      <formula1>"O,N"</formula1>
      <formula2>0</formula2>
    </dataValidation>
    <dataValidation allowBlank="true" errorStyle="stop" operator="between" showDropDown="false" showErrorMessage="false" showInputMessage="false" sqref="A5:A413" type="list">
      <formula1>"S1,S2,S3,S4,S5,Nov. 2026,Après S5"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fals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4" topLeftCell="A30" activePane="bottomLeft" state="frozen"/>
      <selection pane="topLeft" activeCell="C1" activeCellId="0" sqref="C1"/>
      <selection pane="bottomLeft" activeCell="D42" activeCellId="0" sqref="D42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32"/>
    <col collapsed="false" customWidth="true" hidden="false" outlineLevel="0" max="4" min="4" style="0" width="46"/>
    <col collapsed="false" customWidth="true" hidden="false" outlineLevel="0" max="6" min="5" style="0" width="18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</cols>
  <sheetData>
    <row r="1" customFormat="false" ht="15" hidden="false" customHeight="true" outlineLevel="0" collapsed="false">
      <c r="A1" s="2" t="s">
        <v>363</v>
      </c>
      <c r="B1" s="1"/>
      <c r="C1" s="1"/>
      <c r="D1" s="1"/>
      <c r="E1" s="1"/>
      <c r="F1" s="1"/>
      <c r="G1" s="1"/>
      <c r="H1" s="1"/>
      <c r="I1" s="1"/>
    </row>
    <row r="2" customFormat="false" ht="14.25" hidden="false" customHeight="false" outlineLevel="0" collapsed="false">
      <c r="A2" s="7"/>
      <c r="B2" s="1"/>
      <c r="C2" s="1"/>
      <c r="D2" s="1"/>
      <c r="E2" s="1"/>
      <c r="F2" s="1"/>
      <c r="G2" s="1"/>
      <c r="H2" s="1"/>
      <c r="I2" s="1"/>
    </row>
    <row r="3" customFormat="false" ht="14.2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</row>
    <row r="4" customFormat="false" ht="14.25" hidden="false" customHeight="false" outlineLevel="0" collapsed="false">
      <c r="A4" s="68" t="s">
        <v>100</v>
      </c>
      <c r="B4" s="68" t="s">
        <v>364</v>
      </c>
      <c r="C4" s="68" t="s">
        <v>365</v>
      </c>
      <c r="D4" s="68" t="s">
        <v>16</v>
      </c>
      <c r="E4" s="68" t="s">
        <v>366</v>
      </c>
      <c r="F4" s="68" t="s">
        <v>367</v>
      </c>
      <c r="G4" s="68" t="s">
        <v>368</v>
      </c>
      <c r="H4" s="68" t="s">
        <v>369</v>
      </c>
      <c r="I4" s="68" t="s">
        <v>370</v>
      </c>
    </row>
    <row r="5" customFormat="false" ht="14.25" hidden="false" customHeight="false" outlineLevel="0" collapsed="false">
      <c r="A5" s="70" t="s">
        <v>21</v>
      </c>
      <c r="B5" s="70" t="s">
        <v>371</v>
      </c>
      <c r="C5" s="70" t="s">
        <v>372</v>
      </c>
      <c r="D5" s="70" t="s">
        <v>24</v>
      </c>
      <c r="E5" s="70" t="s">
        <v>373</v>
      </c>
      <c r="F5" s="71" t="n">
        <v>3580753</v>
      </c>
      <c r="G5" s="71" t="n">
        <f aca="false">F5/'Reporting Hebdo'!$E$3</f>
        <v>5458.82275819909</v>
      </c>
      <c r="H5" s="70" t="s">
        <v>21</v>
      </c>
      <c r="I5" s="70" t="s">
        <v>374</v>
      </c>
    </row>
    <row r="6" customFormat="false" ht="14.25" hidden="false" customHeight="false" outlineLevel="0" collapsed="false">
      <c r="A6" s="70" t="s">
        <v>21</v>
      </c>
      <c r="B6" s="70" t="s">
        <v>316</v>
      </c>
      <c r="C6" s="70" t="s">
        <v>375</v>
      </c>
      <c r="D6" s="70" t="s">
        <v>26</v>
      </c>
      <c r="E6" s="70" t="s">
        <v>373</v>
      </c>
      <c r="F6" s="71" t="n">
        <v>24751125</v>
      </c>
      <c r="G6" s="71" t="n">
        <f aca="false">F6/'Reporting Hebdo'!$E$3</f>
        <v>37732.846817703</v>
      </c>
      <c r="H6" s="70" t="s">
        <v>21</v>
      </c>
      <c r="I6" s="70" t="s">
        <v>376</v>
      </c>
    </row>
    <row r="7" customFormat="false" ht="14.25" hidden="false" customHeight="false" outlineLevel="0" collapsed="false">
      <c r="A7" s="70" t="s">
        <v>21</v>
      </c>
      <c r="B7" s="70" t="s">
        <v>377</v>
      </c>
      <c r="C7" s="70" t="s">
        <v>378</v>
      </c>
      <c r="D7" s="70" t="s">
        <v>26</v>
      </c>
      <c r="E7" s="70" t="s">
        <v>373</v>
      </c>
      <c r="F7" s="71" t="n">
        <v>368235073</v>
      </c>
      <c r="G7" s="71" t="n">
        <f aca="false">F7/'Reporting Hebdo'!$E$3</f>
        <v>561370.749911961</v>
      </c>
      <c r="H7" s="70" t="s">
        <v>21</v>
      </c>
      <c r="I7" s="70" t="s">
        <v>379</v>
      </c>
    </row>
    <row r="8" customFormat="false" ht="14.25" hidden="false" customHeight="false" outlineLevel="0" collapsed="false">
      <c r="A8" s="70" t="s">
        <v>28</v>
      </c>
      <c r="B8" s="70" t="s">
        <v>371</v>
      </c>
      <c r="C8" s="70" t="s">
        <v>380</v>
      </c>
      <c r="D8" s="70" t="s">
        <v>26</v>
      </c>
      <c r="E8" s="70" t="s">
        <v>373</v>
      </c>
      <c r="F8" s="71" t="n">
        <v>8429337</v>
      </c>
      <c r="G8" s="71" t="n">
        <f aca="false">F8/'Reporting Hebdo'!$E$3</f>
        <v>12850.4414161294</v>
      </c>
      <c r="H8" s="70" t="s">
        <v>28</v>
      </c>
      <c r="I8" s="70" t="s">
        <v>381</v>
      </c>
    </row>
    <row r="9" customFormat="false" ht="14.25" hidden="false" customHeight="false" outlineLevel="0" collapsed="false">
      <c r="A9" s="70" t="s">
        <v>28</v>
      </c>
      <c r="B9" s="70" t="s">
        <v>316</v>
      </c>
      <c r="C9" s="70" t="s">
        <v>382</v>
      </c>
      <c r="D9" s="70" t="s">
        <v>26</v>
      </c>
      <c r="E9" s="70" t="s">
        <v>373</v>
      </c>
      <c r="F9" s="71" t="n">
        <v>227694317</v>
      </c>
      <c r="G9" s="71" t="n">
        <f aca="false">F9/'Reporting Hebdo'!$E$3</f>
        <v>347117.748571934</v>
      </c>
      <c r="H9" s="70" t="s">
        <v>28</v>
      </c>
      <c r="I9" s="70" t="s">
        <v>383</v>
      </c>
    </row>
    <row r="10" customFormat="false" ht="14.25" hidden="false" customHeight="false" outlineLevel="0" collapsed="false">
      <c r="A10" s="70" t="s">
        <v>28</v>
      </c>
      <c r="B10" s="70" t="s">
        <v>316</v>
      </c>
      <c r="C10" s="70" t="s">
        <v>75</v>
      </c>
      <c r="D10" s="70" t="s">
        <v>42</v>
      </c>
      <c r="E10" s="70" t="s">
        <v>384</v>
      </c>
      <c r="F10" s="71" t="n">
        <v>350727089</v>
      </c>
      <c r="G10" s="71" t="n">
        <f aca="false">F10/'Reporting Hebdo'!$E$3</f>
        <v>534680.000365878</v>
      </c>
      <c r="H10" s="70" t="s">
        <v>74</v>
      </c>
      <c r="I10" s="70" t="s">
        <v>385</v>
      </c>
    </row>
    <row r="11" customFormat="false" ht="14.25" hidden="false" customHeight="false" outlineLevel="0" collapsed="false">
      <c r="A11" s="70" t="s">
        <v>28</v>
      </c>
      <c r="B11" s="70" t="s">
        <v>316</v>
      </c>
      <c r="C11" s="70" t="s">
        <v>78</v>
      </c>
      <c r="D11" s="70" t="s">
        <v>42</v>
      </c>
      <c r="E11" s="70" t="s">
        <v>384</v>
      </c>
      <c r="F11" s="71" t="n">
        <v>42500000</v>
      </c>
      <c r="G11" s="71" t="n">
        <f aca="false">F11/'Reporting Hebdo'!$E$3</f>
        <v>64790.8323258994</v>
      </c>
      <c r="H11" s="70" t="s">
        <v>77</v>
      </c>
      <c r="I11" s="70" t="s">
        <v>386</v>
      </c>
    </row>
    <row r="12" customFormat="false" ht="14.25" hidden="false" customHeight="false" outlineLevel="0" collapsed="false">
      <c r="A12" s="70" t="s">
        <v>28</v>
      </c>
      <c r="B12" s="70" t="s">
        <v>316</v>
      </c>
      <c r="C12" s="70" t="s">
        <v>81</v>
      </c>
      <c r="D12" s="70" t="s">
        <v>42</v>
      </c>
      <c r="E12" s="70" t="s">
        <v>384</v>
      </c>
      <c r="F12" s="71" t="n">
        <v>26289357</v>
      </c>
      <c r="G12" s="71" t="n">
        <f aca="false">F12/'Reporting Hebdo'!$E$3</f>
        <v>40077.8663845344</v>
      </c>
      <c r="H12" s="70" t="s">
        <v>80</v>
      </c>
      <c r="I12" s="70" t="s">
        <v>387</v>
      </c>
    </row>
    <row r="13" customFormat="false" ht="14.25" hidden="false" customHeight="false" outlineLevel="0" collapsed="false">
      <c r="A13" s="70" t="s">
        <v>32</v>
      </c>
      <c r="B13" s="70" t="s">
        <v>371</v>
      </c>
      <c r="C13" s="70" t="s">
        <v>388</v>
      </c>
      <c r="D13" s="70" t="s">
        <v>26</v>
      </c>
      <c r="E13" s="70" t="s">
        <v>373</v>
      </c>
      <c r="F13" s="71" t="n">
        <v>58193022</v>
      </c>
      <c r="G13" s="71" t="n">
        <f aca="false">F13/'Reporting Hebdo'!$E$3</f>
        <v>88714.69013975</v>
      </c>
      <c r="H13" s="70" t="s">
        <v>32</v>
      </c>
      <c r="I13" s="70" t="s">
        <v>389</v>
      </c>
    </row>
    <row r="14" customFormat="false" ht="14.25" hidden="false" customHeight="false" outlineLevel="0" collapsed="false">
      <c r="A14" s="70" t="s">
        <v>32</v>
      </c>
      <c r="B14" s="70" t="s">
        <v>377</v>
      </c>
      <c r="C14" s="70" t="s">
        <v>390</v>
      </c>
      <c r="D14" s="70" t="s">
        <v>26</v>
      </c>
      <c r="E14" s="70" t="s">
        <v>373</v>
      </c>
      <c r="F14" s="71" t="n">
        <v>62000</v>
      </c>
      <c r="G14" s="71" t="n">
        <f aca="false">F14/'Reporting Hebdo'!$E$3</f>
        <v>94.5183906871944</v>
      </c>
      <c r="H14" s="70" t="s">
        <v>32</v>
      </c>
      <c r="I14" s="70" t="s">
        <v>391</v>
      </c>
    </row>
    <row r="15" customFormat="false" ht="14.25" hidden="false" customHeight="false" outlineLevel="0" collapsed="false">
      <c r="A15" s="70" t="s">
        <v>32</v>
      </c>
      <c r="B15" s="70" t="s">
        <v>316</v>
      </c>
      <c r="C15" s="70" t="s">
        <v>392</v>
      </c>
      <c r="D15" s="70"/>
      <c r="E15" s="70" t="s">
        <v>373</v>
      </c>
      <c r="F15" s="71" t="n">
        <v>0</v>
      </c>
      <c r="G15" s="71" t="n">
        <f aca="false">F15/'Reporting Hebdo'!$E$3</f>
        <v>0</v>
      </c>
      <c r="H15" s="70" t="s">
        <v>32</v>
      </c>
      <c r="I15" s="70" t="s">
        <v>393</v>
      </c>
    </row>
    <row r="16" customFormat="false" ht="14.25" hidden="false" customHeight="false" outlineLevel="0" collapsed="false">
      <c r="A16" s="70" t="s">
        <v>36</v>
      </c>
      <c r="B16" s="70" t="s">
        <v>371</v>
      </c>
      <c r="C16" s="70" t="s">
        <v>394</v>
      </c>
      <c r="D16" s="70" t="s">
        <v>26</v>
      </c>
      <c r="E16" s="70" t="s">
        <v>373</v>
      </c>
      <c r="F16" s="71" t="n">
        <v>1473216</v>
      </c>
      <c r="G16" s="71" t="n">
        <f aca="false">F16/'Reporting Hebdo'!$E$3</f>
        <v>2245.90331378429</v>
      </c>
      <c r="H16" s="70" t="s">
        <v>36</v>
      </c>
      <c r="I16" s="70" t="s">
        <v>395</v>
      </c>
    </row>
    <row r="17" customFormat="false" ht="14.25" hidden="false" customHeight="false" outlineLevel="0" collapsed="false">
      <c r="A17" s="70" t="s">
        <v>36</v>
      </c>
      <c r="B17" s="70" t="s">
        <v>396</v>
      </c>
      <c r="C17" s="70" t="s">
        <v>397</v>
      </c>
      <c r="D17" s="70" t="s">
        <v>40</v>
      </c>
      <c r="E17" s="70" t="s">
        <v>373</v>
      </c>
      <c r="F17" s="71" t="n">
        <v>1771977229</v>
      </c>
      <c r="G17" s="71" t="n">
        <f aca="false">F17/'Reporting Hebdo'!$E$3</f>
        <v>2701361.8712812</v>
      </c>
      <c r="H17" s="70" t="s">
        <v>36</v>
      </c>
      <c r="I17" s="70" t="s">
        <v>398</v>
      </c>
    </row>
    <row r="18" customFormat="false" ht="14.25" hidden="false" customHeight="false" outlineLevel="0" collapsed="false">
      <c r="A18" s="70" t="s">
        <v>36</v>
      </c>
      <c r="B18" s="70" t="s">
        <v>396</v>
      </c>
      <c r="C18" s="70" t="s">
        <v>399</v>
      </c>
      <c r="D18" s="70" t="s">
        <v>42</v>
      </c>
      <c r="E18" s="70" t="s">
        <v>373</v>
      </c>
      <c r="F18" s="71" t="n">
        <v>0</v>
      </c>
      <c r="G18" s="71" t="n">
        <f aca="false">F18/'Reporting Hebdo'!$E$3</f>
        <v>0</v>
      </c>
      <c r="H18" s="70" t="s">
        <v>36</v>
      </c>
      <c r="I18" s="70" t="s">
        <v>400</v>
      </c>
    </row>
    <row r="19" customFormat="false" ht="14.25" hidden="false" customHeight="false" outlineLevel="0" collapsed="false">
      <c r="A19" s="70" t="s">
        <v>43</v>
      </c>
      <c r="B19" s="70" t="s">
        <v>401</v>
      </c>
      <c r="C19" s="70" t="s">
        <v>402</v>
      </c>
      <c r="D19" s="70" t="s">
        <v>26</v>
      </c>
      <c r="E19" s="70" t="s">
        <v>373</v>
      </c>
      <c r="F19" s="71" t="n">
        <v>897338</v>
      </c>
      <c r="G19" s="71" t="n">
        <f aca="false">F19/'Reporting Hebdo'!$E$3</f>
        <v>1367.98296229783</v>
      </c>
      <c r="H19" s="70" t="s">
        <v>43</v>
      </c>
      <c r="I19" s="70" t="s">
        <v>403</v>
      </c>
    </row>
    <row r="20" customFormat="false" ht="14.25" hidden="false" customHeight="false" outlineLevel="0" collapsed="false">
      <c r="A20" s="70" t="s">
        <v>43</v>
      </c>
      <c r="B20" s="70" t="s">
        <v>404</v>
      </c>
      <c r="C20" s="70" t="s">
        <v>405</v>
      </c>
      <c r="D20" s="70" t="s">
        <v>26</v>
      </c>
      <c r="E20" s="70" t="s">
        <v>373</v>
      </c>
      <c r="F20" s="71" t="n">
        <v>5375161</v>
      </c>
      <c r="G20" s="71" t="n">
        <f aca="false">F20/'Reporting Hebdo'!$E$3</f>
        <v>8194.38011942856</v>
      </c>
      <c r="H20" s="70" t="s">
        <v>43</v>
      </c>
      <c r="I20" s="70" t="s">
        <v>406</v>
      </c>
    </row>
    <row r="21" customFormat="false" ht="14.25" hidden="false" customHeight="false" outlineLevel="0" collapsed="false">
      <c r="A21" s="70" t="s">
        <v>43</v>
      </c>
      <c r="B21" s="70" t="s">
        <v>404</v>
      </c>
      <c r="C21" s="70" t="s">
        <v>407</v>
      </c>
      <c r="D21" s="70" t="s">
        <v>47</v>
      </c>
      <c r="E21" s="70" t="s">
        <v>373</v>
      </c>
      <c r="F21" s="71" t="n">
        <v>22569647</v>
      </c>
      <c r="G21" s="71" t="n">
        <f aca="false">F21/'Reporting Hebdo'!$E$3</f>
        <v>34407.2050454527</v>
      </c>
      <c r="H21" s="70" t="s">
        <v>43</v>
      </c>
      <c r="I21" s="70" t="s">
        <v>408</v>
      </c>
    </row>
    <row r="22" customFormat="false" ht="14.25" hidden="false" customHeight="false" outlineLevel="0" collapsed="false">
      <c r="A22" s="70" t="s">
        <v>43</v>
      </c>
      <c r="B22" s="70" t="s">
        <v>404</v>
      </c>
      <c r="C22" s="70" t="s">
        <v>409</v>
      </c>
      <c r="D22" s="70" t="s">
        <v>47</v>
      </c>
      <c r="E22" s="70" t="s">
        <v>373</v>
      </c>
      <c r="F22" s="71" t="n">
        <v>227288</v>
      </c>
      <c r="G22" s="71" t="n">
        <f aca="false">F22/'Reporting Hebdo'!$E$3</f>
        <v>346.498322298565</v>
      </c>
      <c r="H22" s="70" t="s">
        <v>43</v>
      </c>
      <c r="I22" s="70" t="s">
        <v>410</v>
      </c>
    </row>
    <row r="23" customFormat="false" ht="14.25" hidden="false" customHeight="false" outlineLevel="0" collapsed="false">
      <c r="A23" s="70" t="s">
        <v>43</v>
      </c>
      <c r="B23" s="70" t="s">
        <v>377</v>
      </c>
      <c r="C23" s="70" t="s">
        <v>411</v>
      </c>
      <c r="D23" s="70" t="s">
        <v>26</v>
      </c>
      <c r="E23" s="70" t="s">
        <v>373</v>
      </c>
      <c r="F23" s="71" t="n">
        <v>62000</v>
      </c>
      <c r="G23" s="71" t="n">
        <f aca="false">F23/'Reporting Hebdo'!$E$3</f>
        <v>94.5183906871944</v>
      </c>
      <c r="H23" s="70" t="s">
        <v>43</v>
      </c>
      <c r="I23" s="70" t="s">
        <v>412</v>
      </c>
    </row>
    <row r="24" customFormat="false" ht="14.25" hidden="false" customHeight="false" outlineLevel="0" collapsed="false">
      <c r="A24" s="70" t="s">
        <v>50</v>
      </c>
      <c r="B24" s="70" t="s">
        <v>371</v>
      </c>
      <c r="C24" s="70" t="s">
        <v>413</v>
      </c>
      <c r="D24" s="70" t="s">
        <v>26</v>
      </c>
      <c r="E24" s="70" t="s">
        <v>373</v>
      </c>
      <c r="F24" s="71" t="n">
        <v>35011732</v>
      </c>
      <c r="G24" s="71" t="n">
        <f aca="false">F24/'Reporting Hebdo'!$E$3</f>
        <v>53375.0413517959</v>
      </c>
      <c r="H24" s="70" t="s">
        <v>50</v>
      </c>
      <c r="I24" s="70" t="s">
        <v>414</v>
      </c>
    </row>
    <row r="25" customFormat="false" ht="14.25" hidden="false" customHeight="false" outlineLevel="0" collapsed="false">
      <c r="A25" s="70" t="s">
        <v>50</v>
      </c>
      <c r="B25" s="70" t="s">
        <v>377</v>
      </c>
      <c r="C25" s="70" t="s">
        <v>415</v>
      </c>
      <c r="D25" s="70" t="s">
        <v>26</v>
      </c>
      <c r="E25" s="70" t="s">
        <v>373</v>
      </c>
      <c r="F25" s="71" t="n">
        <v>62000</v>
      </c>
      <c r="G25" s="71" t="n">
        <f aca="false">F25/'Reporting Hebdo'!$E$3</f>
        <v>94.5183906871944</v>
      </c>
      <c r="H25" s="70" t="s">
        <v>50</v>
      </c>
      <c r="I25" s="70" t="s">
        <v>416</v>
      </c>
    </row>
    <row r="26" customFormat="false" ht="14.25" hidden="false" customHeight="false" outlineLevel="0" collapsed="false">
      <c r="A26" s="70" t="s">
        <v>54</v>
      </c>
      <c r="B26" s="70" t="s">
        <v>371</v>
      </c>
      <c r="C26" s="70" t="s">
        <v>417</v>
      </c>
      <c r="D26" s="70" t="s">
        <v>26</v>
      </c>
      <c r="E26" s="70" t="s">
        <v>373</v>
      </c>
      <c r="F26" s="71" t="n">
        <v>-74342</v>
      </c>
      <c r="G26" s="71" t="n">
        <f aca="false">F26/'Reporting Hebdo'!$E$3</f>
        <v>-113.333648394636</v>
      </c>
      <c r="H26" s="70" t="s">
        <v>54</v>
      </c>
      <c r="I26" s="70" t="s">
        <v>418</v>
      </c>
    </row>
    <row r="27" customFormat="false" ht="14.25" hidden="false" customHeight="false" outlineLevel="0" collapsed="false">
      <c r="A27" s="70" t="s">
        <v>54</v>
      </c>
      <c r="B27" s="70" t="s">
        <v>377</v>
      </c>
      <c r="C27" s="70" t="s">
        <v>419</v>
      </c>
      <c r="D27" s="70" t="s">
        <v>26</v>
      </c>
      <c r="E27" s="70" t="s">
        <v>373</v>
      </c>
      <c r="F27" s="71" t="n">
        <v>62000</v>
      </c>
      <c r="G27" s="71" t="n">
        <f aca="false">F27/'Reporting Hebdo'!$E$3</f>
        <v>94.5183906871944</v>
      </c>
      <c r="H27" s="70" t="s">
        <v>54</v>
      </c>
      <c r="I27" s="70" t="s">
        <v>420</v>
      </c>
    </row>
    <row r="28" customFormat="false" ht="14.25" hidden="false" customHeight="false" outlineLevel="0" collapsed="false">
      <c r="A28" s="70" t="s">
        <v>57</v>
      </c>
      <c r="B28" s="70" t="s">
        <v>371</v>
      </c>
      <c r="C28" s="70" t="s">
        <v>421</v>
      </c>
      <c r="D28" s="70" t="s">
        <v>26</v>
      </c>
      <c r="E28" s="70" t="s">
        <v>373</v>
      </c>
      <c r="F28" s="71" t="n">
        <v>11670561</v>
      </c>
      <c r="G28" s="71" t="n">
        <f aca="false">F28/'Reporting Hebdo'!$E$3</f>
        <v>17791.6555505925</v>
      </c>
      <c r="H28" s="70" t="s">
        <v>57</v>
      </c>
      <c r="I28" s="70" t="s">
        <v>422</v>
      </c>
    </row>
    <row r="29" customFormat="false" ht="14.25" hidden="false" customHeight="false" outlineLevel="0" collapsed="false">
      <c r="A29" s="70" t="s">
        <v>57</v>
      </c>
      <c r="B29" s="70" t="s">
        <v>377</v>
      </c>
      <c r="C29" s="70" t="s">
        <v>423</v>
      </c>
      <c r="D29" s="70" t="s">
        <v>26</v>
      </c>
      <c r="E29" s="70" t="s">
        <v>373</v>
      </c>
      <c r="F29" s="71" t="n">
        <v>36000</v>
      </c>
      <c r="G29" s="71" t="n">
        <f aca="false">F29/'Reporting Hebdo'!$E$3</f>
        <v>54.8816462054677</v>
      </c>
      <c r="H29" s="70" t="s">
        <v>57</v>
      </c>
      <c r="I29" s="70" t="s">
        <v>424</v>
      </c>
    </row>
    <row r="30" customFormat="false" ht="14.25" hidden="false" customHeight="false" outlineLevel="0" collapsed="false">
      <c r="A30" s="70" t="s">
        <v>57</v>
      </c>
      <c r="B30" s="70"/>
      <c r="C30" s="70" t="s">
        <v>425</v>
      </c>
      <c r="D30" s="70" t="s">
        <v>26</v>
      </c>
      <c r="E30" s="70" t="s">
        <v>373</v>
      </c>
      <c r="F30" s="71" t="n">
        <v>58000</v>
      </c>
      <c r="G30" s="71" t="n">
        <f aca="false">F30/'Reporting Hebdo'!$E$3</f>
        <v>88.420429997698</v>
      </c>
      <c r="H30" s="70" t="s">
        <v>57</v>
      </c>
      <c r="I30" s="70" t="s">
        <v>426</v>
      </c>
    </row>
    <row r="31" customFormat="false" ht="14.25" hidden="false" customHeight="false" outlineLevel="0" collapsed="false">
      <c r="A31" s="70" t="s">
        <v>61</v>
      </c>
      <c r="B31" s="70" t="s">
        <v>427</v>
      </c>
      <c r="C31" s="70" t="s">
        <v>428</v>
      </c>
      <c r="D31" s="70" t="s">
        <v>26</v>
      </c>
      <c r="E31" s="70" t="s">
        <v>373</v>
      </c>
      <c r="F31" s="71" t="n">
        <v>2751880</v>
      </c>
      <c r="G31" s="71" t="n">
        <f aca="false">F31/'Reporting Hebdo'!$E$3</f>
        <v>4195.21401555285</v>
      </c>
      <c r="H31" s="70" t="s">
        <v>61</v>
      </c>
      <c r="I31" s="70" t="s">
        <v>429</v>
      </c>
    </row>
    <row r="32" customFormat="false" ht="14.25" hidden="false" customHeight="false" outlineLevel="0" collapsed="false">
      <c r="A32" s="70" t="s">
        <v>63</v>
      </c>
      <c r="B32" s="70" t="s">
        <v>371</v>
      </c>
      <c r="C32" s="70" t="s">
        <v>430</v>
      </c>
      <c r="D32" s="70" t="s">
        <v>26</v>
      </c>
      <c r="E32" s="70" t="s">
        <v>373</v>
      </c>
      <c r="F32" s="71" t="n">
        <v>6062002</v>
      </c>
      <c r="G32" s="71" t="n">
        <f aca="false">F32/'Reporting Hebdo'!$E$3</f>
        <v>9241.46247391216</v>
      </c>
      <c r="H32" s="70" t="s">
        <v>63</v>
      </c>
      <c r="I32" s="70" t="s">
        <v>431</v>
      </c>
    </row>
    <row r="33" customFormat="false" ht="14.25" hidden="false" customHeight="false" outlineLevel="0" collapsed="false">
      <c r="A33" s="70" t="s">
        <v>36</v>
      </c>
      <c r="B33" s="70" t="s">
        <v>396</v>
      </c>
      <c r="C33" s="70" t="s">
        <v>69</v>
      </c>
      <c r="D33" s="70" t="s">
        <v>432</v>
      </c>
      <c r="E33" s="70" t="s">
        <v>384</v>
      </c>
      <c r="F33" s="71" t="n">
        <v>2643139493</v>
      </c>
      <c r="G33" s="71" t="n">
        <f aca="false">F33/'Reporting Hebdo'!$E$3</f>
        <v>4029440.18129237</v>
      </c>
      <c r="H33" s="70" t="s">
        <v>68</v>
      </c>
      <c r="I33" s="70" t="s">
        <v>433</v>
      </c>
    </row>
    <row r="34" customFormat="false" ht="14.25" hidden="false" customHeight="false" outlineLevel="0" collapsed="false">
      <c r="A34" s="70" t="s">
        <v>32</v>
      </c>
      <c r="B34" s="70" t="s">
        <v>396</v>
      </c>
      <c r="C34" s="70" t="s">
        <v>72</v>
      </c>
      <c r="D34" s="70" t="s">
        <v>432</v>
      </c>
      <c r="E34" s="70" t="s">
        <v>384</v>
      </c>
      <c r="F34" s="71" t="n">
        <v>1481904490</v>
      </c>
      <c r="G34" s="71" t="n">
        <f aca="false">F34/'Reporting Hebdo'!$E$3</f>
        <v>2259148.83140206</v>
      </c>
      <c r="H34" s="70" t="s">
        <v>71</v>
      </c>
      <c r="I34" s="70" t="s">
        <v>434</v>
      </c>
    </row>
    <row r="35" customFormat="false" ht="14.25" hidden="false" customHeight="false" outlineLevel="0" collapsed="false">
      <c r="A35" s="70" t="s">
        <v>36</v>
      </c>
      <c r="B35" s="70" t="s">
        <v>396</v>
      </c>
      <c r="C35" s="70" t="s">
        <v>84</v>
      </c>
      <c r="D35" s="70" t="s">
        <v>42</v>
      </c>
      <c r="E35" s="70" t="s">
        <v>384</v>
      </c>
      <c r="F35" s="71" t="n">
        <v>776110097</v>
      </c>
      <c r="G35" s="71" t="n">
        <f aca="false">F35/'Reporting Hebdo'!$E$3</f>
        <v>1183172.21555681</v>
      </c>
      <c r="H35" s="70" t="s">
        <v>83</v>
      </c>
      <c r="I35" s="70" t="s">
        <v>435</v>
      </c>
    </row>
    <row r="36" customFormat="false" ht="14.25" hidden="false" customHeight="false" outlineLevel="0" collapsed="false">
      <c r="A36" s="70" t="s">
        <v>43</v>
      </c>
      <c r="B36" s="70"/>
      <c r="C36" s="70" t="s">
        <v>87</v>
      </c>
      <c r="D36" s="70" t="s">
        <v>42</v>
      </c>
      <c r="E36" s="70" t="s">
        <v>384</v>
      </c>
      <c r="F36" s="71" t="n">
        <v>76268390</v>
      </c>
      <c r="G36" s="71" t="n">
        <f aca="false">F36/'Reporting Hebdo'!$E$3</f>
        <v>116270.411017795</v>
      </c>
      <c r="H36" s="70" t="s">
        <v>86</v>
      </c>
      <c r="I36" s="70" t="s">
        <v>436</v>
      </c>
    </row>
    <row r="37" customFormat="false" ht="14.25" hidden="false" customHeight="false" outlineLevel="0" collapsed="false">
      <c r="A37" s="75" t="s">
        <v>437</v>
      </c>
      <c r="B37" s="76"/>
      <c r="C37" s="76"/>
      <c r="D37" s="76"/>
      <c r="E37" s="76"/>
      <c r="F37" s="77" t="n">
        <f aca="false">SUM(F5:F36)</f>
        <v>7946106255</v>
      </c>
      <c r="G37" s="77" t="n">
        <f aca="false">SUM(G5:G36)</f>
        <v>12113760.8943879</v>
      </c>
      <c r="H37" s="76"/>
      <c r="I37" s="7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B23" activeCellId="0" sqref="B23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18"/>
    <col collapsed="false" customWidth="true" hidden="false" outlineLevel="0" max="6" min="4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15" hidden="false" customHeight="true" outlineLevel="0" collapsed="false">
      <c r="A1" s="2" t="s">
        <v>438</v>
      </c>
      <c r="B1" s="1"/>
      <c r="C1" s="1"/>
      <c r="D1" s="1"/>
      <c r="E1" s="1"/>
      <c r="F1" s="1"/>
      <c r="G1" s="1"/>
      <c r="H1" s="1"/>
    </row>
    <row r="2" customFormat="false" ht="14.25" hidden="false" customHeight="fals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4.25" hidden="false" customHeight="false" outlineLevel="0" collapsed="false">
      <c r="A3" s="3" t="s">
        <v>439</v>
      </c>
      <c r="B3" s="1"/>
      <c r="C3" s="1"/>
      <c r="D3" s="1"/>
      <c r="E3" s="1"/>
      <c r="F3" s="1"/>
      <c r="G3" s="1"/>
      <c r="H3" s="1"/>
    </row>
    <row r="4" customFormat="false" ht="14.25" hidden="false" customHeight="false" outlineLevel="0" collapsed="false">
      <c r="A4" s="68" t="s">
        <v>440</v>
      </c>
      <c r="B4" s="68" t="s">
        <v>441</v>
      </c>
      <c r="C4" s="68" t="s">
        <v>442</v>
      </c>
      <c r="D4" s="68" t="s">
        <v>443</v>
      </c>
      <c r="E4" s="68" t="s">
        <v>444</v>
      </c>
      <c r="F4" s="1"/>
      <c r="G4" s="1"/>
      <c r="H4" s="1"/>
    </row>
    <row r="5" customFormat="false" ht="30" hidden="false" customHeight="true" outlineLevel="0" collapsed="false">
      <c r="A5" s="78" t="s">
        <v>445</v>
      </c>
      <c r="B5" s="71" t="n">
        <f aca="false">'Reporting Hebdo'!M58</f>
        <v>7946106255</v>
      </c>
      <c r="C5" s="71" t="n">
        <f aca="false">'Position CI 30-09'!F37</f>
        <v>7946106255</v>
      </c>
      <c r="D5" s="79" t="n">
        <f aca="false">B5-C5</f>
        <v>0</v>
      </c>
      <c r="E5" s="78" t="s">
        <v>446</v>
      </c>
      <c r="F5" s="1"/>
      <c r="G5" s="1"/>
      <c r="H5" s="1"/>
    </row>
    <row r="6" customFormat="false" ht="69.75" hidden="false" customHeight="true" outlineLevel="0" collapsed="false">
      <c r="A6" s="78" t="s">
        <v>447</v>
      </c>
      <c r="B6" s="71" t="n">
        <f aca="false">'Reporting Hebdo'!M58</f>
        <v>7946106255</v>
      </c>
      <c r="C6" s="71" t="n">
        <v>7946106255</v>
      </c>
      <c r="D6" s="79" t="n">
        <f aca="false">B6-C6</f>
        <v>0</v>
      </c>
      <c r="E6" s="78" t="s">
        <v>448</v>
      </c>
      <c r="F6" s="1"/>
      <c r="G6" s="1"/>
      <c r="H6" s="1"/>
    </row>
    <row r="7" customFormat="false" ht="14.25" hidden="false" customHeight="false" outlineLevel="0" collapsed="false">
      <c r="A7" s="1"/>
      <c r="B7" s="1"/>
      <c r="C7" s="1"/>
      <c r="D7" s="1"/>
      <c r="E7" s="1"/>
      <c r="F7" s="1"/>
      <c r="G7" s="1"/>
      <c r="H7" s="1"/>
    </row>
    <row r="8" customFormat="false" ht="14.25" hidden="false" customHeight="false" outlineLevel="0" collapsed="false">
      <c r="A8" s="3" t="s">
        <v>449</v>
      </c>
      <c r="B8" s="1"/>
      <c r="C8" s="1"/>
      <c r="D8" s="1"/>
      <c r="E8" s="1"/>
      <c r="F8" s="1"/>
      <c r="G8" s="1"/>
      <c r="H8" s="1"/>
    </row>
    <row r="9" customFormat="false" ht="22.5" hidden="false" customHeight="true" outlineLevel="0" collapsed="false">
      <c r="A9" s="68" t="s">
        <v>100</v>
      </c>
      <c r="B9" s="68" t="s">
        <v>450</v>
      </c>
      <c r="C9" s="68" t="s">
        <v>451</v>
      </c>
      <c r="D9" s="68" t="s">
        <v>443</v>
      </c>
      <c r="E9" s="68" t="s">
        <v>442</v>
      </c>
      <c r="F9" s="1"/>
      <c r="G9" s="1"/>
      <c r="H9" s="1"/>
    </row>
    <row r="10" customFormat="false" ht="14.25" hidden="false" customHeight="false" outlineLevel="0" collapsed="false">
      <c r="A10" s="70" t="s">
        <v>28</v>
      </c>
      <c r="B10" s="71" t="n">
        <f aca="false">-SUMIFS('Détail fonctionnement'!$E$5:$E$463,'Détail fonctionnement'!$B$5:$B$463,A10,'Détail fonctionnement'!$C$5:$C$463,"FOURNISSEURS - FGX",'Détail fonctionnement'!$G$5:$G$463,"O")</f>
        <v>91273313</v>
      </c>
      <c r="C10" s="71" t="n">
        <v>91273313</v>
      </c>
      <c r="D10" s="79" t="n">
        <f aca="false">B10-C10</f>
        <v>0</v>
      </c>
      <c r="E10" s="70" t="s">
        <v>452</v>
      </c>
      <c r="F10" s="1"/>
      <c r="G10" s="1"/>
      <c r="H10" s="1"/>
    </row>
    <row r="11" customFormat="false" ht="14.25" hidden="false" customHeight="false" outlineLevel="0" collapsed="false">
      <c r="A11" s="70" t="s">
        <v>21</v>
      </c>
      <c r="B11" s="71" t="n">
        <f aca="false">-SUMIFS('Détail fonctionnement'!$E$5:$E$463,'Détail fonctionnement'!$B$5:$B$463,A11,'Détail fonctionnement'!$C$5:$C$463,"FOURNISSEURS - FGX",'Détail fonctionnement'!$G$5:$G$463,"O")</f>
        <v>56767621</v>
      </c>
      <c r="C11" s="71" t="n">
        <v>56767621</v>
      </c>
      <c r="D11" s="79" t="n">
        <f aca="false">B11-C11</f>
        <v>0</v>
      </c>
      <c r="E11" s="70" t="s">
        <v>453</v>
      </c>
      <c r="F11" s="1"/>
      <c r="G11" s="1"/>
      <c r="H11" s="1"/>
    </row>
    <row r="12" customFormat="false" ht="14.25" hidden="false" customHeight="false" outlineLevel="0" collapsed="false">
      <c r="A12" s="70" t="s">
        <v>50</v>
      </c>
      <c r="B12" s="71" t="n">
        <f aca="false">-SUMIFS('Détail fonctionnement'!$E$5:$E$463,'Détail fonctionnement'!$B$5:$B$463,A12,'Détail fonctionnement'!$C$5:$C$463,"FOURNISSEURS - FGX",'Détail fonctionnement'!$G$5:$G$463,"O")</f>
        <v>59233045</v>
      </c>
      <c r="C12" s="71" t="n">
        <v>59233045</v>
      </c>
      <c r="D12" s="79" t="n">
        <f aca="false">B12-C12</f>
        <v>0</v>
      </c>
      <c r="E12" s="70" t="s">
        <v>454</v>
      </c>
      <c r="F12" s="1"/>
      <c r="G12" s="1"/>
      <c r="H12" s="1"/>
    </row>
    <row r="13" customFormat="false" ht="14.25" hidden="false" customHeight="false" outlineLevel="0" collapsed="false">
      <c r="A13" s="70" t="s">
        <v>32</v>
      </c>
      <c r="B13" s="71" t="n">
        <f aca="false">-SUMIFS('Détail fonctionnement'!$E$5:$E$463,'Détail fonctionnement'!$B$5:$B$463,A13,'Détail fonctionnement'!$C$5:$C$463,"FOURNISSEURS - FGX",'Détail fonctionnement'!$G$5:$G$463,"O")</f>
        <v>9715889</v>
      </c>
      <c r="C13" s="71" t="n">
        <v>9715889</v>
      </c>
      <c r="D13" s="79" t="n">
        <f aca="false">B13-C13</f>
        <v>0</v>
      </c>
      <c r="E13" s="70" t="s">
        <v>455</v>
      </c>
      <c r="F13" s="1"/>
      <c r="G13" s="1"/>
      <c r="H13" s="1"/>
    </row>
    <row r="14" customFormat="false" ht="14.25" hidden="false" customHeight="false" outlineLevel="0" collapsed="false">
      <c r="A14" s="70" t="s">
        <v>36</v>
      </c>
      <c r="B14" s="71" t="n">
        <f aca="false">-SUMIFS('Détail fonctionnement'!$E$5:$E$463,'Détail fonctionnement'!$B$5:$B$463,A14,'Détail fonctionnement'!$C$5:$C$463,"FOURNISSEURS - FGX",'Détail fonctionnement'!$G$5:$G$463,"O")</f>
        <v>12202102</v>
      </c>
      <c r="C14" s="71" t="n">
        <v>12202102</v>
      </c>
      <c r="D14" s="79" t="n">
        <f aca="false">B14-C14</f>
        <v>0</v>
      </c>
      <c r="E14" s="70" t="s">
        <v>456</v>
      </c>
      <c r="F14" s="1"/>
      <c r="G14" s="1"/>
      <c r="H14" s="1"/>
    </row>
    <row r="15" customFormat="false" ht="14.25" hidden="false" customHeight="false" outlineLevel="0" collapsed="false">
      <c r="A15" s="70" t="s">
        <v>57</v>
      </c>
      <c r="B15" s="71" t="n">
        <f aca="false">-SUMIFS('Détail fonctionnement'!$E$5:$E$463,'Détail fonctionnement'!$B$5:$B$463,A15,'Détail fonctionnement'!$C$5:$C$463,"FOURNISSEURS - FGX",'Détail fonctionnement'!$G$5:$G$463,"O")</f>
        <v>2855960</v>
      </c>
      <c r="C15" s="71" t="n">
        <v>2855960</v>
      </c>
      <c r="D15" s="79" t="n">
        <f aca="false">B15-C15</f>
        <v>0</v>
      </c>
      <c r="E15" s="70" t="s">
        <v>457</v>
      </c>
      <c r="F15" s="1"/>
      <c r="G15" s="1"/>
      <c r="H15" s="1"/>
    </row>
    <row r="16" customFormat="false" ht="14.25" hidden="false" customHeight="false" outlineLevel="0" collapsed="false">
      <c r="A16" s="70" t="s">
        <v>63</v>
      </c>
      <c r="B16" s="71" t="n">
        <f aca="false">-SUMIFS('Détail fonctionnement'!$E$5:$E$463,'Détail fonctionnement'!$B$5:$B$463,A16,'Détail fonctionnement'!$C$5:$C$463,"FOURNISSEURS - FGX",'Détail fonctionnement'!$G$5:$G$463,"O")</f>
        <v>336100</v>
      </c>
      <c r="C16" s="71" t="n">
        <v>336100</v>
      </c>
      <c r="D16" s="79" t="n">
        <f aca="false">B16-C16</f>
        <v>0</v>
      </c>
      <c r="E16" s="70" t="s">
        <v>458</v>
      </c>
      <c r="F16" s="1"/>
      <c r="G16" s="1"/>
      <c r="H16" s="1"/>
    </row>
    <row r="17" customFormat="false" ht="14.25" hidden="false" customHeight="false" outlineLevel="0" collapsed="false">
      <c r="A17" s="70" t="s">
        <v>54</v>
      </c>
      <c r="B17" s="71" t="n">
        <f aca="false">-SUMIFS('Détail fonctionnement'!$E$5:$E$463,'Détail fonctionnement'!$B$5:$B$463,A17,'Détail fonctionnement'!$C$5:$C$463,"FOURNISSEURS - FGX",'Détail fonctionnement'!$G$5:$G$463,"O")</f>
        <v>2539000</v>
      </c>
      <c r="C17" s="71" t="n">
        <v>2539000</v>
      </c>
      <c r="D17" s="79" t="n">
        <f aca="false">B17-C17</f>
        <v>0</v>
      </c>
      <c r="E17" s="70" t="s">
        <v>459</v>
      </c>
      <c r="F17" s="1"/>
      <c r="G17" s="1"/>
      <c r="H17" s="1"/>
    </row>
    <row r="18" customFormat="false" ht="14.25" hidden="false" customHeight="false" outlineLevel="0" collapsed="false">
      <c r="A18" s="75" t="s">
        <v>437</v>
      </c>
      <c r="B18" s="77" t="n">
        <f aca="false">SUM(B10:B17)</f>
        <v>234923030</v>
      </c>
      <c r="C18" s="77" t="n">
        <f aca="false">SUM(C10:C17)</f>
        <v>234923030</v>
      </c>
      <c r="D18" s="77" t="n">
        <f aca="false">SUM(D10:D17)</f>
        <v>0</v>
      </c>
      <c r="E18" s="1"/>
      <c r="F18" s="1"/>
      <c r="G18" s="1"/>
      <c r="H18" s="1"/>
    </row>
    <row r="19" customFormat="false" ht="14.25" hidden="false" customHeight="false" outlineLevel="0" collapsed="false">
      <c r="A19" s="1"/>
      <c r="B19" s="1"/>
      <c r="C19" s="1"/>
      <c r="D19" s="1"/>
      <c r="E19" s="1"/>
      <c r="F19" s="1"/>
      <c r="G19" s="1"/>
      <c r="H19" s="1"/>
    </row>
    <row r="20" customFormat="false" ht="14.25" hidden="false" customHeight="false" outlineLevel="0" collapsed="false">
      <c r="A20" s="3" t="s">
        <v>460</v>
      </c>
      <c r="B20" s="1"/>
      <c r="C20" s="1"/>
      <c r="D20" s="1"/>
      <c r="E20" s="1"/>
      <c r="F20" s="1"/>
      <c r="G20" s="1"/>
      <c r="H20" s="1"/>
    </row>
    <row r="21" customFormat="false" ht="14.25" hidden="false" customHeight="false" outlineLevel="0" collapsed="false">
      <c r="A21" s="68" t="s">
        <v>461</v>
      </c>
      <c r="B21" s="68" t="s">
        <v>462</v>
      </c>
      <c r="C21" s="68" t="s">
        <v>463</v>
      </c>
      <c r="D21" s="68" t="s">
        <v>443</v>
      </c>
      <c r="E21" s="68" t="s">
        <v>442</v>
      </c>
      <c r="F21" s="1"/>
      <c r="G21" s="1"/>
      <c r="H21" s="1"/>
    </row>
    <row r="22" customFormat="false" ht="14.25" hidden="false" customHeight="false" outlineLevel="0" collapsed="false">
      <c r="A22" s="70" t="s">
        <v>464</v>
      </c>
      <c r="B22" s="71" t="n">
        <f aca="false">-(SUMIFS('Détail projets &amp; dettes'!$H$5:$H$413,'Détail projets &amp; dettes'!$C$5:$C$413,"RIVIERA",'Détail projets &amp; dettes'!$A$5:$A$413,"S1",'Détail projets &amp; dettes'!$J$5:$J$413,"O")+SUMIFS('Détail projets &amp; dettes'!$H$5:$H$413,'Détail projets &amp; dettes'!$C$5:$C$413,"RIVIERA",'Détail projets &amp; dettes'!$A$5:$A$413,"S2",'Détail projets &amp; dettes'!$J$5:$J$413,"O")+SUMIFS('Détail projets &amp; dettes'!$H$5:$H$413,'Détail projets &amp; dettes'!$C$5:$C$413,"RIVIERA",'Détail projets &amp; dettes'!$A$5:$A$413,"S3",'Détail projets &amp; dettes'!$J$5:$J$413,"O")+SUMIFS('Détail projets &amp; dettes'!$H$5:$H$413,'Détail projets &amp; dettes'!$C$5:$C$413,"RIVIERA",'Détail projets &amp; dettes'!$A$5:$A$413,"S4",'Détail projets &amp; dettes'!$J$5:$J$413,"O"))</f>
        <v>4946194.15473638</v>
      </c>
      <c r="C22" s="71" t="n">
        <f aca="false">3013284.53+C23</f>
        <v>4946194.15</v>
      </c>
      <c r="D22" s="79" t="n">
        <f aca="false">B22-C22</f>
        <v>0.00473638065159321</v>
      </c>
      <c r="E22" s="70" t="s">
        <v>465</v>
      </c>
      <c r="F22" s="1"/>
      <c r="G22" s="1"/>
      <c r="H22" s="1"/>
    </row>
    <row r="23" customFormat="false" ht="14.25" hidden="false" customHeight="false" outlineLevel="0" collapsed="false">
      <c r="A23" s="70" t="s">
        <v>466</v>
      </c>
      <c r="B23" s="71"/>
      <c r="C23" s="71" t="n">
        <v>1932909.62</v>
      </c>
      <c r="D23" s="79"/>
      <c r="E23" s="70" t="s">
        <v>467</v>
      </c>
      <c r="F23" s="1"/>
      <c r="G23" s="1"/>
      <c r="H23" s="1"/>
    </row>
    <row r="24" customFormat="false" ht="14.25" hidden="false" customHeight="false" outlineLevel="0" collapsed="false">
      <c r="A24" s="70" t="s">
        <v>468</v>
      </c>
      <c r="B24" s="71" t="n">
        <f aca="false">-SUMIFS('Détail projets &amp; dettes'!$H$5:$H$413,'Détail projets &amp; dettes'!$C$5:$C$413,"RIVIERA",'Détail projets &amp; dettes'!$A$5:$A$413,"Nov. 2026",'Détail projets &amp; dettes'!$J$5:$J$413,"O")</f>
        <v>693759.09012462</v>
      </c>
      <c r="C24" s="71" t="n">
        <v>693759.09</v>
      </c>
      <c r="D24" s="79" t="n">
        <f aca="false">B24-C24</f>
        <v>0.000124620390124619</v>
      </c>
      <c r="E24" s="70" t="s">
        <v>469</v>
      </c>
      <c r="F24" s="1"/>
      <c r="G24" s="1"/>
      <c r="H24" s="1"/>
    </row>
    <row r="25" customFormat="false" ht="14.25" hidden="false" customHeight="false" outlineLevel="0" collapsed="false">
      <c r="A25" s="70" t="s">
        <v>470</v>
      </c>
      <c r="B25" s="71" t="n">
        <f aca="false">-(SUMIFS('Détail projets &amp; dettes'!$H$5:$H$413,'Détail projets &amp; dettes'!$C$5:$C$413,"TERASSON",'Détail projets &amp; dettes'!$A$5:$A$413,"S1",'Détail projets &amp; dettes'!$J$5:$J$413,"O")+SUMIFS('Détail projets &amp; dettes'!$H$5:$H$413,'Détail projets &amp; dettes'!$C$5:$C$413,"TERASSON",'Détail projets &amp; dettes'!$A$5:$A$413,"S2",'Détail projets &amp; dettes'!$J$5:$J$413,"O")+SUMIFS('Détail projets &amp; dettes'!$H$5:$H$413,'Détail projets &amp; dettes'!$C$5:$C$413,"TERASSON",'Détail projets &amp; dettes'!$A$5:$A$413,"S3",'Détail projets &amp; dettes'!$J$5:$J$413,"O")+SUMIFS('Détail projets &amp; dettes'!$H$5:$H$413,'Détail projets &amp; dettes'!$C$5:$C$413,"TERASSON",'Détail projets &amp; dettes'!$A$5:$A$413,"S4",'Détail projets &amp; dettes'!$J$5:$J$413,"O"))</f>
        <v>4097563.74395313</v>
      </c>
      <c r="C25" s="71" t="n">
        <f aca="false">3350467.25+C26</f>
        <v>4097563.74</v>
      </c>
      <c r="D25" s="79" t="n">
        <f aca="false">B25-C25</f>
        <v>0.00395312951877713</v>
      </c>
      <c r="E25" s="70" t="s">
        <v>465</v>
      </c>
      <c r="F25" s="1"/>
      <c r="G25" s="1"/>
      <c r="H25" s="1"/>
    </row>
    <row r="26" customFormat="false" ht="14.25" hidden="false" customHeight="false" outlineLevel="0" collapsed="false">
      <c r="A26" s="70" t="s">
        <v>466</v>
      </c>
      <c r="B26" s="71"/>
      <c r="C26" s="71" t="n">
        <v>747096.49</v>
      </c>
      <c r="D26" s="79"/>
      <c r="E26" s="70" t="s">
        <v>471</v>
      </c>
      <c r="F26" s="1"/>
      <c r="G26" s="1"/>
      <c r="H26" s="1"/>
    </row>
    <row r="27" customFormat="false" ht="14.25" hidden="false" customHeight="false" outlineLevel="0" collapsed="false">
      <c r="A27" s="70" t="s">
        <v>472</v>
      </c>
      <c r="B27" s="71" t="n">
        <f aca="false">-SUMIFS('Détail projets &amp; dettes'!$H$5:$H$413,'Détail projets &amp; dettes'!$C$5:$C$413,"TERASSON",'Détail projets &amp; dettes'!$A$5:$A$413,"Nov. 2026",'Détail projets &amp; dettes'!$J$5:$J$413,"O")</f>
        <v>1888063.3584391</v>
      </c>
      <c r="C27" s="71" t="n">
        <v>1888063.36</v>
      </c>
      <c r="D27" s="79" t="n">
        <f aca="false">B27-C27</f>
        <v>-0.00156090036034584</v>
      </c>
      <c r="E27" s="70" t="s">
        <v>473</v>
      </c>
      <c r="F27" s="1"/>
      <c r="G27" s="1"/>
      <c r="H27" s="1"/>
    </row>
    <row r="28" customFormat="false" ht="14.25" hidden="false" customHeight="false" outlineLevel="0" collapsed="false">
      <c r="A28" s="1"/>
      <c r="B28" s="1"/>
      <c r="C28" s="1"/>
      <c r="D28" s="1"/>
      <c r="E28" s="1"/>
      <c r="F28" s="1"/>
      <c r="G28" s="1"/>
      <c r="H28" s="1"/>
    </row>
    <row r="29" customFormat="false" ht="14.25" hidden="false" customHeight="false" outlineLevel="0" collapsed="false">
      <c r="A29" s="3" t="s">
        <v>474</v>
      </c>
      <c r="B29" s="1"/>
      <c r="C29" s="1"/>
      <c r="D29" s="1"/>
      <c r="E29" s="1"/>
      <c r="F29" s="1"/>
      <c r="G29" s="1"/>
      <c r="H29" s="1"/>
    </row>
    <row r="30" customFormat="false" ht="14.25" hidden="false" customHeight="false" outlineLevel="0" collapsed="false">
      <c r="A30" s="68" t="s">
        <v>475</v>
      </c>
      <c r="B30" s="68" t="s">
        <v>476</v>
      </c>
      <c r="C30" s="68" t="s">
        <v>477</v>
      </c>
      <c r="D30" s="68" t="s">
        <v>478</v>
      </c>
      <c r="E30" s="68" t="s">
        <v>479</v>
      </c>
      <c r="F30" s="68" t="s">
        <v>480</v>
      </c>
      <c r="G30" s="68" t="s">
        <v>481</v>
      </c>
      <c r="H30" s="68" t="s">
        <v>442</v>
      </c>
    </row>
    <row r="31" customFormat="false" ht="14.25" hidden="false" customHeight="false" outlineLevel="0" collapsed="false">
      <c r="A31" s="70" t="s">
        <v>32</v>
      </c>
      <c r="B31" s="71" t="n">
        <v>107146.01</v>
      </c>
      <c r="C31" s="71" t="n">
        <v>0</v>
      </c>
      <c r="D31" s="71" t="n">
        <v>0</v>
      </c>
      <c r="E31" s="71" t="n">
        <v>30383.29</v>
      </c>
      <c r="F31" s="79" t="n">
        <f aca="false">SUM(B31:E31)</f>
        <v>137529.3</v>
      </c>
      <c r="G31" s="71" t="n">
        <f aca="false">C26</f>
        <v>747096.49</v>
      </c>
      <c r="H31" s="70" t="s">
        <v>482</v>
      </c>
    </row>
    <row r="32" customFormat="false" ht="14.25" hidden="false" customHeight="false" outlineLevel="0" collapsed="false">
      <c r="A32" s="70" t="s">
        <v>36</v>
      </c>
      <c r="B32" s="71" t="n">
        <v>33100</v>
      </c>
      <c r="C32" s="71" t="n">
        <v>87784.96</v>
      </c>
      <c r="D32" s="71" t="n">
        <v>6532.44</v>
      </c>
      <c r="E32" s="71" t="n">
        <v>17988.98</v>
      </c>
      <c r="F32" s="79" t="n">
        <f aca="false">SUM(B32:E32)</f>
        <v>145406.38</v>
      </c>
      <c r="G32" s="71" t="n">
        <f aca="false">C23</f>
        <v>1932909.62</v>
      </c>
      <c r="H32" s="70" t="s">
        <v>482</v>
      </c>
    </row>
    <row r="33" customFormat="false" ht="14.25" hidden="false" customHeight="false" outlineLevel="0" collapsed="false">
      <c r="A33" s="1"/>
      <c r="B33" s="1"/>
      <c r="C33" s="1"/>
      <c r="D33" s="1"/>
      <c r="E33" s="1"/>
      <c r="F33" s="1"/>
      <c r="G33" s="1"/>
      <c r="H33" s="1"/>
    </row>
    <row r="34" customFormat="false" ht="14.25" hidden="false" customHeight="false" outlineLevel="0" collapsed="false">
      <c r="A34" s="3" t="s">
        <v>483</v>
      </c>
      <c r="B34" s="1"/>
      <c r="C34" s="1"/>
      <c r="D34" s="1"/>
      <c r="E34" s="1"/>
      <c r="F34" s="1"/>
      <c r="G34" s="1"/>
      <c r="H34" s="1"/>
    </row>
    <row r="35" customFormat="false" ht="14.25" hidden="false" customHeight="false" outlineLevel="0" collapsed="false">
      <c r="A35" s="68" t="s">
        <v>484</v>
      </c>
      <c r="B35" s="68" t="s">
        <v>139</v>
      </c>
      <c r="C35" s="68" t="s">
        <v>485</v>
      </c>
      <c r="D35" s="80"/>
      <c r="E35" s="68" t="s">
        <v>486</v>
      </c>
      <c r="F35" s="1"/>
      <c r="G35" s="1"/>
      <c r="H35" s="1"/>
    </row>
    <row r="36" customFormat="false" ht="14.25" hidden="false" customHeight="false" outlineLevel="0" collapsed="false">
      <c r="A36" s="78" t="s">
        <v>487</v>
      </c>
      <c r="B36" s="71" t="n">
        <v>-8781979206</v>
      </c>
      <c r="C36" s="70" t="n">
        <v>5</v>
      </c>
      <c r="D36" s="1"/>
      <c r="E36" s="70" t="s">
        <v>488</v>
      </c>
      <c r="F36" s="1"/>
      <c r="G36" s="1"/>
      <c r="H36" s="1"/>
    </row>
    <row r="37" customFormat="false" ht="14.25" hidden="false" customHeight="false" outlineLevel="0" collapsed="false">
      <c r="A37" s="78" t="s">
        <v>489</v>
      </c>
      <c r="B37" s="71" t="n">
        <v>-4435862663</v>
      </c>
      <c r="C37" s="70" t="n">
        <v>7</v>
      </c>
      <c r="D37" s="1"/>
      <c r="E37" s="70" t="s">
        <v>488</v>
      </c>
      <c r="F37" s="1"/>
      <c r="G37" s="1"/>
      <c r="H37" s="1"/>
    </row>
    <row r="38" customFormat="false" ht="22.5" hidden="false" customHeight="true" outlineLevel="0" collapsed="false">
      <c r="A38" s="78" t="s">
        <v>490</v>
      </c>
      <c r="B38" s="71" t="n">
        <v>-2789446194</v>
      </c>
      <c r="C38" s="70" t="n">
        <v>24</v>
      </c>
      <c r="D38" s="1"/>
      <c r="E38" s="70" t="s">
        <v>488</v>
      </c>
      <c r="F38" s="1"/>
      <c r="G38" s="1"/>
      <c r="H38" s="1"/>
    </row>
    <row r="39" customFormat="false" ht="14.25" hidden="false" customHeight="false" outlineLevel="0" collapsed="false">
      <c r="A39" s="78" t="s">
        <v>491</v>
      </c>
      <c r="B39" s="71" t="n">
        <v>-1935273440</v>
      </c>
      <c r="C39" s="70" t="n">
        <v>6</v>
      </c>
      <c r="D39" s="1"/>
      <c r="E39" s="70" t="s">
        <v>492</v>
      </c>
      <c r="F39" s="1"/>
      <c r="G39" s="1"/>
      <c r="H39" s="1"/>
    </row>
    <row r="40" customFormat="false" ht="14.25" hidden="false" customHeight="false" outlineLevel="0" collapsed="false">
      <c r="A40" s="78" t="s">
        <v>493</v>
      </c>
      <c r="B40" s="71" t="n">
        <v>-234037302</v>
      </c>
      <c r="C40" s="70" t="n">
        <v>11</v>
      </c>
      <c r="D40" s="1"/>
      <c r="E40" s="70" t="s">
        <v>488</v>
      </c>
      <c r="F40" s="1"/>
      <c r="G40" s="1"/>
      <c r="H40" s="1"/>
    </row>
    <row r="41" customFormat="false" ht="14.25" hidden="false" customHeight="false" outlineLevel="0" collapsed="false">
      <c r="A41" s="78" t="s">
        <v>494</v>
      </c>
      <c r="B41" s="71" t="n">
        <v>-107544150</v>
      </c>
      <c r="C41" s="70" t="n">
        <v>1</v>
      </c>
      <c r="D41" s="1"/>
      <c r="E41" s="70" t="s">
        <v>492</v>
      </c>
      <c r="F41" s="1"/>
      <c r="G41" s="1"/>
      <c r="H41" s="1"/>
    </row>
    <row r="42" customFormat="false" ht="14.25" hidden="false" customHeight="false" outlineLevel="0" collapsed="false">
      <c r="A42" s="78" t="s">
        <v>495</v>
      </c>
      <c r="B42" s="71" t="n">
        <v>-29820459</v>
      </c>
      <c r="C42" s="70" t="n">
        <v>4</v>
      </c>
      <c r="D42" s="1"/>
      <c r="E42" s="70" t="s">
        <v>488</v>
      </c>
      <c r="F42" s="1"/>
      <c r="G42" s="1"/>
      <c r="H42" s="1"/>
    </row>
    <row r="43" customFormat="false" ht="14.25" hidden="false" customHeight="false" outlineLevel="0" collapsed="false">
      <c r="A43" s="78" t="s">
        <v>496</v>
      </c>
      <c r="B43" s="71" t="n">
        <v>-7779976</v>
      </c>
      <c r="C43" s="70" t="n">
        <v>2</v>
      </c>
      <c r="D43" s="1"/>
      <c r="E43" s="70" t="s">
        <v>488</v>
      </c>
      <c r="F43" s="1"/>
      <c r="G43" s="1"/>
      <c r="H43" s="1"/>
    </row>
    <row r="44" customFormat="false" ht="14.25" hidden="false" customHeight="false" outlineLevel="0" collapsed="false">
      <c r="A44" s="78" t="s">
        <v>497</v>
      </c>
      <c r="B44" s="71" t="n">
        <v>-6780531</v>
      </c>
      <c r="C44" s="70" t="n">
        <v>1</v>
      </c>
      <c r="D44" s="1"/>
      <c r="E44" s="70" t="s">
        <v>488</v>
      </c>
      <c r="F44" s="1"/>
      <c r="G44" s="1"/>
      <c r="H44" s="1"/>
    </row>
    <row r="45" customFormat="false" ht="14.25" hidden="false" customHeight="false" outlineLevel="0" collapsed="false">
      <c r="A45" s="78" t="s">
        <v>498</v>
      </c>
      <c r="B45" s="71" t="n">
        <v>-3389789</v>
      </c>
      <c r="C45" s="70" t="n">
        <v>2</v>
      </c>
      <c r="D45" s="1"/>
      <c r="E45" s="70" t="s">
        <v>488</v>
      </c>
      <c r="F45" s="1"/>
      <c r="G45" s="1"/>
      <c r="H45" s="1"/>
    </row>
    <row r="46" customFormat="false" ht="14.25" hidden="false" customHeight="false" outlineLevel="0" collapsed="false">
      <c r="A46" s="78" t="s">
        <v>499</v>
      </c>
      <c r="B46" s="71" t="n">
        <v>-340000</v>
      </c>
      <c r="C46" s="70" t="n">
        <v>1</v>
      </c>
      <c r="D46" s="1"/>
      <c r="E46" s="70" t="s">
        <v>488</v>
      </c>
      <c r="F46" s="1"/>
      <c r="G46" s="1"/>
      <c r="H46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0"/>
  </cols>
  <sheetData>
    <row r="1" customFormat="false" ht="15" hidden="false" customHeight="true" outlineLevel="0" collapsed="false">
      <c r="A1" s="2" t="s">
        <v>500</v>
      </c>
      <c r="B1" s="1"/>
    </row>
    <row r="2" customFormat="false" ht="14.25" hidden="false" customHeight="false" outlineLevel="0" collapsed="false">
      <c r="A2" s="1"/>
      <c r="B2" s="1"/>
    </row>
    <row r="3" customFormat="false" ht="14.25" hidden="false" customHeight="false" outlineLevel="0" collapsed="false">
      <c r="A3" s="81" t="s">
        <v>501</v>
      </c>
      <c r="B3" s="81"/>
    </row>
    <row r="4" customFormat="false" ht="22.5" hidden="false" customHeight="true" outlineLevel="0" collapsed="false">
      <c r="A4" s="82" t="s">
        <v>502</v>
      </c>
      <c r="B4" s="83" t="s">
        <v>503</v>
      </c>
    </row>
    <row r="5" customFormat="false" ht="22.5" hidden="false" customHeight="true" outlineLevel="0" collapsed="false">
      <c r="A5" s="82" t="s">
        <v>504</v>
      </c>
      <c r="B5" s="83" t="s">
        <v>505</v>
      </c>
    </row>
    <row r="6" customFormat="false" ht="22.5" hidden="false" customHeight="true" outlineLevel="0" collapsed="false">
      <c r="A6" s="82" t="s">
        <v>506</v>
      </c>
      <c r="B6" s="83" t="s">
        <v>507</v>
      </c>
    </row>
    <row r="7" customFormat="false" ht="22.5" hidden="false" customHeight="true" outlineLevel="0" collapsed="false">
      <c r="A7" s="82" t="s">
        <v>508</v>
      </c>
      <c r="B7" s="83" t="s">
        <v>509</v>
      </c>
    </row>
    <row r="8" customFormat="false" ht="14.25" hidden="false" customHeight="false" outlineLevel="0" collapsed="false">
      <c r="A8" s="82" t="s">
        <v>510</v>
      </c>
      <c r="B8" s="83" t="s">
        <v>511</v>
      </c>
    </row>
    <row r="9" customFormat="false" ht="14.25" hidden="false" customHeight="false" outlineLevel="0" collapsed="false">
      <c r="A9" s="82"/>
      <c r="B9" s="83"/>
    </row>
    <row r="10" customFormat="false" ht="14.25" hidden="false" customHeight="false" outlineLevel="0" collapsed="false">
      <c r="A10" s="81" t="s">
        <v>512</v>
      </c>
      <c r="B10" s="81"/>
    </row>
    <row r="11" customFormat="false" ht="22.5" hidden="false" customHeight="true" outlineLevel="0" collapsed="false">
      <c r="A11" s="82" t="s">
        <v>513</v>
      </c>
      <c r="B11" s="83" t="s">
        <v>514</v>
      </c>
    </row>
    <row r="12" customFormat="false" ht="14.25" hidden="false" customHeight="false" outlineLevel="0" collapsed="false">
      <c r="A12" s="82" t="s">
        <v>515</v>
      </c>
      <c r="B12" s="83" t="s">
        <v>516</v>
      </c>
    </row>
    <row r="13" customFormat="false" ht="14.25" hidden="false" customHeight="false" outlineLevel="0" collapsed="false">
      <c r="A13" s="82" t="s">
        <v>517</v>
      </c>
      <c r="B13" s="83" t="s">
        <v>518</v>
      </c>
    </row>
    <row r="14" customFormat="false" ht="22.5" hidden="false" customHeight="true" outlineLevel="0" collapsed="false">
      <c r="A14" s="82" t="s">
        <v>519</v>
      </c>
      <c r="B14" s="83" t="s">
        <v>520</v>
      </c>
    </row>
    <row r="15" customFormat="false" ht="14.25" hidden="false" customHeight="false" outlineLevel="0" collapsed="false">
      <c r="A15" s="82"/>
      <c r="B15" s="83"/>
    </row>
    <row r="16" customFormat="false" ht="14.25" hidden="false" customHeight="false" outlineLevel="0" collapsed="false">
      <c r="A16" s="81" t="s">
        <v>521</v>
      </c>
      <c r="B16" s="81"/>
    </row>
    <row r="17" customFormat="false" ht="14.25" hidden="false" customHeight="false" outlineLevel="0" collapsed="false">
      <c r="A17" s="82" t="s">
        <v>522</v>
      </c>
      <c r="B17" s="83" t="s">
        <v>523</v>
      </c>
    </row>
    <row r="18" customFormat="false" ht="14.25" hidden="false" customHeight="false" outlineLevel="0" collapsed="false">
      <c r="A18" s="82" t="s">
        <v>524</v>
      </c>
      <c r="B18" s="83" t="s">
        <v>525</v>
      </c>
    </row>
    <row r="19" customFormat="false" ht="22.5" hidden="false" customHeight="true" outlineLevel="0" collapsed="false">
      <c r="A19" s="82" t="s">
        <v>526</v>
      </c>
      <c r="B19" s="83" t="s">
        <v>527</v>
      </c>
    </row>
    <row r="20" customFormat="false" ht="14.25" hidden="false" customHeight="false" outlineLevel="0" collapsed="false">
      <c r="A20" s="82" t="s">
        <v>528</v>
      </c>
      <c r="B20" s="83" t="s">
        <v>529</v>
      </c>
    </row>
    <row r="21" customFormat="false" ht="14.25" hidden="false" customHeight="false" outlineLevel="0" collapsed="false">
      <c r="A21" s="82"/>
      <c r="B21" s="83"/>
    </row>
    <row r="22" customFormat="false" ht="14.25" hidden="false" customHeight="false" outlineLevel="0" collapsed="false">
      <c r="A22" s="81" t="s">
        <v>530</v>
      </c>
      <c r="B22" s="81"/>
    </row>
    <row r="23" customFormat="false" ht="14.25" hidden="false" customHeight="false" outlineLevel="0" collapsed="false">
      <c r="A23" s="82" t="s">
        <v>531</v>
      </c>
      <c r="B23" s="83" t="s">
        <v>532</v>
      </c>
    </row>
    <row r="24" customFormat="false" ht="22.5" hidden="false" customHeight="true" outlineLevel="0" collapsed="false">
      <c r="A24" s="82" t="s">
        <v>533</v>
      </c>
      <c r="B24" s="83" t="s">
        <v>534</v>
      </c>
    </row>
    <row r="25" customFormat="false" ht="14.25" hidden="false" customHeight="false" outlineLevel="0" collapsed="false">
      <c r="A25" s="82" t="s">
        <v>535</v>
      </c>
      <c r="B25" s="83" t="s">
        <v>536</v>
      </c>
    </row>
    <row r="26" customFormat="false" ht="14.25" hidden="false" customHeight="false" outlineLevel="0" collapsed="false">
      <c r="A26" s="82" t="s">
        <v>537</v>
      </c>
      <c r="B26" s="83" t="s">
        <v>538</v>
      </c>
    </row>
    <row r="27" customFormat="false" ht="14.25" hidden="false" customHeight="false" outlineLevel="0" collapsed="false">
      <c r="A27" s="82" t="s">
        <v>539</v>
      </c>
      <c r="B27" s="83" t="s">
        <v>540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2026-10-02T17:28:57Z</dcterms:created>
  <dc:creator>openpyxl</dc:creator>
  <dc:description/>
  <dc:language>en-US</dc:language>
  <cp:lastModifiedBy>KOUADIO Ange</cp:lastModifiedBy>
  <dcterms:modified xsi:type="dcterms:W3CDTF">2026-10-02T17:46:14Z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33f31a-a91f-4b93-bbcd-5ddf027d1ae6_ActionId">
    <vt:lpwstr>62fe7919-4708-4bfc-bbc2-630e52006d5a</vt:lpwstr>
  </property>
  <property fmtid="{D5CDD505-2E9C-101B-9397-08002B2CF9AE}" pid="3" name="MSIP_Label_4333f31a-a91f-4b93-bbcd-5ddf027d1ae6_ContentBits">
    <vt:lpwstr>0</vt:lpwstr>
  </property>
  <property fmtid="{D5CDD505-2E9C-101B-9397-08002B2CF9AE}" pid="4" name="MSIP_Label_4333f31a-a91f-4b93-bbcd-5ddf027d1ae6_Enabled">
    <vt:lpwstr>true</vt:lpwstr>
  </property>
  <property fmtid="{D5CDD505-2E9C-101B-9397-08002B2CF9AE}" pid="5" name="MSIP_Label_4333f31a-a91f-4b93-bbcd-5ddf027d1ae6_Method">
    <vt:lpwstr>Standard</vt:lpwstr>
  </property>
  <property fmtid="{D5CDD505-2E9C-101B-9397-08002B2CF9AE}" pid="6" name="MSIP_Label_4333f31a-a91f-4b93-bbcd-5ddf027d1ae6_Name">
    <vt:lpwstr>C0</vt:lpwstr>
  </property>
  <property fmtid="{D5CDD505-2E9C-101B-9397-08002B2CF9AE}" pid="7" name="MSIP_Label_4333f31a-a91f-4b93-bbcd-5ddf027d1ae6_SetDate">
    <vt:lpwstr>2026-10-02T17:40:25Z</vt:lpwstr>
  </property>
  <property fmtid="{D5CDD505-2E9C-101B-9397-08002B2CF9AE}" pid="8" name="MSIP_Label_4333f31a-a91f-4b93-bbcd-5ddf027d1ae6_SiteId">
    <vt:lpwstr>f7e1e464-7e4d-4e93-9f42-de95ee7dcd32</vt:lpwstr>
  </property>
  <property fmtid="{D5CDD505-2E9C-101B-9397-08002B2CF9AE}" pid="9" name="MSIP_Label_4333f31a-a91f-4b93-bbcd-5ddf027d1ae6_Tag">
    <vt:lpwstr>10, 3, 0, 1</vt:lpwstr>
  </property>
</Properties>
</file>