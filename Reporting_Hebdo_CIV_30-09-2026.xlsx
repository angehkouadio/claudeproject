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<sst xmlns="http://schemas.openxmlformats.org/spreadsheetml/2006/main" count="2832" uniqueCount="637">
  <si>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</si>
  <si>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</si>
  <si>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</si>
  <si>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</si>
  <si>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</si>
  <si>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</si>
  <si>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</si>
  <si>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</si>
  <si>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</si>
  <si>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</si>
  <si>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</si>
  <si>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</si>
  <si>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</si>
  <si>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</si>
  <si>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</si>
  <si>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>BANQUE</t>
  </si>
  <si>
    <t>Destination (position CI)</t>
  </si>
  <si>
    <t>COMMENTAIRES</t>
  </si>
  <si>
    <t/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</si>
  <si>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</si>
  <si>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</si>
  <si>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</si>
  <si>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</si>
  <si>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</si>
  <si>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</si>
  <si>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</si>
  <si>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</si>
  <si>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</si>
  <si>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</si>
  <si>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</si>
  <si>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</si>
  <si>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</si>
  <si>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</si>
  <si>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</si>
  <si>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</si>
  <si>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</si>
  <si>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</si>
  <si>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</si>
  <si>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</si>
  <si>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</si>
  <si>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</si>
  <si>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</si>
  <si>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</si>
  <si>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</si>
  <si>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</si>
  <si>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</si>
  <si>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</si>
  <si>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</si>
  <si>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</si>
  <si>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</si>
  <si>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</si>
  <si>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</si>
  <si>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</si>
  <si>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</si>
  <si>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</si>
  <si>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</si>
  <si>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</si>
  <si>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</si>
  <si>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</si>
  <si>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</si>
  <si>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</si>
  <si>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</si>
  <si>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</si>
  <si>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</si>
  <si>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FIRST-DETTE</t>
  </si>
  <si>
    <t>STANBIC-FIRST _ Debt Service</t>
  </si>
  <si>
    <t>Service de la dette</t>
  </si>
  <si>
    <t>FIRST-STANBICFIRSTLL</t>
  </si>
  <si>
    <t>STANBIC-FIRST_LL</t>
  </si>
  <si>
    <t>Compte réservé, non mobilisable</t>
  </si>
  <si>
    <t>FIRST-STANBICFIRSTDISBURSEMENT</t>
  </si>
  <si>
    <t>STANBIC-FIRST_Disbursement</t>
  </si>
  <si>
    <t>RIVIERA-ARBITRER</t>
  </si>
  <si>
    <t>BNI-RIVIERA(Courant)</t>
  </si>
  <si>
    <t>À arbitrer (« Affection placement? Ou besoin de fonctionnement »)</t>
  </si>
  <si>
    <t>RIVIERA-BNIRIVIERAAUGMENTATION</t>
  </si>
  <si>
    <t>BNI-RIVIERA(Augmentation)</t>
  </si>
  <si>
    <t>RIVIERA-PROJET</t>
  </si>
  <si>
    <t>BNI-PICI / Fonds projet RP</t>
  </si>
  <si>
    <t>Fonds projet (paiement CPI)</t>
  </si>
  <si>
    <t>TERASSON-PROJET</t>
  </si>
  <si>
    <t>BNI-TERASSON / Fonds projet NP</t>
  </si>
  <si>
    <t>RIVIERA-BNIRIVIERADSRAPLACEMENT</t>
  </si>
  <si>
    <t>BNI-RIVIERA(DSRA) / Placement</t>
  </si>
  <si>
    <t>SCO AO-BACIAGORACOMPTEBLOQUTVA</t>
  </si>
  <si>
    <t>BACI-AGORA/COMPTE BLOQU. TVA</t>
  </si>
  <si>
    <t>TOTAL COMPTES DÉDIÉS</t>
  </si>
  <si>
    <t>TOTAL GÉNÉRAL CÔTE D'IVOIRE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</si>
  <si>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</si>
  <si>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</si>
  <si>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</si>
  <si>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</si>
  <si>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financement – sociétés en solde théorique négatif</t>
  </si>
  <si>
    <t>Nombre de sociétés en solde théorique négatif</t>
  </si>
  <si>
    <t>Besoin de financement – comptes dédiés en solde théorique négatif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</si>
  <si>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</si>
  <si>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</si>
  <si>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</si>
  <si>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</si>
  <si>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</si>
  <si>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</si>
  <si>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</si>
  <si>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</si>
  <si>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</si>
  <si>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</si>
  <si>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</si>
  <si>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</si>
  <si>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</si>
  <si>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</si>
  <si>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</si>
  <si>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FOURNISSEURS - PROJET</t>
  </si>
  <si>
    <t>SALAIRES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</si>
  <si>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</si>
  <si>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</si>
  <si>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</si>
  <si>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</si>
  <si>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</si>
  <si>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</si>
  <si>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</si>
  <si>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</si>
  <si>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</si>
  <si>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</si>
  <si>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</si>
  <si>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</si>
  <si>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Remboursement de prêt</t>
  </si>
  <si>
    <t>Foncier</t>
  </si>
  <si>
    <t>Travaux</t>
  </si>
  <si>
    <t>Honoraires</t>
  </si>
  <si>
    <t>Autres dépenses</t>
  </si>
  <si>
    <t>Frais financiers</t>
  </si>
  <si>
    <t>Encaissements de loyers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</si>
  <si>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</si>
  <si>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</si>
  <si>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</si>
  <si>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</si>
  <si>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</si>
  <si>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</si>
  <si>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</si>
  <si>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</si>
  <si>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</si>
  <si>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</si>
  <si>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</si>
  <si>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</si>
  <si>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</si>
  <si>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STB Debt Service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</si>
  <si>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</si>
  <si>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</si>
  <si>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</si>
  <si>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</si>
  <si>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</si>
  <si>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</si>
  <si>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</si>
  <si>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</si>
  <si>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</si>
  <si>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</si>
  <si>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</si>
  <si>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</si>
  <si>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</si>
  <si>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</si>
  <si>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</si>
  <si>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</si>
  <si>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</si>
  <si>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Service de la dette FIRST : compte Debt Service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</si>
  <si>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</si>
  <si>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</si>
  <si>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</si>
  <si>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</si>
  <si>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</si>
  <si>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</si>
  <si>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</si>
  <si>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</si>
  <si>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</si>
  <si>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</si>
  <si>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</si>
  <si>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</si>
  <si>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</si>
  <si>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</si>
  <si>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TERASSON – ECO</t>
  </si>
  <si>
    <t>TERASSON – SG</t>
  </si>
  <si>
    <t>Regroupement sur le compte payeur</t>
  </si>
  <si>
    <t>RIVIERA PARK – BNI courant</t>
  </si>
  <si>
    <t>RIVIERA PARK – SG</t>
  </si>
  <si>
    <t>Compte à arbitrer – sous réserve de validation</t>
  </si>
  <si>
    <t>SCO AO – BOA</t>
  </si>
  <si>
    <t>SCO AO – BACI courant</t>
  </si>
  <si>
    <t>SCO AO – ECO</t>
  </si>
  <si>
    <t>IMMONEUF – BACI - IMMONEUF</t>
  </si>
  <si>
    <t>IMMONEUF – SG</t>
  </si>
  <si>
    <t>IMMONEUF – ECO</t>
  </si>
  <si>
    <t>FINAFRICA – ECO</t>
  </si>
  <si>
    <t>FINAFRICA – SG</t>
  </si>
  <si>
    <t>PICI – ECO</t>
  </si>
  <si>
    <t>ODALYS CI – SG</t>
  </si>
  <si>
    <t>Impôts, cotisations et salaires</t>
  </si>
  <si>
    <t>AB CENTER – ECO</t>
  </si>
  <si>
    <t>RHD CI – payé par PICI</t>
  </si>
  <si>
    <t>PICI – STB</t>
  </si>
  <si>
    <t>PICI – SG</t>
  </si>
  <si>
    <t>SCI FIRST – STB</t>
  </si>
  <si>
    <t>SCI FIRST – SG</t>
  </si>
  <si>
    <t>Total des virements</t>
  </si>
  <si>
    <t>Comptes (liste de saisie)</t>
  </si>
  <si>
    <t>TERASSON – BNI fonds projet</t>
  </si>
  <si>
    <t>SCI FIRST – STB Debt Service</t>
  </si>
  <si>
    <t>RIVIERA PARK – BNI fonds projet</t>
  </si>
  <si>
    <t>SCO AO – BACI Projet</t>
  </si>
  <si>
    <t>SCO AO – BACI AGORA</t>
  </si>
  <si>
    <t>INFI – SIB</t>
  </si>
  <si>
    <t>AB CENTER – SG</t>
  </si>
  <si>
    <t>Détail des flux de fonctionnement (frais de structure) – FCFA</t>
  </si>
  <si>
    <t>Nature</t>
  </si>
  <si>
    <t>Fournisseur / libellé</t>
  </si>
  <si>
    <t>Montant €</t>
  </si>
  <si>
    <t>Retenu (O/N)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</si>
  <si>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</si>
  <si>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</si>
  <si>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</si>
  <si>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</si>
  <si>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</si>
  <si>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</si>
  <si>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</si>
  <si>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</si>
  <si>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</si>
  <si>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</si>
  <si>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</si>
  <si>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</si>
  <si>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</si>
  <si>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</si>
  <si>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</si>
  <si>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</si>
  <si>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</si>
  <si>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</si>
  <si>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</si>
  <si>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</si>
  <si>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</si>
  <si>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</si>
  <si>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</si>
  <si>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</si>
  <si>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</si>
  <si>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</si>
  <si>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</si>
  <si>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</si>
  <si>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</si>
  <si>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</si>
  <si>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</si>
  <si>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</si>
  <si>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</si>
  <si>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</si>
  <si>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</si>
  <si>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</si>
  <si>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</si>
  <si>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</si>
  <si>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</si>
  <si>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</si>
  <si>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</si>
  <si>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</si>
  <si>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</si>
  <si>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</si>
  <si>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</si>
  <si>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</si>
  <si>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</si>
  <si>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</si>
  <si>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</si>
  <si>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</si>
  <si>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SALAIRE NDF</t>
  </si>
  <si>
    <t>SALAIRE SEPTEMBRE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</si>
  <si>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</si>
  <si>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</si>
  <si>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</si>
  <si>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</si>
  <si>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</si>
  <si>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</si>
  <si>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</si>
  <si>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</si>
  <si>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</si>
  <si>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</si>
  <si>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</si>
  <si>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</si>
  <si>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</si>
  <si>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</si>
  <si>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</si>
  <si>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</si>
  <si>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</si>
  <si>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</si>
  <si>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</si>
  <si>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</si>
  <si>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</si>
  <si>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</si>
  <si>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</si>
  <si>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</si>
  <si>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</si>
  <si>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</si>
  <si>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</si>
  <si>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Salaires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</si>
  <si>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</si>
  <si>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</si>
  <si>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</si>
  <si>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</si>
  <si>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</si>
  <si>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</si>
  <si>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</si>
  <si>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</si>
  <si>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</si>
  <si>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</si>
  <si>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</si>
  <si>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</si>
  <si>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</si>
  <si>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</si>
  <si>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</si>
  <si>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</si>
  <si>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Détail des flux projets &amp; dettes (comptes dédiés)</t>
  </si>
  <si>
    <t>Compte dédié (clé)</t>
  </si>
  <si>
    <t>Code</t>
  </si>
  <si>
    <t>Libellé</t>
  </si>
  <si>
    <t>Entreprise</t>
  </si>
  <si>
    <t>Montant € HT</t>
  </si>
  <si>
    <t>Stanbic</t>
  </si>
  <si>
    <t>Capital emprunté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</si>
  <si>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</si>
  <si>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</si>
  <si>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</si>
  <si>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</si>
  <si>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</si>
  <si>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</si>
  <si>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</si>
  <si>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</si>
  <si>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</si>
  <si>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</si>
  <si>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</si>
  <si>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</si>
  <si>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</si>
  <si>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</si>
  <si>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</si>
  <si>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</si>
  <si>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</si>
  <si>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</si>
  <si>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</si>
  <si>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</si>
  <si>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</si>
  <si>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</si>
  <si>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</si>
  <si>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</si>
  <si>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</si>
  <si>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</si>
  <si>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</si>
  <si>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</si>
  <si>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</si>
  <si>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</si>
  <si>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</si>
  <si>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</si>
  <si>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</si>
  <si>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</si>
  <si>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</si>
  <si>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</si>
  <si>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</si>
  <si>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</si>
  <si>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</si>
  <si>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</si>
  <si>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</si>
  <si>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</si>
  <si>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</si>
  <si>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</si>
  <si>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</si>
  <si>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</si>
  <si>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</si>
  <si>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</si>
  <si>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</si>
  <si>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</si>
  <si>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</si>
  <si>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</si>
  <si>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</si>
  <si>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</si>
  <si>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</si>
  <si>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</si>
  <si>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</si>
  <si>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</si>
  <si>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</si>
  <si>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</si>
  <si>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</si>
  <si>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</si>
  <si>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</si>
  <si>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</si>
  <si>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</si>
  <si>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</si>
  <si>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</si>
  <si>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</si>
  <si>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</si>
  <si>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</si>
  <si>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</si>
  <si>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</si>
  <si>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</si>
  <si>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</si>
  <si>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</si>
  <si>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</si>
  <si>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</si>
  <si>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</si>
  <si>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Loyer octobre 2026 – SBS SOFTWARE IVORY COAST</t>
  </si>
  <si>
    <t>SBS SOFTWARE IVORY COAST</t>
  </si>
  <si>
    <t>Loyer octobre 2026 – SA LOG IVOIRE</t>
  </si>
  <si>
    <t>SA LOG IVOIRE</t>
  </si>
  <si>
    <t>Loyer octobre 2026 – M&amp;H CONSULTING AFRICA SARL</t>
  </si>
  <si>
    <t>M&amp;H CONSULTING AFRICA SARL</t>
  </si>
  <si>
    <t>Loyer octobre 2026 – ITOCHU CORPORATION SA</t>
  </si>
  <si>
    <t>ITOCHU CORPORATION SA</t>
  </si>
  <si>
    <t>Loyer octobre 2026 – JESA WEST AFRICA SASU</t>
  </si>
  <si>
    <t>JESA WEST AFRICA SASU</t>
  </si>
  <si>
    <t>Loyer octobre 2026 – DC/BR</t>
  </si>
  <si>
    <t>DC/BR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</si>
  <si>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</si>
  <si>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</si>
  <si>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</si>
  <si>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</si>
  <si>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</si>
  <si>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</si>
  <si>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</si>
  <si>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</si>
  <si>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</si>
  <si>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</si>
  <si>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</si>
  <si>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</si>
  <si>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</si>
  <si>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</si>
  <si>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</si>
  <si>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</si>
  <si>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</si>
  <si>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</si>
  <si>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</si>
  <si>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</si>
  <si>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</si>
  <si>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</si>
  <si>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</si>
  <si>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</si>
  <si>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</si>
  <si>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</si>
  <si>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</si>
  <si>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</si>
  <si>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</si>
  <si>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</si>
  <si>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</si>
  <si>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</si>
  <si>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</si>
  <si>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</si>
  <si>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</si>
  <si>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</si>
  <si>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</si>
  <si>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</si>
  <si>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</si>
  <si>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</si>
  <si>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</si>
  <si>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</si>
  <si>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</si>
  <si>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Commission bancaire – déjà dans les frais financiers des cash plans</t>
  </si>
  <si>
    <t>Loyer octobre 2026 – SIEMENS ENERGY SARL</t>
  </si>
  <si>
    <t>SIEMENS ENERGY SARL</t>
  </si>
  <si>
    <t>Bni – déjà dans les frais financiers des cash plans</t>
  </si>
  <si>
    <t>Position de trésorerie CI – soldes bancaires au 30/09/2026</t>
  </si>
  <si>
    <t>Banque</t>
  </si>
  <si>
    <t>Compte</t>
  </si>
  <si>
    <t>Bloc du reporting</t>
  </si>
  <si>
    <t>Solde FCFA</t>
  </si>
  <si>
    <t>Solde €</t>
  </si>
  <si>
    <t>Clé</t>
  </si>
  <si>
    <t>Source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</si>
  <si>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</si>
  <si>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</si>
  <si>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</si>
  <si>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</si>
  <si>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</si>
  <si>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</si>
  <si>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</si>
  <si>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</si>
  <si>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</si>
  <si>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</si>
  <si>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</si>
  <si>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</si>
  <si>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</si>
  <si>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</si>
  <si>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DSR/Augmentation/LL/Disbursment</t>
  </si>
  <si>
    <t>Compte dédié</t>
  </si>
  <si>
    <t>CIV position, ligne 11</t>
  </si>
  <si>
    <t>CIV position, ligne 12</t>
  </si>
  <si>
    <t>CIV position, ligne 13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</si>
  <si>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</si>
  <si>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</si>
  <si>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</si>
  <si>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</si>
  <si>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</si>
  <si>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</si>
  <si>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</si>
  <si>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</si>
  <si>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CIV position, ligne 20</t>
  </si>
  <si>
    <t>CIV position, ligne 21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</si>
  <si>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</si>
  <si>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</si>
  <si>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</si>
  <si>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</si>
  <si>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</si>
  <si>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</si>
  <si>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</si>
  <si>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</si>
  <si>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</si>
  <si>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</si>
  <si>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</si>
  <si>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</si>
  <si>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</si>
  <si>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</si>
  <si>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</si>
  <si>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</si>
  <si>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</si>
  <si>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</si>
  <si>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</si>
  <si>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</si>
  <si>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</si>
  <si>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</si>
  <si>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</si>
  <si>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</si>
  <si>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</si>
  <si>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</si>
  <si>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</si>
  <si>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</si>
  <si>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</si>
  <si>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</si>
  <si>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</si>
  <si>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</si>
  <si>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48</t>
  </si>
  <si>
    <t>CIV position, ligne 49</t>
  </si>
  <si>
    <t>TOTAL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</si>
  <si>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</si>
  <si>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</si>
  <si>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</si>
  <si>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</si>
  <si>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</si>
  <si>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</si>
  <si>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</si>
  <si>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</si>
  <si>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 toutes les lignes bancaires de la feuille « CIV position ».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</si>
  <si>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</si>
  <si>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</si>
  <si>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</si>
  <si>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</si>
  <si>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</si>
  <si>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</si>
  <si>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</si>
  <si>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</si>
  <si>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</si>
  <si>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</si>
  <si>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</si>
  <si>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</si>
  <si>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</si>
  <si>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</si>
  <si>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</si>
  <si>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</si>
  <si>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</si>
  <si>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</si>
  <si>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Remboursement de prêt – prêts des projets (déjà dans les cash plans)</t>
  </si>
  <si>
    <t>Détail projets &amp; dettes</t>
  </si>
  <si>
    <t>Encaissements de loyers – loyer déjà encaissé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</si>
  <si>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</si>
  <si>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</si>
  <si>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</si>
  <si>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</si>
  <si>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</si>
  <si>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</si>
  <si>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</si>
  <si>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</si>
  <si>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</si>
  <si>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</si>
  <si>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</si>
  <si>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</si>
  <si>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</si>
  <si>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</si>
  <si>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</si>
  <si>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</si>
  <si>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</si>
  <si>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</si>
  <si>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</si>
  <si>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</si>
  <si>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</si>
  <si>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</si>
  <si>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</si>
  <si>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</si>
  <si>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</si>
  <si>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</si>
  <si>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</si>
  <si>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</si>
  <si>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</si>
  <si>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</si>
  <si>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</si>
  <si>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</si>
  <si>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</si>
  <si>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</si>
  <si>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</si>
  <si>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</si>
  <si>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</si>
  <si>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</si>
  <si>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</si>
  <si>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</si>
  <si>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</si>
  <si>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</si>
  <si>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</si>
  <si>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sur le compte de service de la dette.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</si>
  <si>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</si>
  <si>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</si>
  <si>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</si>
  <si>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</si>
  <si>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</si>
  <si>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</si>
  <si>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</si>
  <si>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</si>
  <si>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</si>
  <si>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</si>
  <si>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</si>
  <si>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</si>
  <si>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</si>
  <si>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</si>
  <si>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</si>
  <si>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</si>
  <si>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</si>
  <si>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</si>
  <si>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</si>
  <si>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</si>
  <si>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</si>
  <si>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</si>
  <si>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</si>
  <si>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</si>
  <si>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</si>
  <si>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</si>
  <si>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</si>
  <si>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</si>
  <si>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</si>
  <si>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FIRST : compte Debt Service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</si>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</sst>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19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0" fillId="0" borderId="7" xfId="0" applyBorder="1"/>
    <xf numFmtId="3" fontId="2" fillId="0" borderId="8" xfId="0" applyNumberFormat="1" applyFont="1" applyBorder="1"/>
    <xf numFmtId="1" fontId="3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8" fillId="6" borderId="0" xfId="0" applyFont="1" applyFill="1"/>
    <xf numFmtId="3" fontId="3" fillId="7" borderId="12" xfId="0" applyNumberFormat="1" applyFont="1" applyFill="1" applyBorder="1"/>
    <xf numFmtId="0" fontId="9" fillId="0" borderId="0" xfId="0" applyFont="1"/>
    <xf numFmtId="0" fontId="10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1" fillId="0" borderId="4" xfId="0" applyNumberFormat="1" applyFont="1" applyBorder="1"/>
    <xf numFmtId="0" fontId="12" fillId="0" borderId="4" xfId="0" applyFont="1" applyBorder="1" applyAlignment="1">
      <alignment vertical="top" wrapText="1"/>
    </xf>
    <xf numFmtId="167" fontId="13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4" fillId="0" borderId="4" xfId="0" applyNumberFormat="1" applyFont="1" applyBorder="1"/>
    <xf numFmtId="0" fontId="2" fillId="8" borderId="4" xfId="0" applyFont="1" applyFill="1" applyBorder="1" applyAlignment="1">
      <alignment horizontal="center"/>
    </xf>
    <xf numFmtId="167" fontId="15" fillId="8" borderId="4" xfId="0" applyNumberFormat="1" applyFont="1" applyFill="1" applyBorder="1"/>
    <xf numFmtId="167" fontId="16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7" fillId="0" borderId="0" xfId="0" applyFont="1"/>
    <xf numFmtId="0" fontId="11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8" fillId="0" borderId="4" xfId="0" applyFont="1" applyBorder="1"/>
    <xf numFmtId="3" fontId="18" fillId="0" borderId="4" xfId="0" applyNumberFormat="1" applyFont="1" applyBorder="1"/>
    <xf numFmtId="0" fontId="2" fillId="0" borderId="19" xfId="0" applyFont="1" applyBorder="1"/>
    <xf numFmtId="3" fontId="2" fillId="0" borderId="19" xfId="0" applyNumberFormat="1" applyFont="1" applyBorder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75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46300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6" spans="3:3" x14ac:dyDescent="0.25">
      <c r="C6" s="2" t="s">
        <v>12</v>
      </c>
    </row>
    <row r="8" spans="6:23" x14ac:dyDescent="0.25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>
      <c r="C9" s="11" t="s">
        <v>15</v>
      </c>
      <c r="D9" s="11" t="s">
        <v>16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17</v>
      </c>
    </row>
    <row r="10" ht="28.5" customHeight="1" spans="3:23" x14ac:dyDescent="0.25">
      <c r="C10" s="11" t="s">
        <v>18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spans="1:23" x14ac:dyDescent="0.25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fonctionnement'!$E$5:$E$500,'Détail fonctionnement'!$A$5:$A$500,N$2,'Détail fonctionnement'!$G$5:$G$500,"O",'Détail fonctionnement'!$B$5:$B$500,$A11)</f>
      </c>
      <c r="O11" s="27">
        <f>M11+N11</f>
      </c>
      <c r="P11" s="26">
        <f>SUMIFS('Détail fonctionnement'!$E$5:$E$500,'Détail fonctionnement'!$A$5:$A$500,P$2,'Détail fonctionnement'!$G$5:$G$500,"O",'Détail fonctionnement'!$B$5:$B$500,$A11)</f>
      </c>
      <c r="Q11" s="27">
        <f>O11+P11</f>
      </c>
      <c r="R11" s="26">
        <f>SUMIFS('Détail fonctionnement'!$E$5:$E$500,'Détail fonctionnement'!$A$5:$A$500,R$2,'Détail fonctionnement'!$G$5:$G$500,"O",'Détail fonctionnement'!$B$5:$B$500,$A11)</f>
      </c>
      <c r="S11" s="27">
        <f>Q11+R11</f>
      </c>
      <c r="T11" s="26">
        <f>SUMIFS('Détail fonctionnement'!$E$5:$E$500,'Détail fonctionnement'!$A$5:$A$500,T$2,'Détail fonctionnement'!$G$5:$G$500,"O",'Détail fonctionnement'!$B$5:$B$500,$A11)</f>
      </c>
      <c r="U11" s="27">
        <f>S11+T11</f>
      </c>
      <c r="V11" s="26">
        <f>SUMIFS('Détail fonctionnement'!$E$5:$E$500,'Détail fonctionnement'!$A$5:$A$500,V$2,'Détail fonctionnement'!$G$5:$G$500,"O",'Détail fonctionnement'!$B$5:$B$500,$A11)</f>
      </c>
      <c r="W11" s="27">
        <f>U11+V11</f>
      </c>
    </row>
    <row r="12" spans="3:23" x14ac:dyDescent="0.25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spans="3:23" x14ac:dyDescent="0.25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spans="3:23" x14ac:dyDescent="0.25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spans="1:23" x14ac:dyDescent="0.25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fonctionnement'!$E$5:$E$500,'Détail fonctionnement'!$A$5:$A$500,N$2,'Détail fonctionnement'!$G$5:$G$500,"O",'Détail fonctionnement'!$B$5:$B$500,$A15)</f>
      </c>
      <c r="O15" s="27">
        <f>M15+N15</f>
      </c>
      <c r="P15" s="26">
        <f>SUMIFS('Détail fonctionnement'!$E$5:$E$500,'Détail fonctionnement'!$A$5:$A$500,P$2,'Détail fonctionnement'!$G$5:$G$500,"O",'Détail fonctionnement'!$B$5:$B$500,$A15)</f>
      </c>
      <c r="Q15" s="27">
        <f>O15+P15</f>
      </c>
      <c r="R15" s="26">
        <f>SUMIFS('Détail fonctionnement'!$E$5:$E$500,'Détail fonctionnement'!$A$5:$A$500,R$2,'Détail fonctionnement'!$G$5:$G$500,"O",'Détail fonctionnement'!$B$5:$B$500,$A15)</f>
      </c>
      <c r="S15" s="27">
        <f>Q15+R15</f>
      </c>
      <c r="T15" s="26">
        <f>SUMIFS('Détail fonctionnement'!$E$5:$E$500,'Détail fonctionnement'!$A$5:$A$500,T$2,'Détail fonctionnement'!$G$5:$G$500,"O",'Détail fonctionnement'!$B$5:$B$500,$A15)</f>
      </c>
      <c r="U15" s="27">
        <f>S15+T15</f>
      </c>
      <c r="V15" s="26">
        <f>SUMIFS('Détail fonctionnement'!$E$5:$E$500,'Détail fonctionnement'!$A$5:$A$500,V$2,'Détail fonctionnement'!$G$5:$G$500,"O",'Détail fonctionnement'!$B$5:$B$500,$A15)</f>
      </c>
      <c r="W15" s="27">
        <f>U15+V15</f>
      </c>
    </row>
    <row r="16" spans="3:23" x14ac:dyDescent="0.25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spans="3:23" x14ac:dyDescent="0.25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spans="1:23" x14ac:dyDescent="0.25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fonctionnement'!$E$5:$E$500,'Détail fonctionnement'!$A$5:$A$500,N$2,'Détail fonctionnement'!$G$5:$G$500,"O",'Détail fonctionnement'!$B$5:$B$500,$A18)</f>
      </c>
      <c r="O18" s="27">
        <f>M18+N18</f>
      </c>
      <c r="P18" s="26">
        <f>SUMIFS('Détail fonctionnement'!$E$5:$E$500,'Détail fonctionnement'!$A$5:$A$500,P$2,'Détail fonctionnement'!$G$5:$G$500,"O",'Détail fonctionnement'!$B$5:$B$500,$A18)</f>
      </c>
      <c r="Q18" s="27">
        <f>O18+P18</f>
      </c>
      <c r="R18" s="26">
        <f>SUMIFS('Détail fonctionnement'!$E$5:$E$500,'Détail fonctionnement'!$A$5:$A$500,R$2,'Détail fonctionnement'!$G$5:$G$500,"O",'Détail fonctionnement'!$B$5:$B$500,$A18)</f>
      </c>
      <c r="S18" s="27">
        <f>Q18+R18</f>
      </c>
      <c r="T18" s="26">
        <f>SUMIFS('Détail fonctionnement'!$E$5:$E$500,'Détail fonctionnement'!$A$5:$A$500,T$2,'Détail fonctionnement'!$G$5:$G$500,"O",'Détail fonctionnement'!$B$5:$B$500,$A18)</f>
      </c>
      <c r="U18" s="27">
        <f>S18+T18</f>
      </c>
      <c r="V18" s="26">
        <f>SUMIFS('Détail fonctionnement'!$E$5:$E$500,'Détail fonctionnement'!$A$5:$A$500,V$2,'Détail fonctionnement'!$G$5:$G$500,"O",'Détail fonctionnement'!$B$5:$B$500,$A18)</f>
      </c>
      <c r="W18" s="27">
        <f>U18+V18</f>
      </c>
    </row>
    <row r="19" spans="3:23" x14ac:dyDescent="0.25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30-09'!F13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spans="3:23" x14ac:dyDescent="0.25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30-09'!F14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spans="1:23" x14ac:dyDescent="0.25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fonctionnement'!$E$5:$E$500,'Détail fonctionnement'!$A$5:$A$500,N$2,'Détail fonctionnement'!$G$5:$G$500,"O",'Détail fonctionnement'!$B$5:$B$500,$A21)</f>
      </c>
      <c r="O21" s="27">
        <f>M21+N21</f>
      </c>
      <c r="P21" s="26">
        <f>SUMIFS('Détail fonctionnement'!$E$5:$E$500,'Détail fonctionnement'!$A$5:$A$500,P$2,'Détail fonctionnement'!$G$5:$G$500,"O",'Détail fonctionnement'!$B$5:$B$500,$A21)</f>
      </c>
      <c r="Q21" s="27">
        <f>O21+P21</f>
      </c>
      <c r="R21" s="26">
        <f>SUMIFS('Détail fonctionnement'!$E$5:$E$500,'Détail fonctionnement'!$A$5:$A$500,R$2,'Détail fonctionnement'!$G$5:$G$500,"O",'Détail fonctionnement'!$B$5:$B$500,$A21)</f>
      </c>
      <c r="S21" s="27">
        <f>Q21+R21</f>
      </c>
      <c r="T21" s="26">
        <f>SUMIFS('Détail fonctionnement'!$E$5:$E$500,'Détail fonctionnement'!$A$5:$A$500,T$2,'Détail fonctionnement'!$G$5:$G$500,"O",'Détail fonctionnement'!$B$5:$B$500,$A21)</f>
      </c>
      <c r="U21" s="27">
        <f>S21+T21</f>
      </c>
      <c r="V21" s="26">
        <f>SUMIFS('Détail fonctionnement'!$E$5:$E$500,'Détail fonctionnement'!$A$5:$A$500,V$2,'Détail fonctionnement'!$G$5:$G$500,"O",'Détail fonctionnement'!$B$5:$B$500,$A21)</f>
      </c>
      <c r="W21" s="27">
        <f>U21+V21</f>
      </c>
    </row>
    <row r="22" spans="3:23" x14ac:dyDescent="0.25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30-09'!F15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spans="1:23" x14ac:dyDescent="0.25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fonctionnement'!$E$5:$E$500,'Détail fonctionnement'!$A$5:$A$500,N$2,'Détail fonctionnement'!$G$5:$G$500,"O",'Détail fonctionnement'!$B$5:$B$500,$A23)</f>
      </c>
      <c r="O23" s="27">
        <f>M23+N23</f>
      </c>
      <c r="P23" s="26">
        <f>SUMIFS('Détail fonctionnement'!$E$5:$E$500,'Détail fonctionnement'!$A$5:$A$500,P$2,'Détail fonctionnement'!$G$5:$G$500,"O",'Détail fonctionnement'!$B$5:$B$500,$A23)</f>
      </c>
      <c r="Q23" s="27">
        <f>O23+P23</f>
      </c>
      <c r="R23" s="26">
        <f>SUMIFS('Détail fonctionnement'!$E$5:$E$500,'Détail fonctionnement'!$A$5:$A$500,R$2,'Détail fonctionnement'!$G$5:$G$500,"O",'Détail fonctionnement'!$B$5:$B$500,$A23)</f>
      </c>
      <c r="S23" s="27">
        <f>Q23+R23</f>
      </c>
      <c r="T23" s="26">
        <f>SUMIFS('Détail fonctionnement'!$E$5:$E$500,'Détail fonctionnement'!$A$5:$A$500,T$2,'Détail fonctionnement'!$G$5:$G$500,"O",'Détail fonctionnement'!$B$5:$B$500,$A23)</f>
      </c>
      <c r="U23" s="27">
        <f>S23+T23</f>
      </c>
      <c r="V23" s="26">
        <f>SUMIFS('Détail fonctionnement'!$E$5:$E$500,'Détail fonctionnement'!$A$5:$A$500,V$2,'Détail fonctionnement'!$G$5:$G$500,"O",'Détail fonctionnement'!$B$5:$B$500,$A23)</f>
      </c>
      <c r="W23" s="27">
        <f>U23+V23</f>
      </c>
    </row>
    <row r="24" spans="3:23" x14ac:dyDescent="0.25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30-09'!F18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spans="3:23" x14ac:dyDescent="0.25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30-09'!F19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spans="3:23" x14ac:dyDescent="0.25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30-09'!F20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spans="3:23" x14ac:dyDescent="0.25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30-09'!F21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spans="3:23" x14ac:dyDescent="0.25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30-09'!F22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spans="1:23" x14ac:dyDescent="0.25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fonctionnement'!$E$5:$E$500,'Détail fonctionnement'!$A$5:$A$500,N$2,'Détail fonctionnement'!$G$5:$G$500,"O",'Détail fonctionnement'!$B$5:$B$500,$A29)</f>
      </c>
      <c r="O29" s="27">
        <f>M29+N29</f>
      </c>
      <c r="P29" s="26">
        <f>SUMIFS('Détail fonctionnement'!$E$5:$E$500,'Détail fonctionnement'!$A$5:$A$500,P$2,'Détail fonctionnement'!$G$5:$G$500,"O",'Détail fonctionnement'!$B$5:$B$500,$A29)</f>
      </c>
      <c r="Q29" s="27">
        <f>O29+P29</f>
      </c>
      <c r="R29" s="26">
        <f>SUMIFS('Détail fonctionnement'!$E$5:$E$500,'Détail fonctionnement'!$A$5:$A$500,R$2,'Détail fonctionnement'!$G$5:$G$500,"O",'Détail fonctionnement'!$B$5:$B$500,$A29)</f>
      </c>
      <c r="S29" s="27">
        <f>Q29+R29</f>
      </c>
      <c r="T29" s="26">
        <f>SUMIFS('Détail fonctionnement'!$E$5:$E$500,'Détail fonctionnement'!$A$5:$A$500,T$2,'Détail fonctionnement'!$G$5:$G$500,"O",'Détail fonctionnement'!$B$5:$B$500,$A29)</f>
      </c>
      <c r="U29" s="27">
        <f>S29+T29</f>
      </c>
      <c r="V29" s="26">
        <f>SUMIFS('Détail fonctionnement'!$E$5:$E$500,'Détail fonctionnement'!$A$5:$A$500,V$2,'Détail fonctionnement'!$G$5:$G$500,"O",'Détail fonctionnement'!$B$5:$B$500,$A29)</f>
      </c>
      <c r="W29" s="27">
        <f>U29+V29</f>
      </c>
    </row>
    <row r="30" spans="3:23" x14ac:dyDescent="0.25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30-09'!F23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spans="3:23" x14ac:dyDescent="0.25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30-09'!F24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spans="1:23" x14ac:dyDescent="0.25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fonctionnement'!$E$5:$E$500,'Détail fonctionnement'!$A$5:$A$500,N$2,'Détail fonctionnement'!$G$5:$G$500,"O",'Détail fonctionnement'!$B$5:$B$500,$A32)</f>
      </c>
      <c r="O32" s="27">
        <f>M32+N32</f>
      </c>
      <c r="P32" s="26">
        <f>SUMIFS('Détail fonctionnement'!$E$5:$E$500,'Détail fonctionnement'!$A$5:$A$500,P$2,'Détail fonctionnement'!$G$5:$G$500,"O",'Détail fonctionnement'!$B$5:$B$500,$A32)</f>
      </c>
      <c r="Q32" s="27">
        <f>O32+P32</f>
      </c>
      <c r="R32" s="26">
        <f>SUMIFS('Détail fonctionnement'!$E$5:$E$500,'Détail fonctionnement'!$A$5:$A$500,R$2,'Détail fonctionnement'!$G$5:$G$500,"O",'Détail fonctionnement'!$B$5:$B$500,$A32)</f>
      </c>
      <c r="S32" s="27">
        <f>Q32+R32</f>
      </c>
      <c r="T32" s="26">
        <f>SUMIFS('Détail fonctionnement'!$E$5:$E$500,'Détail fonctionnement'!$A$5:$A$500,T$2,'Détail fonctionnement'!$G$5:$G$500,"O",'Détail fonctionnement'!$B$5:$B$500,$A32)</f>
      </c>
      <c r="U32" s="27">
        <f>S32+T32</f>
      </c>
      <c r="V32" s="26">
        <f>SUMIFS('Détail fonctionnement'!$E$5:$E$500,'Détail fonctionnement'!$A$5:$A$500,V$2,'Détail fonctionnement'!$G$5:$G$500,"O",'Détail fonctionnement'!$B$5:$B$500,$A32)</f>
      </c>
      <c r="W32" s="27">
        <f>U32+V32</f>
      </c>
    </row>
    <row r="33" spans="3:23" x14ac:dyDescent="0.25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30-09'!F25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spans="3:23" x14ac:dyDescent="0.25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30-09'!F26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spans="1:23" x14ac:dyDescent="0.25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fonctionnement'!$E$5:$E$500,'Détail fonctionnement'!$A$5:$A$500,N$2,'Détail fonctionnement'!$G$5:$G$500,"O",'Détail fonctionnement'!$B$5:$B$500,$A35)</f>
      </c>
      <c r="O35" s="27">
        <f>M35+N35</f>
      </c>
      <c r="P35" s="26">
        <f>SUMIFS('Détail fonctionnement'!$E$5:$E$500,'Détail fonctionnement'!$A$5:$A$500,P$2,'Détail fonctionnement'!$G$5:$G$500,"O",'Détail fonctionnement'!$B$5:$B$500,$A35)</f>
      </c>
      <c r="Q35" s="27">
        <f>O35+P35</f>
      </c>
      <c r="R35" s="26">
        <f>SUMIFS('Détail fonctionnement'!$E$5:$E$500,'Détail fonctionnement'!$A$5:$A$500,R$2,'Détail fonctionnement'!$G$5:$G$500,"O",'Détail fonctionnement'!$B$5:$B$500,$A35)</f>
      </c>
      <c r="S35" s="27">
        <f>Q35+R35</f>
      </c>
      <c r="T35" s="26">
        <f>SUMIFS('Détail fonctionnement'!$E$5:$E$500,'Détail fonctionnement'!$A$5:$A$500,T$2,'Détail fonctionnement'!$G$5:$G$500,"O",'Détail fonctionnement'!$B$5:$B$500,$A35)</f>
      </c>
      <c r="U35" s="27">
        <f>S35+T35</f>
      </c>
      <c r="V35" s="26">
        <f>SUMIFS('Détail fonctionnement'!$E$5:$E$500,'Détail fonctionnement'!$A$5:$A$500,V$2,'Détail fonctionnement'!$G$5:$G$500,"O",'Détail fonctionnement'!$B$5:$B$500,$A35)</f>
      </c>
      <c r="W35" s="27">
        <f>U35+V35</f>
      </c>
    </row>
    <row r="36" spans="3:23" x14ac:dyDescent="0.25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30-09'!F27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spans="3:23" x14ac:dyDescent="0.25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30-09'!F28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spans="3:23" x14ac:dyDescent="0.25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30-09'!F29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spans="1:23" x14ac:dyDescent="0.25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fonctionnement'!$E$5:$E$500,'Détail fonctionnement'!$A$5:$A$500,N$2,'Détail fonctionnement'!$G$5:$G$500,"O",'Détail fonctionnement'!$B$5:$B$500,$A39)</f>
      </c>
      <c r="O39" s="27">
        <f>M39+N39</f>
      </c>
      <c r="P39" s="26">
        <f>SUMIFS('Détail fonctionnement'!$E$5:$E$500,'Détail fonctionnement'!$A$5:$A$500,P$2,'Détail fonctionnement'!$G$5:$G$500,"O",'Détail fonctionnement'!$B$5:$B$500,$A39)</f>
      </c>
      <c r="Q39" s="27">
        <f>O39+P39</f>
      </c>
      <c r="R39" s="26">
        <f>SUMIFS('Détail fonctionnement'!$E$5:$E$500,'Détail fonctionnement'!$A$5:$A$500,R$2,'Détail fonctionnement'!$G$5:$G$500,"O",'Détail fonctionnement'!$B$5:$B$500,$A39)</f>
      </c>
      <c r="S39" s="27">
        <f>Q39+R39</f>
      </c>
      <c r="T39" s="26">
        <f>SUMIFS('Détail fonctionnement'!$E$5:$E$500,'Détail fonctionnement'!$A$5:$A$500,T$2,'Détail fonctionnement'!$G$5:$G$500,"O",'Détail fonctionnement'!$B$5:$B$500,$A39)</f>
      </c>
      <c r="U39" s="27">
        <f>S39+T39</f>
      </c>
      <c r="V39" s="26">
        <f>SUMIFS('Détail fonctionnement'!$E$5:$E$500,'Détail fonctionnement'!$A$5:$A$500,V$2,'Détail fonctionnement'!$G$5:$G$500,"O",'Détail fonctionnement'!$B$5:$B$500,$A39)</f>
      </c>
      <c r="W39" s="27">
        <f>U39+V39</f>
      </c>
    </row>
    <row r="40" spans="3:23" x14ac:dyDescent="0.25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30-09'!F30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spans="1:23" x14ac:dyDescent="0.25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fonctionnement'!$E$5:$E$500,'Détail fonctionnement'!$A$5:$A$500,N$2,'Détail fonctionnement'!$G$5:$G$500,"O",'Détail fonctionnement'!$B$5:$B$500,$A41)</f>
      </c>
      <c r="O41" s="27">
        <f>M41+N41</f>
      </c>
      <c r="P41" s="26">
        <f>SUMIFS('Détail fonctionnement'!$E$5:$E$500,'Détail fonctionnement'!$A$5:$A$500,P$2,'Détail fonctionnement'!$G$5:$G$500,"O",'Détail fonctionnement'!$B$5:$B$500,$A41)</f>
      </c>
      <c r="Q41" s="27">
        <f>O41+P41</f>
      </c>
      <c r="R41" s="26">
        <f>SUMIFS('Détail fonctionnement'!$E$5:$E$500,'Détail fonctionnement'!$A$5:$A$500,R$2,'Détail fonctionnement'!$G$5:$G$500,"O",'Détail fonctionnement'!$B$5:$B$500,$A41)</f>
      </c>
      <c r="S41" s="27">
        <f>Q41+R41</f>
      </c>
      <c r="T41" s="26">
        <f>SUMIFS('Détail fonctionnement'!$E$5:$E$500,'Détail fonctionnement'!$A$5:$A$500,T$2,'Détail fonctionnement'!$G$5:$G$500,"O",'Détail fonctionnement'!$B$5:$B$500,$A41)</f>
      </c>
      <c r="U41" s="27">
        <f>S41+T41</f>
      </c>
      <c r="V41" s="26">
        <f>SUMIFS('Détail fonctionnement'!$E$5:$E$500,'Détail fonctionnement'!$A$5:$A$500,V$2,'Détail fonctionnement'!$G$5:$G$500,"O",'Détail fonctionnement'!$B$5:$B$500,$A41)</f>
      </c>
      <c r="W41" s="27">
        <f>U41+V41</f>
      </c>
    </row>
    <row r="42" spans="3:23" x14ac:dyDescent="0.25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30-09'!F31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spans="1:23" x14ac:dyDescent="0.25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fonctionnement'!$E$5:$E$500,'Détail fonctionnement'!$A$5:$A$500,N$2,'Détail fonctionnement'!$G$5:$G$500,"O",'Détail fonctionnement'!$B$5:$B$500,$A43)</f>
      </c>
      <c r="O43" s="27">
        <f>M43+N43</f>
      </c>
      <c r="P43" s="26">
        <f>SUMIFS('Détail fonctionnement'!$E$5:$E$500,'Détail fonctionnement'!$A$5:$A$500,P$2,'Détail fonctionnement'!$G$5:$G$500,"O",'Détail fonctionnement'!$B$5:$B$500,$A43)</f>
      </c>
      <c r="Q43" s="27">
        <f>O43+P43</f>
      </c>
      <c r="R43" s="26">
        <f>SUMIFS('Détail fonctionnement'!$E$5:$E$500,'Détail fonctionnement'!$A$5:$A$500,R$2,'Détail fonctionnement'!$G$5:$G$500,"O",'Détail fonctionnement'!$B$5:$B$500,$A43)</f>
      </c>
      <c r="S43" s="27">
        <f>Q43+R43</f>
      </c>
      <c r="T43" s="26">
        <f>SUMIFS('Détail fonctionnement'!$E$5:$E$500,'Détail fonctionnement'!$A$5:$A$500,T$2,'Détail fonctionnement'!$G$5:$G$500,"O",'Détail fonctionnement'!$B$5:$B$500,$A43)</f>
      </c>
      <c r="U43" s="27">
        <f>S43+T43</f>
      </c>
      <c r="V43" s="26">
        <f>SUMIFS('Détail fonctionnement'!$E$5:$E$500,'Détail fonctionnement'!$A$5:$A$500,V$2,'Détail fonctionnement'!$G$5:$G$500,"O",'Détail fonctionnement'!$B$5:$B$500,$A43)</f>
      </c>
      <c r="W43" s="27">
        <f>U43+V43</f>
      </c>
    </row>
    <row r="44" spans="3:23" x14ac:dyDescent="0.25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6" spans="3:3" x14ac:dyDescent="0.25">
      <c r="C46" s="2" t="s">
        <v>63</v>
      </c>
    </row>
    <row r="47" spans="1:23" x14ac:dyDescent="0.25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30-09'!F10</f>
      </c>
      <c r="N47" s="26">
        <f>SUMIFS('Détail projets &amp; dettes'!$I$5:$I$500,'Détail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dettes'!$I$5:$I$500,'Détail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dettes'!$I$5:$I$500,'Détail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dettes'!$I$5:$I$500,'Détail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dettes'!$I$5:$I$500,'Détail projets &amp; dettes'!$A$5:$A$500,V$2,'Détail projets &amp; dettes'!$J$5:$J$500,"O",'Détail projets &amp; dettes'!$B$5:$B$500,$A47)</f>
      </c>
      <c r="W47" s="27">
        <f>U47+V47</f>
      </c>
    </row>
    <row r="48" spans="1:23" x14ac:dyDescent="0.25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30-09'!F11</f>
      </c>
      <c r="N48" s="26">
        <f>SUMIFS('Détail projets &amp; dettes'!$I$5:$I$500,'Détail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dettes'!$I$5:$I$500,'Détail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dettes'!$I$5:$I$500,'Détail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dettes'!$I$5:$I$500,'Détail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dettes'!$I$5:$I$500,'Détail projets &amp; dettes'!$A$5:$A$500,V$2,'Détail projets &amp; dettes'!$J$5:$J$500,"O",'Détail projets &amp; dettes'!$B$5:$B$500,$A48)</f>
      </c>
      <c r="W48" s="27">
        <f>U48+V48</f>
      </c>
    </row>
    <row r="49" spans="1:23" x14ac:dyDescent="0.25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30-09'!F12</f>
      </c>
      <c r="N49" s="26">
        <f>SUMIFS('Détail projets &amp; dettes'!$I$5:$I$500,'Détail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dettes'!$I$5:$I$500,'Détail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dettes'!$I$5:$I$500,'Détail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dettes'!$I$5:$I$500,'Détail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dettes'!$I$5:$I$500,'Détail projets &amp; dettes'!$A$5:$A$500,V$2,'Détail projets &amp; dettes'!$J$5:$J$500,"O",'Détail projets &amp; dettes'!$B$5:$B$500,$A49)</f>
      </c>
      <c r="W49" s="27">
        <f>U49+V49</f>
      </c>
    </row>
    <row r="50" spans="1:23" x14ac:dyDescent="0.25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30-09'!F16</f>
      </c>
      <c r="N50" s="26">
        <f>SUMIFS('Détail projets &amp; dettes'!$I$5:$I$500,'Détail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dettes'!$I$5:$I$500,'Détail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dettes'!$I$5:$I$500,'Détail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dettes'!$I$5:$I$500,'Détail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dettes'!$I$5:$I$500,'Détail projets &amp; dettes'!$A$5:$A$500,V$2,'Détail projets &amp; dettes'!$J$5:$J$500,"O",'Détail projets &amp; dettes'!$B$5:$B$500,$A50)</f>
      </c>
      <c r="W50" s="27">
        <f>U50+V50</f>
      </c>
    </row>
    <row r="51" spans="1:23" x14ac:dyDescent="0.25">
      <c r="A51" s="21" t="s">
        <v>75</v>
      </c>
      <c r="C51" s="39" t="s">
        <v>76</v>
      </c>
      <c r="D51" s="40" t="s">
        <v>69</v>
      </c>
      <c r="F51" s="41">
        <f>M51/$E$3</f>
      </c>
      <c r="G51" s="41">
        <f>O51/$E$3</f>
      </c>
      <c r="H51" s="41">
        <f>Q51/$E$3</f>
      </c>
      <c r="I51" s="41">
        <f>S51/$E$3</f>
      </c>
      <c r="J51" s="41">
        <f>U51/$E$3</f>
      </c>
      <c r="K51" s="41">
        <f>W51/$E$3</f>
      </c>
      <c r="M51" s="41">
        <f>'Position CI 30-09'!F17</f>
      </c>
      <c r="N51" s="26">
        <f>SUMIFS('Détail projets &amp; dettes'!$I$5:$I$500,'Détail projets &amp; dettes'!$A$5:$A$500,N$2,'Détail projets &amp; dettes'!$J$5:$J$500,"O",'Détail projets &amp; dettes'!$B$5:$B$500,$A51)</f>
      </c>
      <c r="O51" s="27">
        <f>M51+N51</f>
      </c>
      <c r="P51" s="26">
        <f>SUMIFS('Détail projets &amp; dettes'!$I$5:$I$500,'Détail projets &amp; dettes'!$A$5:$A$500,P$2,'Détail projets &amp; dettes'!$J$5:$J$500,"O",'Détail projets &amp; dettes'!$B$5:$B$500,$A51)</f>
      </c>
      <c r="Q51" s="27">
        <f>O51+P51</f>
      </c>
      <c r="R51" s="26">
        <f>SUMIFS('Détail projets &amp; dettes'!$I$5:$I$500,'Détail projets &amp; dettes'!$A$5:$A$500,R$2,'Détail projets &amp; dettes'!$J$5:$J$500,"O",'Détail projets &amp; dettes'!$B$5:$B$500,$A51)</f>
      </c>
      <c r="S51" s="27">
        <f>Q51+R51</f>
      </c>
      <c r="T51" s="26">
        <f>SUMIFS('Détail projets &amp; dettes'!$I$5:$I$500,'Détail projets &amp; dettes'!$A$5:$A$500,T$2,'Détail projets &amp; dettes'!$J$5:$J$500,"O",'Détail projets &amp; dettes'!$B$5:$B$500,$A51)</f>
      </c>
      <c r="U51" s="27">
        <f>S51+T51</f>
      </c>
      <c r="V51" s="26">
        <f>SUMIFS('Détail projets &amp; dettes'!$I$5:$I$500,'Détail projets &amp; dettes'!$A$5:$A$500,V$2,'Détail projets &amp; dettes'!$J$5:$J$500,"O",'Détail projets &amp; dettes'!$B$5:$B$500,$A51)</f>
      </c>
      <c r="W51" s="27">
        <f>U51+V51</f>
      </c>
    </row>
    <row r="52" spans="1:23" x14ac:dyDescent="0.25">
      <c r="A52" s="21" t="s">
        <v>77</v>
      </c>
      <c r="C52" s="39" t="s">
        <v>78</v>
      </c>
      <c r="D52" s="40" t="s">
        <v>79</v>
      </c>
      <c r="F52" s="41">
        <f>M52/$E$3</f>
      </c>
      <c r="G52" s="41">
        <f>O52/$E$3</f>
      </c>
      <c r="H52" s="41">
        <f>Q52/$E$3</f>
      </c>
      <c r="I52" s="41">
        <f>S52/$E$3</f>
      </c>
      <c r="J52" s="41">
        <f>U52/$E$3</f>
      </c>
      <c r="K52" s="41">
        <f>W52/$E$3</f>
      </c>
      <c r="M52" s="41">
        <f>'Position CI 30-09'!F32</f>
      </c>
      <c r="N52" s="26">
        <f>SUMIFS('Détail projets &amp; dettes'!$I$5:$I$500,'Détail projets &amp; dettes'!$A$5:$A$500,N$2,'Détail projets &amp; dettes'!$J$5:$J$500,"O",'Détail projets &amp; dettes'!$B$5:$B$500,$A52)</f>
      </c>
      <c r="O52" s="27">
        <f>M52+N52</f>
      </c>
      <c r="P52" s="26">
        <f>SUMIFS('Détail projets &amp; dettes'!$I$5:$I$500,'Détail projets &amp; dettes'!$A$5:$A$500,P$2,'Détail projets &amp; dettes'!$J$5:$J$500,"O",'Détail projets &amp; dettes'!$B$5:$B$500,$A52)</f>
      </c>
      <c r="Q52" s="27">
        <f>O52+P52</f>
      </c>
      <c r="R52" s="26">
        <f>SUMIFS('Détail projets &amp; dettes'!$I$5:$I$500,'Détail projets &amp; dettes'!$A$5:$A$500,R$2,'Détail projets &amp; dettes'!$J$5:$J$500,"O",'Détail projets &amp; dettes'!$B$5:$B$500,$A52)</f>
      </c>
      <c r="S52" s="27">
        <f>Q52+R52</f>
      </c>
      <c r="T52" s="26">
        <f>SUMIFS('Détail projets &amp; dettes'!$I$5:$I$500,'Détail projets &amp; dettes'!$A$5:$A$500,T$2,'Détail projets &amp; dettes'!$J$5:$J$500,"O",'Détail projets &amp; dettes'!$B$5:$B$500,$A52)</f>
      </c>
      <c r="U52" s="27">
        <f>S52+T52</f>
      </c>
      <c r="V52" s="26">
        <f>SUMIFS('Détail projets &amp; dettes'!$I$5:$I$500,'Détail projets &amp; dettes'!$A$5:$A$500,V$2,'Détail projets &amp; dettes'!$J$5:$J$500,"O",'Détail projets &amp; dettes'!$B$5:$B$500,$A52)</f>
      </c>
      <c r="W52" s="27">
        <f>U52+V52</f>
      </c>
    </row>
    <row r="53" spans="1:23" x14ac:dyDescent="0.25">
      <c r="A53" s="21" t="s">
        <v>80</v>
      </c>
      <c r="C53" s="39" t="s">
        <v>81</v>
      </c>
      <c r="D53" s="40" t="s">
        <v>79</v>
      </c>
      <c r="F53" s="41">
        <f>M53/$E$3</f>
      </c>
      <c r="G53" s="41">
        <f>O53/$E$3</f>
      </c>
      <c r="H53" s="41">
        <f>Q53/$E$3</f>
      </c>
      <c r="I53" s="41">
        <f>S53/$E$3</f>
      </c>
      <c r="J53" s="41">
        <f>U53/$E$3</f>
      </c>
      <c r="K53" s="41">
        <f>W53/$E$3</f>
      </c>
      <c r="M53" s="41">
        <f>'Position CI 30-09'!F33</f>
      </c>
      <c r="N53" s="26">
        <f>SUMIFS('Détail projets &amp; dettes'!$I$5:$I$500,'Détail projets &amp; dettes'!$A$5:$A$500,N$2,'Détail projets &amp; dettes'!$J$5:$J$500,"O",'Détail projets &amp; dettes'!$B$5:$B$500,$A53)</f>
      </c>
      <c r="O53" s="27">
        <f>M53+N53</f>
      </c>
      <c r="P53" s="26">
        <f>SUMIFS('Détail projets &amp; dettes'!$I$5:$I$500,'Détail projets &amp; dettes'!$A$5:$A$500,P$2,'Détail projets &amp; dettes'!$J$5:$J$500,"O",'Détail projets &amp; dettes'!$B$5:$B$500,$A53)</f>
      </c>
      <c r="Q53" s="27">
        <f>O53+P53</f>
      </c>
      <c r="R53" s="26">
        <f>SUMIFS('Détail projets &amp; dettes'!$I$5:$I$500,'Détail projets &amp; dettes'!$A$5:$A$500,R$2,'Détail projets &amp; dettes'!$J$5:$J$500,"O",'Détail projets &amp; dettes'!$B$5:$B$500,$A53)</f>
      </c>
      <c r="S53" s="27">
        <f>Q53+R53</f>
      </c>
      <c r="T53" s="26">
        <f>SUMIFS('Détail projets &amp; dettes'!$I$5:$I$500,'Détail projets &amp; dettes'!$A$5:$A$500,T$2,'Détail projets &amp; dettes'!$J$5:$J$500,"O",'Détail projets &amp; dettes'!$B$5:$B$500,$A53)</f>
      </c>
      <c r="U53" s="27">
        <f>S53+T53</f>
      </c>
      <c r="V53" s="26">
        <f>SUMIFS('Détail projets &amp; dettes'!$I$5:$I$500,'Détail projets &amp; dettes'!$A$5:$A$500,V$2,'Détail projets &amp; dettes'!$J$5:$J$500,"O",'Détail projets &amp; dettes'!$B$5:$B$500,$A53)</f>
      </c>
      <c r="W53" s="27">
        <f>U53+V53</f>
      </c>
    </row>
    <row r="54" spans="1:23" x14ac:dyDescent="0.25">
      <c r="A54" s="21" t="s">
        <v>82</v>
      </c>
      <c r="C54" s="39" t="s">
        <v>83</v>
      </c>
      <c r="D54" s="40" t="s">
        <v>69</v>
      </c>
      <c r="F54" s="41">
        <f>M54/$E$3</f>
      </c>
      <c r="G54" s="41">
        <f>O54/$E$3</f>
      </c>
      <c r="H54" s="41">
        <f>Q54/$E$3</f>
      </c>
      <c r="I54" s="41">
        <f>S54/$E$3</f>
      </c>
      <c r="J54" s="41">
        <f>U54/$E$3</f>
      </c>
      <c r="K54" s="41">
        <f>W54/$E$3</f>
      </c>
      <c r="M54" s="41">
        <f>'Position CI 30-09'!F34</f>
      </c>
      <c r="N54" s="26">
        <f>SUMIFS('Détail projets &amp; dettes'!$I$5:$I$500,'Détail projets &amp; dettes'!$A$5:$A$500,N$2,'Détail projets &amp; dettes'!$J$5:$J$500,"O",'Détail projets &amp; dettes'!$B$5:$B$500,$A54)</f>
      </c>
      <c r="O54" s="27">
        <f>M54+N54</f>
      </c>
      <c r="P54" s="26">
        <f>SUMIFS('Détail projets &amp; dettes'!$I$5:$I$500,'Détail projets &amp; dettes'!$A$5:$A$500,P$2,'Détail projets &amp; dettes'!$J$5:$J$500,"O",'Détail projets &amp; dettes'!$B$5:$B$500,$A54)</f>
      </c>
      <c r="Q54" s="27">
        <f>O54+P54</f>
      </c>
      <c r="R54" s="26">
        <f>SUMIFS('Détail projets &amp; dettes'!$I$5:$I$500,'Détail projets &amp; dettes'!$A$5:$A$500,R$2,'Détail projets &amp; dettes'!$J$5:$J$500,"O",'Détail projets &amp; dettes'!$B$5:$B$500,$A54)</f>
      </c>
      <c r="S54" s="27">
        <f>Q54+R54</f>
      </c>
      <c r="T54" s="26">
        <f>SUMIFS('Détail projets &amp; dettes'!$I$5:$I$500,'Détail projets &amp; dettes'!$A$5:$A$500,T$2,'Détail projets &amp; dettes'!$J$5:$J$500,"O",'Détail projets &amp; dettes'!$B$5:$B$500,$A54)</f>
      </c>
      <c r="U54" s="27">
        <f>S54+T54</f>
      </c>
      <c r="V54" s="26">
        <f>SUMIFS('Détail projets &amp; dettes'!$I$5:$I$500,'Détail projets &amp; dettes'!$A$5:$A$500,V$2,'Détail projets &amp; dettes'!$J$5:$J$500,"O",'Détail projets &amp; dettes'!$B$5:$B$500,$A54)</f>
      </c>
      <c r="W54" s="27">
        <f>U54+V54</f>
      </c>
    </row>
    <row r="55" spans="1:23" x14ac:dyDescent="0.25">
      <c r="A55" s="21" t="s">
        <v>84</v>
      </c>
      <c r="C55" s="39" t="s">
        <v>85</v>
      </c>
      <c r="D55" s="40" t="s">
        <v>69</v>
      </c>
      <c r="F55" s="41">
        <f>M55/$E$3</f>
      </c>
      <c r="G55" s="41">
        <f>O55/$E$3</f>
      </c>
      <c r="H55" s="41">
        <f>Q55/$E$3</f>
      </c>
      <c r="I55" s="41">
        <f>S55/$E$3</f>
      </c>
      <c r="J55" s="41">
        <f>U55/$E$3</f>
      </c>
      <c r="K55" s="41">
        <f>W55/$E$3</f>
      </c>
      <c r="M55" s="41">
        <f>'Position CI 30-09'!F35</f>
      </c>
      <c r="N55" s="26">
        <f>SUMIFS('Détail projets &amp; dettes'!$I$5:$I$500,'Détail projets &amp; dettes'!$A$5:$A$500,N$2,'Détail projets &amp; dettes'!$J$5:$J$500,"O",'Détail projets &amp; dettes'!$B$5:$B$500,$A55)</f>
      </c>
      <c r="O55" s="27">
        <f>M55+N55</f>
      </c>
      <c r="P55" s="26">
        <f>SUMIFS('Détail projets &amp; dettes'!$I$5:$I$500,'Détail projets &amp; dettes'!$A$5:$A$500,P$2,'Détail projets &amp; dettes'!$J$5:$J$500,"O",'Détail projets &amp; dettes'!$B$5:$B$500,$A55)</f>
      </c>
      <c r="Q55" s="27">
        <f>O55+P55</f>
      </c>
      <c r="R55" s="26">
        <f>SUMIFS('Détail projets &amp; dettes'!$I$5:$I$500,'Détail projets &amp; dettes'!$A$5:$A$500,R$2,'Détail projets &amp; dettes'!$J$5:$J$500,"O",'Détail projets &amp; dettes'!$B$5:$B$500,$A55)</f>
      </c>
      <c r="S55" s="27">
        <f>Q55+R55</f>
      </c>
      <c r="T55" s="26">
        <f>SUMIFS('Détail projets &amp; dettes'!$I$5:$I$500,'Détail projets &amp; dettes'!$A$5:$A$500,T$2,'Détail projets &amp; dettes'!$J$5:$J$500,"O",'Détail projets &amp; dettes'!$B$5:$B$500,$A55)</f>
      </c>
      <c r="U55" s="27">
        <f>S55+T55</f>
      </c>
      <c r="V55" s="26">
        <f>SUMIFS('Détail projets &amp; dettes'!$I$5:$I$500,'Détail projets &amp; dettes'!$A$5:$A$500,V$2,'Détail projets &amp; dettes'!$J$5:$J$500,"O",'Détail projets &amp; dettes'!$B$5:$B$500,$A55)</f>
      </c>
      <c r="W55" s="27">
        <f>U55+V55</f>
      </c>
    </row>
    <row r="56" spans="3:23" x14ac:dyDescent="0.25">
      <c r="C56" s="34" t="s">
        <v>86</v>
      </c>
      <c r="D56" s="35"/>
      <c r="F56" s="36">
        <f>SUM(F47:F55)</f>
      </c>
      <c r="G56" s="36">
        <f>SUM(G47:G55)</f>
      </c>
      <c r="H56" s="36">
        <f>SUM(H47:H55)</f>
      </c>
      <c r="I56" s="36">
        <f>SUM(I47:I55)</f>
      </c>
      <c r="J56" s="36">
        <f>SUM(J47:J55)</f>
      </c>
      <c r="K56" s="36">
        <f>SUM(K47:K55)</f>
      </c>
      <c r="M56" s="36">
        <f>SUM(M47:M55)</f>
      </c>
      <c r="N56" s="37">
        <f>SUM(N47:N55)</f>
      </c>
      <c r="O56" s="38">
        <f>SUM(O47:O55)</f>
      </c>
      <c r="P56" s="37">
        <f>SUM(P47:P55)</f>
      </c>
      <c r="Q56" s="38">
        <f>SUM(Q47:Q55)</f>
      </c>
      <c r="R56" s="37">
        <f>SUM(R47:R55)</f>
      </c>
      <c r="S56" s="38">
        <f>SUM(S47:S55)</f>
      </c>
      <c r="T56" s="37">
        <f>SUM(T47:T55)</f>
      </c>
      <c r="U56" s="38">
        <f>SUM(U47:U55)</f>
      </c>
      <c r="V56" s="37">
        <f>SUM(V47:V55)</f>
      </c>
      <c r="W56" s="38">
        <f>SUM(W47:W55)</f>
      </c>
    </row>
    <row r="57" spans="3:23" x14ac:dyDescent="0.25">
      <c r="C57" s="34" t="s">
        <v>87</v>
      </c>
      <c r="D57" s="35"/>
      <c r="F57" s="36">
        <f>F44+F56</f>
      </c>
      <c r="G57" s="36">
        <f>G44+G56</f>
      </c>
      <c r="H57" s="36">
        <f>H44+H56</f>
      </c>
      <c r="I57" s="36">
        <f>I44+I56</f>
      </c>
      <c r="J57" s="36">
        <f>J44+J56</f>
      </c>
      <c r="K57" s="36">
        <f>K44+K56</f>
      </c>
      <c r="M57" s="36">
        <f>M44+M56</f>
      </c>
      <c r="N57" s="37">
        <f>N44+N56</f>
      </c>
      <c r="O57" s="38">
        <f>O44+O56</f>
      </c>
      <c r="P57" s="37">
        <f>P44+P56</f>
      </c>
      <c r="Q57" s="38">
        <f>Q44+Q56</f>
      </c>
      <c r="R57" s="37">
        <f>R44+R56</f>
      </c>
      <c r="S57" s="38">
        <f>S44+S56</f>
      </c>
      <c r="T57" s="37">
        <f>T44+T56</f>
      </c>
      <c r="U57" s="38">
        <f>U44+U56</f>
      </c>
      <c r="V57" s="37">
        <f>V44+V56</f>
      </c>
      <c r="W57" s="38">
        <f>W44+W56</f>
      </c>
    </row>
    <row r="59" spans="3:3" x14ac:dyDescent="0.25">
      <c r="C59" s="2" t="s">
        <v>88</v>
      </c>
    </row>
    <row r="60" spans="3:23" x14ac:dyDescent="0.25">
      <c r="C60" s="42" t="s">
        <v>89</v>
      </c>
      <c r="D60" s="43"/>
      <c r="F60" s="43"/>
      <c r="G60" s="44">
        <f>N60/$E$3</f>
      </c>
      <c r="H60" s="44">
        <f>P60/$E$3</f>
      </c>
      <c r="I60" s="44">
        <f>R60/$E$3</f>
      </c>
      <c r="J60" s="44">
        <f>T60/$E$3</f>
      </c>
      <c r="K60" s="44">
        <f>V60/$E$3</f>
      </c>
      <c r="M60" s="43"/>
      <c r="N60" s="45">
        <f>SUMIFS('Détail fonctionnement'!$E$5:$E$500,'Détail fonctionnement'!$A$5:$A$500,N$2,'Détail fonctionnement'!$G$5:$G$500,"O")</f>
      </c>
      <c r="O60" s="46"/>
      <c r="P60" s="45">
        <f>SUMIFS('Détail fonctionnement'!$E$5:$E$500,'Détail fonctionnement'!$A$5:$A$500,P$2,'Détail fonctionnement'!$G$5:$G$500,"O")</f>
      </c>
      <c r="Q60" s="46"/>
      <c r="R60" s="45">
        <f>SUMIFS('Détail fonctionnement'!$E$5:$E$500,'Détail fonctionnement'!$A$5:$A$500,R$2,'Détail fonctionnement'!$G$5:$G$500,"O")</f>
      </c>
      <c r="S60" s="46"/>
      <c r="T60" s="45">
        <f>SUMIFS('Détail fonctionnement'!$E$5:$E$500,'Détail fonctionnement'!$A$5:$A$500,T$2,'Détail fonctionnement'!$G$5:$G$500,"O")</f>
      </c>
      <c r="U60" s="46"/>
      <c r="V60" s="45">
        <f>SUMIFS('Détail fonctionnement'!$E$5:$E$500,'Détail fonctionnement'!$A$5:$A$500,V$2,'Détail fonctionnement'!$G$5:$G$500,"O")</f>
      </c>
      <c r="W60" s="46"/>
    </row>
    <row r="61" spans="3:23" x14ac:dyDescent="0.25">
      <c r="C61" s="42" t="s">
        <v>90</v>
      </c>
      <c r="D61" s="43"/>
      <c r="F61" s="43"/>
      <c r="G61" s="44">
        <f>N61/$E$3</f>
      </c>
      <c r="H61" s="44">
        <f>P61/$E$3</f>
      </c>
      <c r="I61" s="44">
        <f>R61/$E$3</f>
      </c>
      <c r="J61" s="44">
        <f>T61/$E$3</f>
      </c>
      <c r="K61" s="44">
        <f>V61/$E$3</f>
      </c>
      <c r="M61" s="43"/>
      <c r="N61" s="45">
        <f>SUMIFS('Détail projets &amp; dettes'!$I$5:$I$500,'Détail projets &amp; dettes'!$A$5:$A$500,N$2,'Détail projets &amp; dettes'!$J$5:$J$500,"O")</f>
      </c>
      <c r="O61" s="46"/>
      <c r="P61" s="45">
        <f>SUMIFS('Détail projets &amp; dettes'!$I$5:$I$500,'Détail projets &amp; dettes'!$A$5:$A$500,P$2,'Détail projets &amp; dettes'!$J$5:$J$500,"O")</f>
      </c>
      <c r="Q61" s="46"/>
      <c r="R61" s="45">
        <f>SUMIFS('Détail projets &amp; dettes'!$I$5:$I$500,'Détail projets &amp; dettes'!$A$5:$A$500,R$2,'Détail projets &amp; dettes'!$J$5:$J$500,"O")</f>
      </c>
      <c r="S61" s="46"/>
      <c r="T61" s="45">
        <f>SUMIFS('Détail projets &amp; dettes'!$I$5:$I$500,'Détail projets &amp; dettes'!$A$5:$A$500,T$2,'Détail projets &amp; dettes'!$J$5:$J$500,"O")</f>
      </c>
      <c r="U61" s="46"/>
      <c r="V61" s="45">
        <f>SUMIFS('Détail projets &amp; dettes'!$I$5:$I$500,'Détail projets &amp; dettes'!$A$5:$A$500,V$2,'Détail projets &amp; dettes'!$J$5:$J$500,"O")</f>
      </c>
      <c r="W61" s="46"/>
    </row>
    <row r="62" spans="3:23" x14ac:dyDescent="0.25">
      <c r="C62" s="47" t="s">
        <v>91</v>
      </c>
      <c r="D62" s="43"/>
      <c r="F62" s="43"/>
      <c r="G62" s="48">
        <f>N62/$E$3</f>
      </c>
      <c r="H62" s="48">
        <f>P62/$E$3</f>
      </c>
      <c r="I62" s="48">
        <f>R62/$E$3</f>
      </c>
      <c r="J62" s="48">
        <f>T62/$E$3</f>
      </c>
      <c r="K62" s="48">
        <f>V62/$E$3</f>
      </c>
      <c r="M62" s="43"/>
      <c r="N62" s="49">
        <f>N60+N61</f>
      </c>
      <c r="O62" s="46"/>
      <c r="P62" s="49">
        <f>P60+P61</f>
      </c>
      <c r="Q62" s="46"/>
      <c r="R62" s="49">
        <f>R60+R61</f>
      </c>
      <c r="S62" s="46"/>
      <c r="T62" s="49">
        <f>T60+T61</f>
      </c>
      <c r="U62" s="46"/>
      <c r="V62" s="49">
        <f>V60+V61</f>
      </c>
      <c r="W62" s="46"/>
    </row>
    <row r="63" spans="3:23" x14ac:dyDescent="0.25">
      <c r="C63" s="47" t="s">
        <v>92</v>
      </c>
      <c r="D63" s="43"/>
      <c r="F63" s="43"/>
      <c r="G63" s="48">
        <f>O63/$E$3</f>
      </c>
      <c r="H63" s="48">
        <f>Q63/$E$3</f>
      </c>
      <c r="I63" s="48">
        <f>S63/$E$3</f>
      </c>
      <c r="J63" s="48">
        <f>U63/$E$3</f>
      </c>
      <c r="K63" s="48">
        <f>W63/$E$3</f>
      </c>
      <c r="M63" s="43"/>
      <c r="N63" s="50"/>
      <c r="O63" s="51">
        <f>MIN(O11,0)+MIN(O15,0)+MIN(O18,0)+MIN(O21,0)+MIN(O23,0)+MIN(O29,0)+MIN(O32,0)+MIN(O35,0)+MIN(O39,0)+MIN(O41,0)+MIN(O43,0)</f>
      </c>
      <c r="P63" s="50"/>
      <c r="Q63" s="51">
        <f>MIN(Q11,0)+MIN(Q15,0)+MIN(Q18,0)+MIN(Q21,0)+MIN(Q23,0)+MIN(Q29,0)+MIN(Q32,0)+MIN(Q35,0)+MIN(Q39,0)+MIN(Q41,0)+MIN(Q43,0)</f>
      </c>
      <c r="R63" s="50"/>
      <c r="S63" s="51">
        <f>MIN(S11,0)+MIN(S15,0)+MIN(S18,0)+MIN(S21,0)+MIN(S23,0)+MIN(S29,0)+MIN(S32,0)+MIN(S35,0)+MIN(S39,0)+MIN(S41,0)+MIN(S43,0)</f>
      </c>
      <c r="T63" s="50"/>
      <c r="U63" s="51">
        <f>MIN(U11,0)+MIN(U15,0)+MIN(U18,0)+MIN(U21,0)+MIN(U23,0)+MIN(U29,0)+MIN(U32,0)+MIN(U35,0)+MIN(U39,0)+MIN(U41,0)+MIN(U43,0)</f>
      </c>
      <c r="V63" s="50"/>
      <c r="W63" s="51">
        <f>MIN(W11,0)+MIN(W15,0)+MIN(W18,0)+MIN(W21,0)+MIN(W23,0)+MIN(W29,0)+MIN(W32,0)+MIN(W35,0)+MIN(W39,0)+MIN(W41,0)+MIN(W43,0)</f>
      </c>
    </row>
    <row r="64" spans="3:23" x14ac:dyDescent="0.25">
      <c r="C64" s="42" t="s">
        <v>93</v>
      </c>
      <c r="D64" s="43"/>
      <c r="F64" s="43"/>
      <c r="G64" s="43"/>
      <c r="H64" s="43"/>
      <c r="I64" s="43"/>
      <c r="J64" s="43"/>
      <c r="K64" s="43"/>
      <c r="M64" s="43"/>
      <c r="N64" s="50"/>
      <c r="O64" s="52">
        <f>(O11&lt;0)*1+(O15&lt;0)*1+(O18&lt;0)*1+(O21&lt;0)*1+(O23&lt;0)*1+(O29&lt;0)*1+(O32&lt;0)*1+(O35&lt;0)*1+(O39&lt;0)*1+(O41&lt;0)*1+(O43&lt;0)*1</f>
      </c>
      <c r="P64" s="50"/>
      <c r="Q64" s="52">
        <f>(Q11&lt;0)*1+(Q15&lt;0)*1+(Q18&lt;0)*1+(Q21&lt;0)*1+(Q23&lt;0)*1+(Q29&lt;0)*1+(Q32&lt;0)*1+(Q35&lt;0)*1+(Q39&lt;0)*1+(Q41&lt;0)*1+(Q43&lt;0)*1</f>
      </c>
      <c r="R64" s="50"/>
      <c r="S64" s="52">
        <f>(S11&lt;0)*1+(S15&lt;0)*1+(S18&lt;0)*1+(S21&lt;0)*1+(S23&lt;0)*1+(S29&lt;0)*1+(S32&lt;0)*1+(S35&lt;0)*1+(S39&lt;0)*1+(S41&lt;0)*1+(S43&lt;0)*1</f>
      </c>
      <c r="T64" s="50"/>
      <c r="U64" s="52">
        <f>(U11&lt;0)*1+(U15&lt;0)*1+(U18&lt;0)*1+(U21&lt;0)*1+(U23&lt;0)*1+(U29&lt;0)*1+(U32&lt;0)*1+(U35&lt;0)*1+(U39&lt;0)*1+(U41&lt;0)*1+(U43&lt;0)*1</f>
      </c>
      <c r="V64" s="50"/>
      <c r="W64" s="52">
        <f>(W11&lt;0)*1+(W15&lt;0)*1+(W18&lt;0)*1+(W21&lt;0)*1+(W23&lt;0)*1+(W29&lt;0)*1+(W32&lt;0)*1+(W35&lt;0)*1+(W39&lt;0)*1+(W41&lt;0)*1+(W43&lt;0)*1</f>
      </c>
    </row>
    <row r="65" spans="3:23" x14ac:dyDescent="0.25">
      <c r="C65" s="47" t="s">
        <v>94</v>
      </c>
      <c r="D65" s="43"/>
      <c r="F65" s="43"/>
      <c r="G65" s="48">
        <f>O65/$E$3</f>
      </c>
      <c r="H65" s="48">
        <f>Q65/$E$3</f>
      </c>
      <c r="I65" s="48">
        <f>S65/$E$3</f>
      </c>
      <c r="J65" s="48">
        <f>U65/$E$3</f>
      </c>
      <c r="K65" s="48">
        <f>W65/$E$3</f>
      </c>
      <c r="M65" s="43"/>
      <c r="N65" s="50"/>
      <c r="O65" s="51">
        <f>MIN(O47,0)+MIN(O48,0)+MIN(O49,0)+MIN(O50,0)+MIN(O51,0)+MIN(O52,0)+MIN(O53,0)+MIN(O54,0)+MIN(O55,0)</f>
      </c>
      <c r="P65" s="50"/>
      <c r="Q65" s="51">
        <f>MIN(Q47,0)+MIN(Q48,0)+MIN(Q49,0)+MIN(Q50,0)+MIN(Q51,0)+MIN(Q52,0)+MIN(Q53,0)+MIN(Q54,0)+MIN(Q55,0)</f>
      </c>
      <c r="R65" s="50"/>
      <c r="S65" s="51">
        <f>MIN(S47,0)+MIN(S48,0)+MIN(S49,0)+MIN(S50,0)+MIN(S51,0)+MIN(S52,0)+MIN(S53,0)+MIN(S54,0)+MIN(S55,0)</f>
      </c>
      <c r="T65" s="50"/>
      <c r="U65" s="51">
        <f>MIN(U47,0)+MIN(U48,0)+MIN(U49,0)+MIN(U50,0)+MIN(U51,0)+MIN(U52,0)+MIN(U53,0)+MIN(U54,0)+MIN(U55,0)</f>
      </c>
      <c r="V65" s="50"/>
      <c r="W65" s="51">
        <f>MIN(W47,0)+MIN(W48,0)+MIN(W49,0)+MIN(W50,0)+MIN(W51,0)+MIN(W52,0)+MIN(W53,0)+MIN(W54,0)+MIN(W55,0)</f>
      </c>
    </row>
    <row r="67" spans="3:3" x14ac:dyDescent="0.25">
      <c r="C67" s="2" t="s">
        <v>95</v>
      </c>
    </row>
    <row r="68" spans="1:4" x14ac:dyDescent="0.25">
      <c r="A68" s="53" t="s">
        <v>96</v>
      </c>
      <c r="B68" s="54"/>
      <c r="C68" s="54"/>
      <c r="D68" s="54"/>
    </row>
    <row r="69" ht="28.5" customHeight="1" spans="2:25" x14ac:dyDescent="0.25">
      <c r="B69" s="55" t="s">
        <v>2</v>
      </c>
      <c r="C69" s="55" t="s">
        <v>97</v>
      </c>
      <c r="D69" s="55" t="s">
        <v>98</v>
      </c>
      <c r="F69" s="56" t="s">
        <v>99</v>
      </c>
      <c r="G69" s="56" t="s">
        <v>100</v>
      </c>
      <c r="H69" s="56" t="s">
        <v>101</v>
      </c>
      <c r="M69" s="57" t="s">
        <v>102</v>
      </c>
      <c r="N69" s="57" t="s">
        <v>103</v>
      </c>
      <c r="O69" s="57" t="s">
        <v>104</v>
      </c>
      <c r="P69" s="57" t="s">
        <v>105</v>
      </c>
      <c r="Q69" s="57"/>
      <c r="R69" s="57"/>
      <c r="S69" s="57"/>
      <c r="T69" s="57"/>
      <c r="U69" s="57"/>
      <c r="V69" s="57"/>
      <c r="W69" s="57"/>
      <c r="X69" s="57"/>
      <c r="Y69" s="57"/>
    </row>
    <row r="70" spans="3:4" x14ac:dyDescent="0.25">
      <c r="C70" s="58" t="s">
        <v>106</v>
      </c>
      <c r="D70" s="58" t="s">
        <v>18</v>
      </c>
    </row>
    <row r="71" spans="2:25" x14ac:dyDescent="0.25">
      <c r="B71" s="10" t="s">
        <v>3</v>
      </c>
      <c r="C71" s="28" t="s">
        <v>22</v>
      </c>
      <c r="D71" s="28" t="s">
        <v>107</v>
      </c>
      <c r="F71" s="59">
        <f>M71/$E$3</f>
      </c>
      <c r="G71" s="59">
        <f>IF(N71="","",N71/$E$3)</f>
      </c>
      <c r="H71" s="59">
        <f>IF(G71="","",G71-F71)</f>
      </c>
      <c r="M71" s="59">
        <f>SUMIFS('Détail fonctionnement'!$E$5:$E$500,'Détail fonctionnement'!$A$5:$A$500,$B71,'Détail fonctionnement'!$G$5:$G$500,"O",'Détail fonctionnement'!$B$5:$B$500,$C71,'Détail fonctionnement'!$C$5:$C$500,$D71)</f>
      </c>
      <c r="N71" s="59"/>
      <c r="O71" s="59">
        <f>IF(N71="","",N71-M71)</f>
      </c>
      <c r="Q71"/>
      <c r="R71"/>
      <c r="S71"/>
      <c r="T71"/>
      <c r="U71"/>
      <c r="V71"/>
      <c r="W71"/>
      <c r="X71"/>
      <c r="Y71"/>
    </row>
    <row r="72" spans="2:25" x14ac:dyDescent="0.25">
      <c r="B72" s="10" t="s">
        <v>3</v>
      </c>
      <c r="C72" s="28" t="s">
        <v>22</v>
      </c>
      <c r="D72" s="28" t="s">
        <v>108</v>
      </c>
      <c r="F72" s="59">
        <f>M72/$E$3</f>
      </c>
      <c r="G72" s="59">
        <f>IF(N72="","",N72/$E$3)</f>
      </c>
      <c r="H72" s="59">
        <f>IF(G72="","",G72-F72)</f>
      </c>
      <c r="M72" s="59">
        <f>SUMIFS('Détail fonctionnement'!$E$5:$E$500,'Détail fonctionnement'!$A$5:$A$500,$B72,'Détail fonctionnement'!$G$5:$G$500,"O",'Détail fonctionnement'!$B$5:$B$500,$C72,'Détail fonctionnement'!$C$5:$C$500,$D72)</f>
      </c>
      <c r="N72" s="59"/>
      <c r="O72" s="59">
        <f>IF(N72="","",N72-M72)</f>
      </c>
      <c r="Q72"/>
      <c r="R72"/>
      <c r="S72"/>
      <c r="T72"/>
      <c r="U72"/>
      <c r="V72"/>
      <c r="W72"/>
      <c r="X72"/>
      <c r="Y72"/>
    </row>
    <row r="73" spans="2:25" x14ac:dyDescent="0.25">
      <c r="B73" s="10" t="s">
        <v>3</v>
      </c>
      <c r="C73" s="28" t="s">
        <v>22</v>
      </c>
      <c r="D73" s="28" t="s">
        <v>109</v>
      </c>
      <c r="F73" s="59">
        <f>M73/$E$3</f>
      </c>
      <c r="G73" s="59">
        <f>IF(N73="","",N73/$E$3)</f>
      </c>
      <c r="H73" s="59">
        <f>IF(G73="","",G73-F73)</f>
      </c>
      <c r="M73" s="59">
        <f>SUMIFS('Détail fonctionnement'!$E$5:$E$500,'Détail fonctionnement'!$A$5:$A$500,$B73,'Détail fonctionnement'!$G$5:$G$500,"O",'Détail fonctionnement'!$B$5:$B$500,$C73,'Détail fonctionnement'!$C$5:$C$500,$D73)</f>
      </c>
      <c r="N73" s="59"/>
      <c r="O73" s="59">
        <f>IF(N73="","",N73-M73)</f>
      </c>
      <c r="Q73"/>
      <c r="R73"/>
      <c r="S73"/>
      <c r="T73"/>
      <c r="U73"/>
      <c r="V73"/>
      <c r="W73"/>
      <c r="X73"/>
      <c r="Y73"/>
    </row>
    <row r="74" spans="2:25" x14ac:dyDescent="0.25">
      <c r="B74" s="10" t="s">
        <v>3</v>
      </c>
      <c r="C74" s="28" t="s">
        <v>29</v>
      </c>
      <c r="D74" s="28" t="s">
        <v>107</v>
      </c>
      <c r="F74" s="59">
        <f>M74/$E$3</f>
      </c>
      <c r="G74" s="59">
        <f>IF(N74="","",N74/$E$3)</f>
      </c>
      <c r="H74" s="59">
        <f>IF(G74="","",G74-F74)</f>
      </c>
      <c r="M74" s="59">
        <f>SUMIFS('Détail fonctionnement'!$E$5:$E$500,'Détail fonctionnement'!$A$5:$A$500,$B74,'Détail fonctionnement'!$G$5:$G$500,"O",'Détail fonctionnement'!$B$5:$B$500,$C74,'Détail fonctionnement'!$C$5:$C$500,$D74)</f>
      </c>
      <c r="N74" s="59"/>
      <c r="O74" s="59">
        <f>IF(N74="","",N74-M74)</f>
      </c>
      <c r="Q74"/>
      <c r="R74"/>
      <c r="S74"/>
      <c r="T74"/>
      <c r="U74"/>
      <c r="V74"/>
      <c r="W74"/>
      <c r="X74"/>
      <c r="Y74"/>
    </row>
    <row r="75" spans="2:25" x14ac:dyDescent="0.25">
      <c r="B75" s="10" t="s">
        <v>3</v>
      </c>
      <c r="C75" s="28" t="s">
        <v>29</v>
      </c>
      <c r="D75" s="28" t="s">
        <v>108</v>
      </c>
      <c r="F75" s="59">
        <f>M75/$E$3</f>
      </c>
      <c r="G75" s="59">
        <f>IF(N75="","",N75/$E$3)</f>
      </c>
      <c r="H75" s="59">
        <f>IF(G75="","",G75-F75)</f>
      </c>
      <c r="M75" s="59">
        <f>SUMIFS('Détail fonctionnement'!$E$5:$E$500,'Détail fonctionnement'!$A$5:$A$500,$B75,'Détail fonctionnement'!$G$5:$G$500,"O",'Détail fonctionnement'!$B$5:$B$500,$C75,'Détail fonctionnement'!$C$5:$C$500,$D75)</f>
      </c>
      <c r="N75" s="59"/>
      <c r="O75" s="59">
        <f>IF(N75="","",N75-M75)</f>
      </c>
      <c r="Q75"/>
      <c r="R75"/>
      <c r="S75"/>
      <c r="T75"/>
      <c r="U75"/>
      <c r="V75"/>
      <c r="W75"/>
      <c r="X75"/>
      <c r="Y75"/>
    </row>
    <row r="76" spans="2:25" x14ac:dyDescent="0.25">
      <c r="B76" s="10" t="s">
        <v>3</v>
      </c>
      <c r="C76" s="28" t="s">
        <v>33</v>
      </c>
      <c r="D76" s="28" t="s">
        <v>107</v>
      </c>
      <c r="F76" s="59">
        <f>M76/$E$3</f>
      </c>
      <c r="G76" s="59">
        <f>IF(N76="","",N76/$E$3)</f>
      </c>
      <c r="H76" s="59">
        <f>IF(G76="","",G76-F76)</f>
      </c>
      <c r="M76" s="59">
        <f>SUMIFS('Détail fonctionnement'!$E$5:$E$500,'Détail fonctionnement'!$A$5:$A$500,$B76,'Détail fonctionnement'!$G$5:$G$500,"O",'Détail fonctionnement'!$B$5:$B$500,$C76,'Détail fonctionnement'!$C$5:$C$500,$D76)</f>
      </c>
      <c r="N76" s="59"/>
      <c r="O76" s="59">
        <f>IF(N76="","",N76-M76)</f>
      </c>
      <c r="Q76"/>
      <c r="R76"/>
      <c r="S76"/>
      <c r="T76"/>
      <c r="U76"/>
      <c r="V76"/>
      <c r="W76"/>
      <c r="X76"/>
      <c r="Y76"/>
    </row>
    <row r="77" spans="2:25" x14ac:dyDescent="0.25">
      <c r="B77" s="10" t="s">
        <v>3</v>
      </c>
      <c r="C77" s="28" t="s">
        <v>33</v>
      </c>
      <c r="D77" s="28" t="s">
        <v>108</v>
      </c>
      <c r="F77" s="59">
        <f>M77/$E$3</f>
      </c>
      <c r="G77" s="59">
        <f>IF(N77="","",N77/$E$3)</f>
      </c>
      <c r="H77" s="59">
        <f>IF(G77="","",G77-F77)</f>
      </c>
      <c r="M77" s="59">
        <f>SUMIFS('Détail fonctionnement'!$E$5:$E$500,'Détail fonctionnement'!$A$5:$A$500,$B77,'Détail fonctionnement'!$G$5:$G$500,"O",'Détail fonctionnement'!$B$5:$B$500,$C77,'Détail fonctionnement'!$C$5:$C$500,$D77)</f>
      </c>
      <c r="N77" s="59"/>
      <c r="O77" s="59">
        <f>IF(N77="","",N77-M77)</f>
      </c>
      <c r="Q77"/>
      <c r="R77"/>
      <c r="S77"/>
      <c r="T77"/>
      <c r="U77"/>
      <c r="V77"/>
      <c r="W77"/>
      <c r="X77"/>
      <c r="Y77"/>
    </row>
    <row r="78" spans="2:25" x14ac:dyDescent="0.25">
      <c r="B78" s="10" t="s">
        <v>3</v>
      </c>
      <c r="C78" s="28" t="s">
        <v>36</v>
      </c>
      <c r="D78" s="28" t="s">
        <v>107</v>
      </c>
      <c r="F78" s="59">
        <f>M78/$E$3</f>
      </c>
      <c r="G78" s="59">
        <f>IF(N78="","",N78/$E$3)</f>
      </c>
      <c r="H78" s="59">
        <f>IF(G78="","",G78-F78)</f>
      </c>
      <c r="M78" s="59">
        <f>SUMIFS('Détail fonctionnement'!$E$5:$E$500,'Détail fonctionnement'!$A$5:$A$500,$B78,'Détail fonctionnement'!$G$5:$G$500,"O",'Détail fonctionnement'!$B$5:$B$500,$C78,'Détail fonctionnement'!$C$5:$C$500,$D78)</f>
      </c>
      <c r="N78" s="59"/>
      <c r="O78" s="59">
        <f>IF(N78="","",N78-M78)</f>
      </c>
      <c r="Q78"/>
      <c r="R78"/>
      <c r="S78"/>
      <c r="T78"/>
      <c r="U78"/>
      <c r="V78"/>
      <c r="W78"/>
      <c r="X78"/>
      <c r="Y78"/>
    </row>
    <row r="79" spans="2:25" x14ac:dyDescent="0.25">
      <c r="B79" s="10" t="s">
        <v>3</v>
      </c>
      <c r="C79" s="28" t="s">
        <v>36</v>
      </c>
      <c r="D79" s="28" t="s">
        <v>108</v>
      </c>
      <c r="F79" s="59">
        <f>M79/$E$3</f>
      </c>
      <c r="G79" s="59">
        <f>IF(N79="","",N79/$E$3)</f>
      </c>
      <c r="H79" s="59">
        <f>IF(G79="","",G79-F79)</f>
      </c>
      <c r="M79" s="59">
        <f>SUMIFS('Détail fonctionnement'!$E$5:$E$500,'Détail fonctionnement'!$A$5:$A$500,$B79,'Détail fonctionnement'!$G$5:$G$500,"O",'Détail fonctionnement'!$B$5:$B$500,$C79,'Détail fonctionnement'!$C$5:$C$500,$D79)</f>
      </c>
      <c r="N79" s="59"/>
      <c r="O79" s="59">
        <f>IF(N79="","",N79-M79)</f>
      </c>
      <c r="Q79"/>
      <c r="R79"/>
      <c r="S79"/>
      <c r="T79"/>
      <c r="U79"/>
      <c r="V79"/>
      <c r="W79"/>
      <c r="X79"/>
      <c r="Y79"/>
    </row>
    <row r="80" spans="2:25" x14ac:dyDescent="0.25">
      <c r="B80" s="10" t="s">
        <v>3</v>
      </c>
      <c r="C80" s="28" t="s">
        <v>36</v>
      </c>
      <c r="D80" s="28" t="s">
        <v>109</v>
      </c>
      <c r="F80" s="59">
        <f>M80/$E$3</f>
      </c>
      <c r="G80" s="59">
        <f>IF(N80="","",N80/$E$3)</f>
      </c>
      <c r="H80" s="59">
        <f>IF(G80="","",G80-F80)</f>
      </c>
      <c r="M80" s="59">
        <f>SUMIFS('Détail fonctionnement'!$E$5:$E$500,'Détail fonctionnement'!$A$5:$A$500,$B80,'Détail fonctionnement'!$G$5:$G$500,"O",'Détail fonctionnement'!$B$5:$B$500,$C80,'Détail fonctionnement'!$C$5:$C$500,$D80)</f>
      </c>
      <c r="N80" s="59"/>
      <c r="O80" s="59">
        <f>IF(N80="","",N80-M80)</f>
      </c>
      <c r="Q80"/>
      <c r="R80"/>
      <c r="S80"/>
      <c r="T80"/>
      <c r="U80"/>
      <c r="V80"/>
      <c r="W80"/>
      <c r="X80"/>
      <c r="Y80"/>
    </row>
    <row r="81" spans="2:25" x14ac:dyDescent="0.25">
      <c r="B81" s="10" t="s">
        <v>3</v>
      </c>
      <c r="C81" s="28" t="s">
        <v>39</v>
      </c>
      <c r="D81" s="28" t="s">
        <v>107</v>
      </c>
      <c r="F81" s="59">
        <f>M81/$E$3</f>
      </c>
      <c r="G81" s="59">
        <f>IF(N81="","",N81/$E$3)</f>
      </c>
      <c r="H81" s="59">
        <f>IF(G81="","",G81-F81)</f>
      </c>
      <c r="M81" s="59">
        <f>SUMIFS('Détail fonctionnement'!$E$5:$E$500,'Détail fonctionnement'!$A$5:$A$500,$B81,'Détail fonctionnement'!$G$5:$G$500,"O",'Détail fonctionnement'!$B$5:$B$500,$C81,'Détail fonctionnement'!$C$5:$C$500,$D81)</f>
      </c>
      <c r="N81" s="59"/>
      <c r="O81" s="59">
        <f>IF(N81="","",N81-M81)</f>
      </c>
      <c r="Q81"/>
      <c r="R81"/>
      <c r="S81"/>
      <c r="T81"/>
      <c r="U81"/>
      <c r="V81"/>
      <c r="W81"/>
      <c r="X81"/>
      <c r="Y81"/>
    </row>
    <row r="82" spans="2:25" x14ac:dyDescent="0.25">
      <c r="B82" s="10" t="s">
        <v>3</v>
      </c>
      <c r="C82" s="28" t="s">
        <v>39</v>
      </c>
      <c r="D82" s="28" t="s">
        <v>110</v>
      </c>
      <c r="F82" s="59">
        <f>M82/$E$3</f>
      </c>
      <c r="G82" s="59">
        <f>IF(N82="","",N82/$E$3)</f>
      </c>
      <c r="H82" s="59">
        <f>IF(G82="","",G82-F82)</f>
      </c>
      <c r="M82" s="59">
        <f>SUMIFS('Détail fonctionnement'!$E$5:$E$500,'Détail fonctionnement'!$A$5:$A$500,$B82,'Détail fonctionnement'!$G$5:$G$500,"O",'Détail fonctionnement'!$B$5:$B$500,$C82,'Détail fonctionnement'!$C$5:$C$500,$D82)</f>
      </c>
      <c r="N82" s="59"/>
      <c r="O82" s="59">
        <f>IF(N82="","",N82-M82)</f>
      </c>
      <c r="Q82"/>
      <c r="R82"/>
      <c r="S82"/>
      <c r="T82"/>
      <c r="U82"/>
      <c r="V82"/>
      <c r="W82"/>
      <c r="X82"/>
      <c r="Y82"/>
    </row>
    <row r="83" spans="2:25" x14ac:dyDescent="0.25">
      <c r="B83" s="10" t="s">
        <v>3</v>
      </c>
      <c r="C83" s="28" t="s">
        <v>39</v>
      </c>
      <c r="D83" s="28" t="s">
        <v>108</v>
      </c>
      <c r="F83" s="59">
        <f>M83/$E$3</f>
      </c>
      <c r="G83" s="59">
        <f>IF(N83="","",N83/$E$3)</f>
      </c>
      <c r="H83" s="59">
        <f>IF(G83="","",G83-F83)</f>
      </c>
      <c r="M83" s="59">
        <f>SUMIFS('Détail fonctionnement'!$E$5:$E$500,'Détail fonctionnement'!$A$5:$A$500,$B83,'Détail fonctionnement'!$G$5:$G$500,"O",'Détail fonctionnement'!$B$5:$B$500,$C83,'Détail fonctionnement'!$C$5:$C$500,$D83)</f>
      </c>
      <c r="N83" s="59"/>
      <c r="O83" s="59">
        <f>IF(N83="","",N83-M83)</f>
      </c>
      <c r="Q83"/>
      <c r="R83"/>
      <c r="S83"/>
      <c r="T83"/>
      <c r="U83"/>
      <c r="V83"/>
      <c r="W83"/>
      <c r="X83"/>
      <c r="Y83"/>
    </row>
    <row r="84" spans="2:25" x14ac:dyDescent="0.25">
      <c r="B84" s="10" t="s">
        <v>3</v>
      </c>
      <c r="C84" s="28" t="s">
        <v>39</v>
      </c>
      <c r="D84" s="28" t="s">
        <v>109</v>
      </c>
      <c r="F84" s="59">
        <f>M84/$E$3</f>
      </c>
      <c r="G84" s="59">
        <f>IF(N84="","",N84/$E$3)</f>
      </c>
      <c r="H84" s="59">
        <f>IF(G84="","",G84-F84)</f>
      </c>
      <c r="M84" s="59">
        <f>SUMIFS('Détail fonctionnement'!$E$5:$E$500,'Détail fonctionnement'!$A$5:$A$500,$B84,'Détail fonctionnement'!$G$5:$G$500,"O",'Détail fonctionnement'!$B$5:$B$500,$C84,'Détail fonctionnement'!$C$5:$C$500,$D84)</f>
      </c>
      <c r="N84" s="59"/>
      <c r="O84" s="59">
        <f>IF(N84="","",N84-M84)</f>
      </c>
      <c r="Q84"/>
      <c r="R84"/>
      <c r="S84"/>
      <c r="T84"/>
      <c r="U84"/>
      <c r="V84"/>
      <c r="W84"/>
      <c r="X84"/>
      <c r="Y84"/>
    </row>
    <row r="85" spans="2:25" x14ac:dyDescent="0.25">
      <c r="B85" s="10" t="s">
        <v>3</v>
      </c>
      <c r="C85" s="28" t="s">
        <v>39</v>
      </c>
      <c r="D85" s="28" t="s">
        <v>111</v>
      </c>
      <c r="F85" s="59">
        <f>M85/$E$3</f>
      </c>
      <c r="G85" s="59">
        <f>IF(N85="","",N85/$E$3)</f>
      </c>
      <c r="H85" s="59">
        <f>IF(G85="","",G85-F85)</f>
      </c>
      <c r="M85" s="59">
        <f>SUMIFS('Détail fonctionnement'!$E$5:$E$500,'Détail fonctionnement'!$A$5:$A$500,$B85,'Détail fonctionnement'!$G$5:$G$500,"O",'Détail fonctionnement'!$B$5:$B$500,$C85,'Détail fonctionnement'!$C$5:$C$500,$D85)</f>
      </c>
      <c r="N85" s="59"/>
      <c r="O85" s="59">
        <f>IF(N85="","",N85-M85)</f>
      </c>
      <c r="Q85"/>
      <c r="R85"/>
      <c r="S85"/>
      <c r="T85"/>
      <c r="U85"/>
      <c r="V85"/>
      <c r="W85"/>
      <c r="X85"/>
      <c r="Y85"/>
    </row>
    <row r="86" spans="2:25" x14ac:dyDescent="0.25">
      <c r="B86" s="10" t="s">
        <v>3</v>
      </c>
      <c r="C86" s="28" t="s">
        <v>39</v>
      </c>
      <c r="D86" s="28" t="s">
        <v>112</v>
      </c>
      <c r="F86" s="59">
        <f>M86/$E$3</f>
      </c>
      <c r="G86" s="59">
        <f>IF(N86="","",N86/$E$3)</f>
      </c>
      <c r="H86" s="59">
        <f>IF(G86="","",G86-F86)</f>
      </c>
      <c r="M86" s="59">
        <f>SUMIFS('Détail fonctionnement'!$E$5:$E$500,'Détail fonctionnement'!$A$5:$A$500,$B86,'Détail fonctionnement'!$G$5:$G$500,"O",'Détail fonctionnement'!$B$5:$B$500,$C86,'Détail fonctionnement'!$C$5:$C$500,$D86)</f>
      </c>
      <c r="N86" s="59"/>
      <c r="O86" s="59">
        <f>IF(N86="","",N86-M86)</f>
      </c>
      <c r="Q86"/>
      <c r="R86"/>
      <c r="S86"/>
      <c r="T86"/>
      <c r="U86"/>
      <c r="V86"/>
      <c r="W86"/>
      <c r="X86"/>
      <c r="Y86"/>
    </row>
    <row r="87" spans="2:25" x14ac:dyDescent="0.25">
      <c r="B87" s="10" t="s">
        <v>3</v>
      </c>
      <c r="C87" s="28" t="s">
        <v>39</v>
      </c>
      <c r="D87" s="28" t="s">
        <v>113</v>
      </c>
      <c r="F87" s="59">
        <f>M87/$E$3</f>
      </c>
      <c r="G87" s="59">
        <f>IF(N87="","",N87/$E$3)</f>
      </c>
      <c r="H87" s="59">
        <f>IF(G87="","",G87-F87)</f>
      </c>
      <c r="M87" s="59">
        <f>SUMIFS('Détail fonctionnement'!$E$5:$E$500,'Détail fonctionnement'!$A$5:$A$500,$B87,'Détail fonctionnement'!$G$5:$G$500,"O",'Détail fonctionnement'!$B$5:$B$500,$C87,'Détail fonctionnement'!$C$5:$C$500,$D87)</f>
      </c>
      <c r="N87" s="59"/>
      <c r="O87" s="59">
        <f>IF(N87="","",N87-M87)</f>
      </c>
      <c r="Q87"/>
      <c r="R87"/>
      <c r="S87"/>
      <c r="T87"/>
      <c r="U87"/>
      <c r="V87"/>
      <c r="W87"/>
      <c r="X87"/>
      <c r="Y87"/>
    </row>
    <row r="88" spans="2:25" x14ac:dyDescent="0.25">
      <c r="B88" s="10" t="s">
        <v>3</v>
      </c>
      <c r="C88" s="28" t="s">
        <v>46</v>
      </c>
      <c r="D88" s="28" t="s">
        <v>107</v>
      </c>
      <c r="F88" s="59">
        <f>M88/$E$3</f>
      </c>
      <c r="G88" s="59">
        <f>IF(N88="","",N88/$E$3)</f>
      </c>
      <c r="H88" s="59">
        <f>IF(G88="","",G88-F88)</f>
      </c>
      <c r="M88" s="59">
        <f>SUMIFS('Détail fonctionnement'!$E$5:$E$500,'Détail fonctionnement'!$A$5:$A$500,$B88,'Détail fonctionnement'!$G$5:$G$500,"O",'Détail fonctionnement'!$B$5:$B$500,$C88,'Détail fonctionnement'!$C$5:$C$500,$D88)</f>
      </c>
      <c r="N88" s="59"/>
      <c r="O88" s="59">
        <f>IF(N88="","",N88-M88)</f>
      </c>
      <c r="Q88"/>
      <c r="R88"/>
      <c r="S88"/>
      <c r="T88"/>
      <c r="U88"/>
      <c r="V88"/>
      <c r="W88"/>
      <c r="X88"/>
      <c r="Y88"/>
    </row>
    <row r="89" spans="2:25" x14ac:dyDescent="0.25">
      <c r="B89" s="10" t="s">
        <v>3</v>
      </c>
      <c r="C89" s="28" t="s">
        <v>46</v>
      </c>
      <c r="D89" s="28" t="s">
        <v>108</v>
      </c>
      <c r="F89" s="59">
        <f>M89/$E$3</f>
      </c>
      <c r="G89" s="59">
        <f>IF(N89="","",N89/$E$3)</f>
      </c>
      <c r="H89" s="59">
        <f>IF(G89="","",G89-F89)</f>
      </c>
      <c r="M89" s="59">
        <f>SUMIFS('Détail fonctionnement'!$E$5:$E$500,'Détail fonctionnement'!$A$5:$A$500,$B89,'Détail fonctionnement'!$G$5:$G$500,"O",'Détail fonctionnement'!$B$5:$B$500,$C89,'Détail fonctionnement'!$C$5:$C$500,$D89)</f>
      </c>
      <c r="N89" s="59"/>
      <c r="O89" s="59">
        <f>IF(N89="","",N89-M89)</f>
      </c>
      <c r="Q89"/>
      <c r="R89"/>
      <c r="S89"/>
      <c r="T89"/>
      <c r="U89"/>
      <c r="V89"/>
      <c r="W89"/>
      <c r="X89"/>
      <c r="Y89"/>
    </row>
    <row r="90" spans="2:25" x14ac:dyDescent="0.25">
      <c r="B90" s="10" t="s">
        <v>3</v>
      </c>
      <c r="C90" s="28" t="s">
        <v>46</v>
      </c>
      <c r="D90" s="28" t="s">
        <v>109</v>
      </c>
      <c r="F90" s="59">
        <f>M90/$E$3</f>
      </c>
      <c r="G90" s="59">
        <f>IF(N90="","",N90/$E$3)</f>
      </c>
      <c r="H90" s="59">
        <f>IF(G90="","",G90-F90)</f>
      </c>
      <c r="M90" s="59">
        <f>SUMIFS('Détail fonctionnement'!$E$5:$E$500,'Détail fonctionnement'!$A$5:$A$500,$B90,'Détail fonctionnement'!$G$5:$G$500,"O",'Détail fonctionnement'!$B$5:$B$500,$C90,'Détail fonctionnement'!$C$5:$C$500,$D90)</f>
      </c>
      <c r="N90" s="59"/>
      <c r="O90" s="59">
        <f>IF(N90="","",N90-M90)</f>
      </c>
      <c r="Q90"/>
      <c r="R90"/>
      <c r="S90"/>
      <c r="T90"/>
      <c r="U90"/>
      <c r="V90"/>
      <c r="W90"/>
      <c r="X90"/>
      <c r="Y90"/>
    </row>
    <row r="91" spans="2:25" x14ac:dyDescent="0.25">
      <c r="B91" s="10" t="s">
        <v>3</v>
      </c>
      <c r="C91" s="28" t="s">
        <v>50</v>
      </c>
      <c r="D91" s="28" t="s">
        <v>107</v>
      </c>
      <c r="F91" s="59">
        <f>M91/$E$3</f>
      </c>
      <c r="G91" s="59">
        <f>IF(N91="","",N91/$E$3)</f>
      </c>
      <c r="H91" s="59">
        <f>IF(G91="","",G91-F91)</f>
      </c>
      <c r="M91" s="59">
        <f>SUMIFS('Détail fonctionnement'!$E$5:$E$500,'Détail fonctionnement'!$A$5:$A$500,$B91,'Détail fonctionnement'!$G$5:$G$500,"O",'Détail fonctionnement'!$B$5:$B$500,$C91,'Détail fonctionnement'!$C$5:$C$500,$D91)</f>
      </c>
      <c r="N91" s="59"/>
      <c r="O91" s="59">
        <f>IF(N91="","",N91-M91)</f>
      </c>
      <c r="Q91"/>
      <c r="R91"/>
      <c r="S91"/>
      <c r="T91"/>
      <c r="U91"/>
      <c r="V91"/>
      <c r="W91"/>
      <c r="X91"/>
      <c r="Y91"/>
    </row>
    <row r="92" spans="2:25" x14ac:dyDescent="0.25">
      <c r="B92" s="10" t="s">
        <v>3</v>
      </c>
      <c r="C92" s="28" t="s">
        <v>50</v>
      </c>
      <c r="D92" s="28" t="s">
        <v>108</v>
      </c>
      <c r="F92" s="59">
        <f>M92/$E$3</f>
      </c>
      <c r="G92" s="59">
        <f>IF(N92="","",N92/$E$3)</f>
      </c>
      <c r="H92" s="59">
        <f>IF(G92="","",G92-F92)</f>
      </c>
      <c r="M92" s="59">
        <f>SUMIFS('Détail fonctionnement'!$E$5:$E$500,'Détail fonctionnement'!$A$5:$A$500,$B92,'Détail fonctionnement'!$G$5:$G$500,"O",'Détail fonctionnement'!$B$5:$B$500,$C92,'Détail fonctionnement'!$C$5:$C$500,$D92)</f>
      </c>
      <c r="N92" s="59"/>
      <c r="O92" s="59">
        <f>IF(N92="","",N92-M92)</f>
      </c>
      <c r="Q92"/>
      <c r="R92"/>
      <c r="S92"/>
      <c r="T92"/>
      <c r="U92"/>
      <c r="V92"/>
      <c r="W92"/>
      <c r="X92"/>
      <c r="Y92"/>
    </row>
    <row r="93" spans="2:25" x14ac:dyDescent="0.25">
      <c r="B93" s="10" t="s">
        <v>3</v>
      </c>
      <c r="C93" s="28" t="s">
        <v>53</v>
      </c>
      <c r="D93" s="28" t="s">
        <v>107</v>
      </c>
      <c r="F93" s="59">
        <f>M93/$E$3</f>
      </c>
      <c r="G93" s="59">
        <f>IF(N93="","",N93/$E$3)</f>
      </c>
      <c r="H93" s="59">
        <f>IF(G93="","",G93-F93)</f>
      </c>
      <c r="M93" s="59">
        <f>SUMIFS('Détail fonctionnement'!$E$5:$E$500,'Détail fonctionnement'!$A$5:$A$500,$B93,'Détail fonctionnement'!$G$5:$G$500,"O",'Détail fonctionnement'!$B$5:$B$500,$C93,'Détail fonctionnement'!$C$5:$C$500,$D93)</f>
      </c>
      <c r="N93" s="59"/>
      <c r="O93" s="59">
        <f>IF(N93="","",N93-M93)</f>
      </c>
      <c r="Q93"/>
      <c r="R93"/>
      <c r="S93"/>
      <c r="T93"/>
      <c r="U93"/>
      <c r="V93"/>
      <c r="W93"/>
      <c r="X93"/>
      <c r="Y93"/>
    </row>
    <row r="94" spans="2:25" x14ac:dyDescent="0.25">
      <c r="B94" s="10" t="s">
        <v>3</v>
      </c>
      <c r="C94" s="28" t="s">
        <v>53</v>
      </c>
      <c r="D94" s="28" t="s">
        <v>108</v>
      </c>
      <c r="F94" s="59">
        <f>M94/$E$3</f>
      </c>
      <c r="G94" s="59">
        <f>IF(N94="","",N94/$E$3)</f>
      </c>
      <c r="H94" s="59">
        <f>IF(G94="","",G94-F94)</f>
      </c>
      <c r="M94" s="59">
        <f>SUMIFS('Détail fonctionnement'!$E$5:$E$500,'Détail fonctionnement'!$A$5:$A$500,$B94,'Détail fonctionnement'!$G$5:$G$500,"O",'Détail fonctionnement'!$B$5:$B$500,$C94,'Détail fonctionnement'!$C$5:$C$500,$D94)</f>
      </c>
      <c r="N94" s="59"/>
      <c r="O94" s="59">
        <f>IF(N94="","",N94-M94)</f>
      </c>
      <c r="Q94"/>
      <c r="R94"/>
      <c r="S94"/>
      <c r="T94"/>
      <c r="U94"/>
      <c r="V94"/>
      <c r="W94"/>
      <c r="X94"/>
      <c r="Y94"/>
    </row>
    <row r="95" spans="2:25" x14ac:dyDescent="0.25">
      <c r="B95" s="10" t="s">
        <v>3</v>
      </c>
      <c r="C95" s="28" t="s">
        <v>53</v>
      </c>
      <c r="D95" s="28" t="s">
        <v>109</v>
      </c>
      <c r="F95" s="59">
        <f>M95/$E$3</f>
      </c>
      <c r="G95" s="59">
        <f>IF(N95="","",N95/$E$3)</f>
      </c>
      <c r="H95" s="59">
        <f>IF(G95="","",G95-F95)</f>
      </c>
      <c r="M95" s="59">
        <f>SUMIFS('Détail fonctionnement'!$E$5:$E$500,'Détail fonctionnement'!$A$5:$A$500,$B95,'Détail fonctionnement'!$G$5:$G$500,"O",'Détail fonctionnement'!$B$5:$B$500,$C95,'Détail fonctionnement'!$C$5:$C$500,$D95)</f>
      </c>
      <c r="N95" s="59"/>
      <c r="O95" s="59">
        <f>IF(N95="","",N95-M95)</f>
      </c>
      <c r="Q95"/>
      <c r="R95"/>
      <c r="S95"/>
      <c r="T95"/>
      <c r="U95"/>
      <c r="V95"/>
      <c r="W95"/>
      <c r="X95"/>
      <c r="Y95"/>
    </row>
    <row r="96" spans="2:25" x14ac:dyDescent="0.25">
      <c r="B96" s="10" t="s">
        <v>3</v>
      </c>
      <c r="C96" s="28" t="s">
        <v>59</v>
      </c>
      <c r="D96" s="28" t="s">
        <v>107</v>
      </c>
      <c r="F96" s="59">
        <f>M96/$E$3</f>
      </c>
      <c r="G96" s="59">
        <f>IF(N96="","",N96/$E$3)</f>
      </c>
      <c r="H96" s="59">
        <f>IF(G96="","",G96-F96)</f>
      </c>
      <c r="M96" s="59">
        <f>SUMIFS('Détail fonctionnement'!$E$5:$E$500,'Détail fonctionnement'!$A$5:$A$500,$B96,'Détail fonctionnement'!$G$5:$G$500,"O",'Détail fonctionnement'!$B$5:$B$500,$C96,'Détail fonctionnement'!$C$5:$C$500,$D96)</f>
      </c>
      <c r="N96" s="59"/>
      <c r="O96" s="59">
        <f>IF(N96="","",N96-M96)</f>
      </c>
      <c r="Q96"/>
      <c r="R96"/>
      <c r="S96"/>
      <c r="T96"/>
      <c r="U96"/>
      <c r="V96"/>
      <c r="W96"/>
      <c r="X96"/>
      <c r="Y96"/>
    </row>
    <row r="97" spans="2:25" x14ac:dyDescent="0.25">
      <c r="B97" s="10" t="s">
        <v>3</v>
      </c>
      <c r="C97" s="28" t="s">
        <v>59</v>
      </c>
      <c r="D97" s="28" t="s">
        <v>108</v>
      </c>
      <c r="F97" s="59">
        <f>M97/$E$3</f>
      </c>
      <c r="G97" s="59">
        <f>IF(N97="","",N97/$E$3)</f>
      </c>
      <c r="H97" s="59">
        <f>IF(G97="","",G97-F97)</f>
      </c>
      <c r="M97" s="59">
        <f>SUMIFS('Détail fonctionnement'!$E$5:$E$500,'Détail fonctionnement'!$A$5:$A$500,$B97,'Détail fonctionnement'!$G$5:$G$500,"O",'Détail fonctionnement'!$B$5:$B$500,$C97,'Détail fonctionnement'!$C$5:$C$500,$D97)</f>
      </c>
      <c r="N97" s="59"/>
      <c r="O97" s="59">
        <f>IF(N97="","",N97-M97)</f>
      </c>
      <c r="Q97"/>
      <c r="R97"/>
      <c r="S97"/>
      <c r="T97"/>
      <c r="U97"/>
      <c r="V97"/>
      <c r="W97"/>
      <c r="X97"/>
      <c r="Y97"/>
    </row>
    <row r="98" spans="2:25" x14ac:dyDescent="0.25">
      <c r="B98" s="10" t="s">
        <v>3</v>
      </c>
      <c r="C98" s="28" t="s">
        <v>61</v>
      </c>
      <c r="D98" s="28" t="s">
        <v>108</v>
      </c>
      <c r="F98" s="59">
        <f>M98/$E$3</f>
      </c>
      <c r="G98" s="59">
        <f>IF(N98="","",N98/$E$3)</f>
      </c>
      <c r="H98" s="59">
        <f>IF(G98="","",G98-F98)</f>
      </c>
      <c r="M98" s="59">
        <f>SUMIFS('Détail fonctionnement'!$E$5:$E$500,'Détail fonctionnement'!$A$5:$A$500,$B98,'Détail fonctionnement'!$G$5:$G$500,"O",'Détail fonctionnement'!$B$5:$B$500,$C98,'Détail fonctionnement'!$C$5:$C$500,$D98)</f>
      </c>
      <c r="N98" s="59"/>
      <c r="O98" s="59">
        <f>IF(N98="","",N98-M98)</f>
      </c>
      <c r="Q98"/>
      <c r="R98"/>
      <c r="S98"/>
      <c r="T98"/>
      <c r="U98"/>
      <c r="V98"/>
      <c r="W98"/>
      <c r="X98"/>
      <c r="Y98"/>
    </row>
    <row r="99" spans="2:25" x14ac:dyDescent="0.25">
      <c r="B99" s="10" t="s">
        <v>3</v>
      </c>
      <c r="C99" s="28" t="s">
        <v>61</v>
      </c>
      <c r="D99" s="28" t="s">
        <v>109</v>
      </c>
      <c r="F99" s="59">
        <f>M99/$E$3</f>
      </c>
      <c r="G99" s="59">
        <f>IF(N99="","",N99/$E$3)</f>
      </c>
      <c r="H99" s="59">
        <f>IF(G99="","",G99-F99)</f>
      </c>
      <c r="M99" s="59">
        <f>SUMIFS('Détail fonctionnement'!$E$5:$E$500,'Détail fonctionnement'!$A$5:$A$500,$B99,'Détail fonctionnement'!$G$5:$G$500,"O",'Détail fonctionnement'!$B$5:$B$500,$C99,'Détail fonctionnement'!$C$5:$C$500,$D99)</f>
      </c>
      <c r="N99" s="59"/>
      <c r="O99" s="59">
        <f>IF(N99="","",N99-M99)</f>
      </c>
      <c r="Q99"/>
      <c r="R99"/>
      <c r="S99"/>
      <c r="T99"/>
      <c r="U99"/>
      <c r="V99"/>
      <c r="W99"/>
      <c r="X99"/>
      <c r="Y99"/>
    </row>
    <row r="100" spans="3:15" x14ac:dyDescent="0.25">
      <c r="C100" s="47" t="s">
        <v>114</v>
      </c>
      <c r="D100" s="43"/>
      <c r="F100" s="48">
        <f>SUM(F71:F99)</f>
      </c>
      <c r="G100" s="48">
        <f>SUM(G71:G99)</f>
      </c>
      <c r="H100" s="48">
        <f>SUM(H71:H99)</f>
      </c>
      <c r="M100" s="48">
        <f>SUM(M71:M99)</f>
      </c>
      <c r="N100" s="48">
        <f>SUM(N71:N99)</f>
      </c>
      <c r="O100" s="48">
        <f>SUM(O71:O99)</f>
      </c>
    </row>
    <row r="102" spans="3:4" x14ac:dyDescent="0.25">
      <c r="C102" s="58" t="s">
        <v>115</v>
      </c>
      <c r="D102" s="58" t="s">
        <v>18</v>
      </c>
    </row>
    <row r="103" spans="2:25" x14ac:dyDescent="0.25">
      <c r="B103" s="10" t="s">
        <v>4</v>
      </c>
      <c r="C103" s="28" t="s">
        <v>22</v>
      </c>
      <c r="D103" s="28" t="s">
        <v>108</v>
      </c>
      <c r="F103" s="59">
        <f>M103/$E$3</f>
      </c>
      <c r="G103" s="59">
        <f>IF(N103="","",N103/$E$3)</f>
      </c>
      <c r="H103" s="59">
        <f>IF(G103="","",G103-F103)</f>
      </c>
      <c r="M103" s="59">
        <f>SUMIFS('Détail fonctionnement'!$E$5:$E$500,'Détail fonctionnement'!$A$5:$A$500,$B103,'Détail fonctionnement'!$G$5:$G$500,"O",'Détail fonctionnement'!$B$5:$B$500,$C103,'Détail fonctionnement'!$C$5:$C$500,$D103)</f>
      </c>
      <c r="N103" s="59"/>
      <c r="O103" s="59">
        <f>IF(N103="","",N103-M103)</f>
      </c>
      <c r="Q103"/>
      <c r="R103"/>
      <c r="S103"/>
      <c r="T103"/>
      <c r="U103"/>
      <c r="V103"/>
      <c r="W103"/>
      <c r="X103"/>
      <c r="Y103"/>
    </row>
    <row r="104" spans="2:25" x14ac:dyDescent="0.25">
      <c r="B104" s="10" t="s">
        <v>4</v>
      </c>
      <c r="C104" s="28" t="s">
        <v>22</v>
      </c>
      <c r="D104" s="28" t="s">
        <v>109</v>
      </c>
      <c r="F104" s="59">
        <f>M104/$E$3</f>
      </c>
      <c r="G104" s="59">
        <f>IF(N104="","",N104/$E$3)</f>
      </c>
      <c r="H104" s="59">
        <f>IF(G104="","",G104-F104)</f>
      </c>
      <c r="M104" s="59">
        <f>SUMIFS('Détail fonctionnement'!$E$5:$E$500,'Détail fonctionnement'!$A$5:$A$500,$B104,'Détail fonctionnement'!$G$5:$G$500,"O",'Détail fonctionnement'!$B$5:$B$500,$C104,'Détail fonctionnement'!$C$5:$C$500,$D104)</f>
      </c>
      <c r="N104" s="59"/>
      <c r="O104" s="59">
        <f>IF(N104="","",N104-M104)</f>
      </c>
      <c r="Q104"/>
      <c r="R104"/>
      <c r="S104"/>
      <c r="T104"/>
      <c r="U104"/>
      <c r="V104"/>
      <c r="W104"/>
      <c r="X104"/>
      <c r="Y104"/>
    </row>
    <row r="105" spans="2:25" x14ac:dyDescent="0.25">
      <c r="B105" s="10" t="s">
        <v>4</v>
      </c>
      <c r="C105" s="28" t="s">
        <v>29</v>
      </c>
      <c r="D105" s="28" t="s">
        <v>107</v>
      </c>
      <c r="F105" s="59">
        <f>M105/$E$3</f>
      </c>
      <c r="G105" s="59">
        <f>IF(N105="","",N105/$E$3)</f>
      </c>
      <c r="H105" s="59">
        <f>IF(G105="","",G105-F105)</f>
      </c>
      <c r="M105" s="59">
        <f>SUMIFS('Détail fonctionnement'!$E$5:$E$500,'Détail fonctionnement'!$A$5:$A$500,$B105,'Détail fonctionnement'!$G$5:$G$500,"O",'Détail fonctionnement'!$B$5:$B$500,$C105,'Détail fonctionnement'!$C$5:$C$500,$D105)</f>
      </c>
      <c r="N105" s="59"/>
      <c r="O105" s="59">
        <f>IF(N105="","",N105-M105)</f>
      </c>
      <c r="Q105"/>
      <c r="R105"/>
      <c r="S105"/>
      <c r="T105"/>
      <c r="U105"/>
      <c r="V105"/>
      <c r="W105"/>
      <c r="X105"/>
      <c r="Y105"/>
    </row>
    <row r="106" spans="2:25" x14ac:dyDescent="0.25">
      <c r="B106" s="10" t="s">
        <v>4</v>
      </c>
      <c r="C106" s="28" t="s">
        <v>36</v>
      </c>
      <c r="D106" s="28" t="s">
        <v>108</v>
      </c>
      <c r="F106" s="59">
        <f>M106/$E$3</f>
      </c>
      <c r="G106" s="59">
        <f>IF(N106="","",N106/$E$3)</f>
      </c>
      <c r="H106" s="59">
        <f>IF(G106="","",G106-F106)</f>
      </c>
      <c r="M106" s="59">
        <f>SUMIFS('Détail fonctionnement'!$E$5:$E$500,'Détail fonctionnement'!$A$5:$A$500,$B106,'Détail fonctionnement'!$G$5:$G$500,"O",'Détail fonctionnement'!$B$5:$B$500,$C106,'Détail fonctionnement'!$C$5:$C$500,$D106)</f>
      </c>
      <c r="N106" s="59"/>
      <c r="O106" s="59">
        <f>IF(N106="","",N106-M106)</f>
      </c>
      <c r="Q106"/>
      <c r="R106"/>
      <c r="S106"/>
      <c r="T106"/>
      <c r="U106"/>
      <c r="V106"/>
      <c r="W106"/>
      <c r="X106"/>
      <c r="Y106"/>
    </row>
    <row r="107" spans="2:25" x14ac:dyDescent="0.25">
      <c r="B107" s="10" t="s">
        <v>4</v>
      </c>
      <c r="C107" s="28" t="s">
        <v>36</v>
      </c>
      <c r="D107" s="28" t="s">
        <v>109</v>
      </c>
      <c r="F107" s="59">
        <f>M107/$E$3</f>
      </c>
      <c r="G107" s="59">
        <f>IF(N107="","",N107/$E$3)</f>
      </c>
      <c r="H107" s="59">
        <f>IF(G107="","",G107-F107)</f>
      </c>
      <c r="M107" s="59">
        <f>SUMIFS('Détail fonctionnement'!$E$5:$E$500,'Détail fonctionnement'!$A$5:$A$500,$B107,'Détail fonctionnement'!$G$5:$G$500,"O",'Détail fonctionnement'!$B$5:$B$500,$C107,'Détail fonctionnement'!$C$5:$C$500,$D107)</f>
      </c>
      <c r="N107" s="59"/>
      <c r="O107" s="59">
        <f>IF(N107="","",N107-M107)</f>
      </c>
      <c r="Q107"/>
      <c r="R107"/>
      <c r="S107"/>
      <c r="T107"/>
      <c r="U107"/>
      <c r="V107"/>
      <c r="W107"/>
      <c r="X107"/>
      <c r="Y107"/>
    </row>
    <row r="108" spans="2:25" x14ac:dyDescent="0.25">
      <c r="B108" s="10" t="s">
        <v>4</v>
      </c>
      <c r="C108" s="28" t="s">
        <v>46</v>
      </c>
      <c r="D108" s="28" t="s">
        <v>108</v>
      </c>
      <c r="F108" s="59">
        <f>M108/$E$3</f>
      </c>
      <c r="G108" s="59">
        <f>IF(N108="","",N108/$E$3)</f>
      </c>
      <c r="H108" s="59">
        <f>IF(G108="","",G108-F108)</f>
      </c>
      <c r="M108" s="59">
        <f>SUMIFS('Détail fonctionnement'!$E$5:$E$500,'Détail fonctionnement'!$A$5:$A$500,$B108,'Détail fonctionnement'!$G$5:$G$500,"O",'Détail fonctionnement'!$B$5:$B$500,$C108,'Détail fonctionnement'!$C$5:$C$500,$D108)</f>
      </c>
      <c r="N108" s="59"/>
      <c r="O108" s="59">
        <f>IF(N108="","",N108-M108)</f>
      </c>
      <c r="Q108"/>
      <c r="R108"/>
      <c r="S108"/>
      <c r="T108"/>
      <c r="U108"/>
      <c r="V108"/>
      <c r="W108"/>
      <c r="X108"/>
      <c r="Y108"/>
    </row>
    <row r="109" spans="2:25" x14ac:dyDescent="0.25">
      <c r="B109" s="10" t="s">
        <v>4</v>
      </c>
      <c r="C109" s="28" t="s">
        <v>46</v>
      </c>
      <c r="D109" s="28" t="s">
        <v>109</v>
      </c>
      <c r="F109" s="59">
        <f>M109/$E$3</f>
      </c>
      <c r="G109" s="59">
        <f>IF(N109="","",N109/$E$3)</f>
      </c>
      <c r="H109" s="59">
        <f>IF(G109="","",G109-F109)</f>
      </c>
      <c r="M109" s="59">
        <f>SUMIFS('Détail fonctionnement'!$E$5:$E$500,'Détail fonctionnement'!$A$5:$A$500,$B109,'Détail fonctionnement'!$G$5:$G$500,"O",'Détail fonctionnement'!$B$5:$B$500,$C109,'Détail fonctionnement'!$C$5:$C$500,$D109)</f>
      </c>
      <c r="N109" s="59"/>
      <c r="O109" s="59">
        <f>IF(N109="","",N109-M109)</f>
      </c>
      <c r="Q109"/>
      <c r="R109"/>
      <c r="S109"/>
      <c r="T109"/>
      <c r="U109"/>
      <c r="V109"/>
      <c r="W109"/>
      <c r="X109"/>
      <c r="Y109"/>
    </row>
    <row r="110" spans="2:25" x14ac:dyDescent="0.25">
      <c r="B110" s="10" t="s">
        <v>4</v>
      </c>
      <c r="C110" s="28" t="s">
        <v>53</v>
      </c>
      <c r="D110" s="28" t="s">
        <v>108</v>
      </c>
      <c r="F110" s="59">
        <f>M110/$E$3</f>
      </c>
      <c r="G110" s="59">
        <f>IF(N110="","",N110/$E$3)</f>
      </c>
      <c r="H110" s="59">
        <f>IF(G110="","",G110-F110)</f>
      </c>
      <c r="M110" s="59">
        <f>SUMIFS('Détail fonctionnement'!$E$5:$E$500,'Détail fonctionnement'!$A$5:$A$500,$B110,'Détail fonctionnement'!$G$5:$G$500,"O",'Détail fonctionnement'!$B$5:$B$500,$C110,'Détail fonctionnement'!$C$5:$C$500,$D110)</f>
      </c>
      <c r="N110" s="59"/>
      <c r="O110" s="59">
        <f>IF(N110="","",N110-M110)</f>
      </c>
      <c r="Q110"/>
      <c r="R110"/>
      <c r="S110"/>
      <c r="T110"/>
      <c r="U110"/>
      <c r="V110"/>
      <c r="W110"/>
      <c r="X110"/>
      <c r="Y110"/>
    </row>
    <row r="111" spans="2:25" x14ac:dyDescent="0.25">
      <c r="B111" s="10" t="s">
        <v>4</v>
      </c>
      <c r="C111" s="28" t="s">
        <v>53</v>
      </c>
      <c r="D111" s="28" t="s">
        <v>109</v>
      </c>
      <c r="F111" s="59">
        <f>M111/$E$3</f>
      </c>
      <c r="G111" s="59">
        <f>IF(N111="","",N111/$E$3)</f>
      </c>
      <c r="H111" s="59">
        <f>IF(G111="","",G111-F111)</f>
      </c>
      <c r="M111" s="59">
        <f>SUMIFS('Détail fonctionnement'!$E$5:$E$500,'Détail fonctionnement'!$A$5:$A$500,$B111,'Détail fonctionnement'!$G$5:$G$500,"O",'Détail fonctionnement'!$B$5:$B$500,$C111,'Détail fonctionnement'!$C$5:$C$500,$D111)</f>
      </c>
      <c r="N111" s="59"/>
      <c r="O111" s="59">
        <f>IF(N111="","",N111-M111)</f>
      </c>
      <c r="Q111"/>
      <c r="R111"/>
      <c r="S111"/>
      <c r="T111"/>
      <c r="U111"/>
      <c r="V111"/>
      <c r="W111"/>
      <c r="X111"/>
      <c r="Y111"/>
    </row>
    <row r="112" spans="2:25" x14ac:dyDescent="0.25">
      <c r="B112" s="10" t="s">
        <v>4</v>
      </c>
      <c r="C112" s="28" t="s">
        <v>61</v>
      </c>
      <c r="D112" s="28" t="s">
        <v>108</v>
      </c>
      <c r="F112" s="59">
        <f>M112/$E$3</f>
      </c>
      <c r="G112" s="59">
        <f>IF(N112="","",N112/$E$3)</f>
      </c>
      <c r="H112" s="59">
        <f>IF(G112="","",G112-F112)</f>
      </c>
      <c r="M112" s="59">
        <f>SUMIFS('Détail fonctionnement'!$E$5:$E$500,'Détail fonctionnement'!$A$5:$A$500,$B112,'Détail fonctionnement'!$G$5:$G$500,"O",'Détail fonctionnement'!$B$5:$B$500,$C112,'Détail fonctionnement'!$C$5:$C$500,$D112)</f>
      </c>
      <c r="N112" s="59"/>
      <c r="O112" s="59">
        <f>IF(N112="","",N112-M112)</f>
      </c>
      <c r="Q112"/>
      <c r="R112"/>
      <c r="S112"/>
      <c r="T112"/>
      <c r="U112"/>
      <c r="V112"/>
      <c r="W112"/>
      <c r="X112"/>
      <c r="Y112"/>
    </row>
    <row r="113" spans="2:25" x14ac:dyDescent="0.25">
      <c r="B113" s="10" t="s">
        <v>4</v>
      </c>
      <c r="C113" s="28" t="s">
        <v>61</v>
      </c>
      <c r="D113" s="28" t="s">
        <v>109</v>
      </c>
      <c r="F113" s="59">
        <f>M113/$E$3</f>
      </c>
      <c r="G113" s="59">
        <f>IF(N113="","",N113/$E$3)</f>
      </c>
      <c r="H113" s="59">
        <f>IF(G113="","",G113-F113)</f>
      </c>
      <c r="M113" s="59">
        <f>SUMIFS('Détail fonctionnement'!$E$5:$E$500,'Détail fonctionnement'!$A$5:$A$500,$B113,'Détail fonctionnement'!$G$5:$G$500,"O",'Détail fonctionnement'!$B$5:$B$500,$C113,'Détail fonctionnement'!$C$5:$C$500,$D113)</f>
      </c>
      <c r="N113" s="59"/>
      <c r="O113" s="59">
        <f>IF(N113="","",N113-M113)</f>
      </c>
      <c r="Q113"/>
      <c r="R113"/>
      <c r="S113"/>
      <c r="T113"/>
      <c r="U113"/>
      <c r="V113"/>
      <c r="W113"/>
      <c r="X113"/>
      <c r="Y113"/>
    </row>
    <row r="114" spans="3:15" x14ac:dyDescent="0.25">
      <c r="C114" s="47" t="s">
        <v>116</v>
      </c>
      <c r="D114" s="43"/>
      <c r="F114" s="48">
        <f>SUM(F103:F113)</f>
      </c>
      <c r="G114" s="48">
        <f>SUM(G103:G113)</f>
      </c>
      <c r="H114" s="48">
        <f>SUM(H103:H113)</f>
      </c>
      <c r="M114" s="48">
        <f>SUM(M103:M113)</f>
      </c>
      <c r="N114" s="48">
        <f>SUM(N103:N113)</f>
      </c>
      <c r="O114" s="48">
        <f>SUM(O103:O113)</f>
      </c>
    </row>
    <row r="116" spans="3:4" x14ac:dyDescent="0.25">
      <c r="C116" s="58" t="s">
        <v>117</v>
      </c>
      <c r="D116" s="58" t="s">
        <v>18</v>
      </c>
    </row>
    <row r="117" spans="2:25" x14ac:dyDescent="0.25">
      <c r="B117" s="10" t="s">
        <v>5</v>
      </c>
      <c r="C117" s="28" t="s">
        <v>22</v>
      </c>
      <c r="D117" s="28" t="s">
        <v>109</v>
      </c>
      <c r="F117" s="59">
        <f>M117/$E$3</f>
      </c>
      <c r="G117" s="59">
        <f>IF(N117="","",N117/$E$3)</f>
      </c>
      <c r="H117" s="59">
        <f>IF(G117="","",G117-F117)</f>
      </c>
      <c r="M117" s="59">
        <f>SUMIFS('Détail fonctionnement'!$E$5:$E$500,'Détail fonctionnement'!$A$5:$A$500,$B117,'Détail fonctionnement'!$G$5:$G$500,"O",'Détail fonctionnement'!$B$5:$B$500,$C117,'Détail fonctionnement'!$C$5:$C$500,$D117)</f>
      </c>
      <c r="N117" s="59"/>
      <c r="O117" s="59">
        <f>IF(N117="","",N117-M117)</f>
      </c>
      <c r="Q117"/>
      <c r="R117"/>
      <c r="S117"/>
      <c r="T117"/>
      <c r="U117"/>
      <c r="V117"/>
      <c r="W117"/>
      <c r="X117"/>
      <c r="Y117"/>
    </row>
    <row r="118" spans="2:25" x14ac:dyDescent="0.25">
      <c r="B118" s="10" t="s">
        <v>5</v>
      </c>
      <c r="C118" s="28" t="s">
        <v>22</v>
      </c>
      <c r="D118" s="28" t="s">
        <v>111</v>
      </c>
      <c r="F118" s="59">
        <f>M118/$E$3</f>
      </c>
      <c r="G118" s="59">
        <f>IF(N118="","",N118/$E$3)</f>
      </c>
      <c r="H118" s="59">
        <f>IF(G118="","",G118-F118)</f>
      </c>
      <c r="M118" s="59">
        <f>SUMIFS('Détail fonctionnement'!$E$5:$E$500,'Détail fonctionnement'!$A$5:$A$500,$B118,'Détail fonctionnement'!$G$5:$G$500,"O",'Détail fonctionnement'!$B$5:$B$500,$C118,'Détail fonctionnement'!$C$5:$C$500,$D118)</f>
      </c>
      <c r="N118" s="59"/>
      <c r="O118" s="59">
        <f>IF(N118="","",N118-M118)</f>
      </c>
      <c r="Q118"/>
      <c r="R118"/>
      <c r="S118"/>
      <c r="T118"/>
      <c r="U118"/>
      <c r="V118"/>
      <c r="W118"/>
      <c r="X118"/>
      <c r="Y118"/>
    </row>
    <row r="119" spans="2:25" x14ac:dyDescent="0.25">
      <c r="B119" s="10" t="s">
        <v>5</v>
      </c>
      <c r="C119" s="28" t="s">
        <v>36</v>
      </c>
      <c r="D119" s="28" t="s">
        <v>109</v>
      </c>
      <c r="F119" s="59">
        <f>M119/$E$3</f>
      </c>
      <c r="G119" s="59">
        <f>IF(N119="","",N119/$E$3)</f>
      </c>
      <c r="H119" s="59">
        <f>IF(G119="","",G119-F119)</f>
      </c>
      <c r="M119" s="59">
        <f>SUMIFS('Détail fonctionnement'!$E$5:$E$500,'Détail fonctionnement'!$A$5:$A$500,$B119,'Détail fonctionnement'!$G$5:$G$500,"O",'Détail fonctionnement'!$B$5:$B$500,$C119,'Détail fonctionnement'!$C$5:$C$500,$D119)</f>
      </c>
      <c r="N119" s="59"/>
      <c r="O119" s="59">
        <f>IF(N119="","",N119-M119)</f>
      </c>
      <c r="Q119"/>
      <c r="R119"/>
      <c r="S119"/>
      <c r="T119"/>
      <c r="U119"/>
      <c r="V119"/>
      <c r="W119"/>
      <c r="X119"/>
      <c r="Y119"/>
    </row>
    <row r="120" spans="2:25" x14ac:dyDescent="0.25">
      <c r="B120" s="10" t="s">
        <v>5</v>
      </c>
      <c r="C120" s="28" t="s">
        <v>46</v>
      </c>
      <c r="D120" s="28" t="s">
        <v>109</v>
      </c>
      <c r="F120" s="59">
        <f>M120/$E$3</f>
      </c>
      <c r="G120" s="59">
        <f>IF(N120="","",N120/$E$3)</f>
      </c>
      <c r="H120" s="59">
        <f>IF(G120="","",G120-F120)</f>
      </c>
      <c r="M120" s="59">
        <f>SUMIFS('Détail fonctionnement'!$E$5:$E$500,'Détail fonctionnement'!$A$5:$A$500,$B120,'Détail fonctionnement'!$G$5:$G$500,"O",'Détail fonctionnement'!$B$5:$B$500,$C120,'Détail fonctionnement'!$C$5:$C$500,$D120)</f>
      </c>
      <c r="N120" s="59"/>
      <c r="O120" s="59">
        <f>IF(N120="","",N120-M120)</f>
      </c>
      <c r="Q120"/>
      <c r="R120"/>
      <c r="S120"/>
      <c r="T120"/>
      <c r="U120"/>
      <c r="V120"/>
      <c r="W120"/>
      <c r="X120"/>
      <c r="Y120"/>
    </row>
    <row r="121" spans="2:25" x14ac:dyDescent="0.25">
      <c r="B121" s="10" t="s">
        <v>5</v>
      </c>
      <c r="C121" s="28" t="s">
        <v>46</v>
      </c>
      <c r="D121" s="28" t="s">
        <v>111</v>
      </c>
      <c r="F121" s="59">
        <f>M121/$E$3</f>
      </c>
      <c r="G121" s="59">
        <f>IF(N121="","",N121/$E$3)</f>
      </c>
      <c r="H121" s="59">
        <f>IF(G121="","",G121-F121)</f>
      </c>
      <c r="M121" s="59">
        <f>SUMIFS('Détail fonctionnement'!$E$5:$E$500,'Détail fonctionnement'!$A$5:$A$500,$B121,'Détail fonctionnement'!$G$5:$G$500,"O",'Détail fonctionnement'!$B$5:$B$500,$C121,'Détail fonctionnement'!$C$5:$C$500,$D121)</f>
      </c>
      <c r="N121" s="59"/>
      <c r="O121" s="59">
        <f>IF(N121="","",N121-M121)</f>
      </c>
      <c r="Q121"/>
      <c r="R121"/>
      <c r="S121"/>
      <c r="T121"/>
      <c r="U121"/>
      <c r="V121"/>
      <c r="W121"/>
      <c r="X121"/>
      <c r="Y121"/>
    </row>
    <row r="122" spans="2:25" x14ac:dyDescent="0.25">
      <c r="B122" s="10" t="s">
        <v>5</v>
      </c>
      <c r="C122" s="28" t="s">
        <v>53</v>
      </c>
      <c r="D122" s="28" t="s">
        <v>109</v>
      </c>
      <c r="F122" s="59">
        <f>M122/$E$3</f>
      </c>
      <c r="G122" s="59">
        <f>IF(N122="","",N122/$E$3)</f>
      </c>
      <c r="H122" s="59">
        <f>IF(G122="","",G122-F122)</f>
      </c>
      <c r="M122" s="59">
        <f>SUMIFS('Détail fonctionnement'!$E$5:$E$500,'Détail fonctionnement'!$A$5:$A$500,$B122,'Détail fonctionnement'!$G$5:$G$500,"O",'Détail fonctionnement'!$B$5:$B$500,$C122,'Détail fonctionnement'!$C$5:$C$500,$D122)</f>
      </c>
      <c r="N122" s="59"/>
      <c r="O122" s="59">
        <f>IF(N122="","",N122-M122)</f>
      </c>
      <c r="Q122"/>
      <c r="R122"/>
      <c r="S122"/>
      <c r="T122"/>
      <c r="U122"/>
      <c r="V122"/>
      <c r="W122"/>
      <c r="X122"/>
      <c r="Y122"/>
    </row>
    <row r="123" spans="2:25" x14ac:dyDescent="0.25">
      <c r="B123" s="10" t="s">
        <v>5</v>
      </c>
      <c r="C123" s="28" t="s">
        <v>53</v>
      </c>
      <c r="D123" s="28" t="s">
        <v>111</v>
      </c>
      <c r="F123" s="59">
        <f>M123/$E$3</f>
      </c>
      <c r="G123" s="59">
        <f>IF(N123="","",N123/$E$3)</f>
      </c>
      <c r="H123" s="59">
        <f>IF(G123="","",G123-F123)</f>
      </c>
      <c r="M123" s="59">
        <f>SUMIFS('Détail fonctionnement'!$E$5:$E$500,'Détail fonctionnement'!$A$5:$A$500,$B123,'Détail fonctionnement'!$G$5:$G$500,"O",'Détail fonctionnement'!$B$5:$B$500,$C123,'Détail fonctionnement'!$C$5:$C$500,$D123)</f>
      </c>
      <c r="N123" s="59"/>
      <c r="O123" s="59">
        <f>IF(N123="","",N123-M123)</f>
      </c>
      <c r="Q123"/>
      <c r="R123"/>
      <c r="S123"/>
      <c r="T123"/>
      <c r="U123"/>
      <c r="V123"/>
      <c r="W123"/>
      <c r="X123"/>
      <c r="Y123"/>
    </row>
    <row r="124" spans="2:25" x14ac:dyDescent="0.25">
      <c r="B124" s="10" t="s">
        <v>5</v>
      </c>
      <c r="C124" s="28" t="s">
        <v>61</v>
      </c>
      <c r="D124" s="28" t="s">
        <v>109</v>
      </c>
      <c r="F124" s="59">
        <f>M124/$E$3</f>
      </c>
      <c r="G124" s="59">
        <f>IF(N124="","",N124/$E$3)</f>
      </c>
      <c r="H124" s="59">
        <f>IF(G124="","",G124-F124)</f>
      </c>
      <c r="M124" s="59">
        <f>SUMIFS('Détail fonctionnement'!$E$5:$E$500,'Détail fonctionnement'!$A$5:$A$500,$B124,'Détail fonctionnement'!$G$5:$G$500,"O",'Détail fonctionnement'!$B$5:$B$500,$C124,'Détail fonctionnement'!$C$5:$C$500,$D124)</f>
      </c>
      <c r="N124" s="59"/>
      <c r="O124" s="59">
        <f>IF(N124="","",N124-M124)</f>
      </c>
      <c r="Q124"/>
      <c r="R124"/>
      <c r="S124"/>
      <c r="T124"/>
      <c r="U124"/>
      <c r="V124"/>
      <c r="W124"/>
      <c r="X124"/>
      <c r="Y124"/>
    </row>
    <row r="125" spans="3:15" x14ac:dyDescent="0.25">
      <c r="C125" s="47" t="s">
        <v>118</v>
      </c>
      <c r="D125" s="43"/>
      <c r="F125" s="48">
        <f>SUM(F117:F124)</f>
      </c>
      <c r="G125" s="48">
        <f>SUM(G117:G124)</f>
      </c>
      <c r="H125" s="48">
        <f>SUM(H117:H124)</f>
      </c>
      <c r="M125" s="48">
        <f>SUM(M117:M124)</f>
      </c>
      <c r="N125" s="48">
        <f>SUM(N117:N124)</f>
      </c>
      <c r="O125" s="48">
        <f>SUM(O117:O124)</f>
      </c>
    </row>
    <row r="127" spans="3:4" x14ac:dyDescent="0.25">
      <c r="C127" s="58" t="s">
        <v>119</v>
      </c>
      <c r="D127" s="58" t="s">
        <v>18</v>
      </c>
    </row>
    <row r="128" spans="3:15" x14ac:dyDescent="0.25">
      <c r="C128" s="47" t="s">
        <v>120</v>
      </c>
      <c r="D128" s="43"/>
      <c r="F128" s="48">
        <v>0</v>
      </c>
      <c r="G128" s="48">
        <v>0</v>
      </c>
      <c r="H128" s="48">
        <v>0</v>
      </c>
      <c r="M128" s="48">
        <v>0</v>
      </c>
      <c r="N128" s="48">
        <v>0</v>
      </c>
      <c r="O128" s="48">
        <v>0</v>
      </c>
    </row>
    <row r="130" spans="3:4" x14ac:dyDescent="0.25">
      <c r="C130" s="58" t="s">
        <v>121</v>
      </c>
      <c r="D130" s="58" t="s">
        <v>18</v>
      </c>
    </row>
    <row r="131" spans="3:15" x14ac:dyDescent="0.25">
      <c r="C131" s="47" t="s">
        <v>122</v>
      </c>
      <c r="D131" s="43"/>
      <c r="F131" s="48">
        <v>0</v>
      </c>
      <c r="G131" s="48">
        <v>0</v>
      </c>
      <c r="H131" s="48">
        <v>0</v>
      </c>
      <c r="M131" s="48">
        <v>0</v>
      </c>
      <c r="N131" s="48">
        <v>0</v>
      </c>
      <c r="O131" s="48">
        <v>0</v>
      </c>
    </row>
    <row r="133" spans="1:4" x14ac:dyDescent="0.25">
      <c r="A133" s="53" t="s">
        <v>123</v>
      </c>
      <c r="B133" s="54"/>
      <c r="C133" s="54"/>
      <c r="D133" s="54"/>
    </row>
    <row r="134" ht="28.5" customHeight="1" spans="2:25" x14ac:dyDescent="0.25">
      <c r="B134" s="55" t="s">
        <v>2</v>
      </c>
      <c r="C134" s="55" t="s">
        <v>97</v>
      </c>
      <c r="D134" s="55" t="s">
        <v>98</v>
      </c>
      <c r="F134" s="56" t="s">
        <v>99</v>
      </c>
      <c r="G134" s="56" t="s">
        <v>100</v>
      </c>
      <c r="H134" s="56" t="s">
        <v>101</v>
      </c>
      <c r="M134" s="57" t="s">
        <v>102</v>
      </c>
      <c r="N134" s="57" t="s">
        <v>103</v>
      </c>
      <c r="O134" s="57" t="s">
        <v>104</v>
      </c>
      <c r="P134" s="57" t="s">
        <v>105</v>
      </c>
      <c r="Q134" s="57"/>
      <c r="R134" s="57"/>
      <c r="S134" s="57"/>
      <c r="T134" s="57"/>
      <c r="U134" s="57"/>
      <c r="V134" s="57"/>
      <c r="W134" s="57"/>
      <c r="X134" s="57"/>
      <c r="Y134" s="57"/>
    </row>
    <row r="135" spans="3:4" x14ac:dyDescent="0.25">
      <c r="C135" s="58" t="s">
        <v>106</v>
      </c>
      <c r="D135" s="58" t="s">
        <v>18</v>
      </c>
    </row>
    <row r="136" spans="2:25" x14ac:dyDescent="0.25">
      <c r="B136" s="10" t="s">
        <v>3</v>
      </c>
      <c r="C136" s="28" t="s">
        <v>29</v>
      </c>
      <c r="D136" s="28" t="s">
        <v>124</v>
      </c>
      <c r="F136" s="59">
        <f>M136/$E$3</f>
      </c>
      <c r="G136" s="59">
        <f>IF(N136="","",N136/$E$3)</f>
      </c>
      <c r="H136" s="59">
        <f>IF(G136="","",G136-F136)</f>
      </c>
      <c r="M136" s="59">
        <f>SUMIFS('Détail projets &amp; dettes'!$I$5:$I$500,'Détail projets &amp; dettes'!$A$5:$A$500,$B136,'Détail projets &amp; dettes'!$J$5:$J$500,"O",'Détail projets &amp; dettes'!$C$5:$C$500,$C136,'Détail projets &amp; dettes'!$D$5:$D$500,$D136)</f>
      </c>
      <c r="N136" s="59"/>
      <c r="O136" s="59">
        <f>IF(N136="","",N136-M136)</f>
      </c>
      <c r="Q136"/>
      <c r="R136"/>
      <c r="S136"/>
      <c r="T136"/>
      <c r="U136"/>
      <c r="V136"/>
      <c r="W136"/>
      <c r="X136"/>
      <c r="Y136"/>
    </row>
    <row r="137" spans="2:25" x14ac:dyDescent="0.25">
      <c r="B137" s="10" t="s">
        <v>3</v>
      </c>
      <c r="C137" s="28" t="s">
        <v>33</v>
      </c>
      <c r="D137" s="28" t="s">
        <v>125</v>
      </c>
      <c r="F137" s="59">
        <f>M137/$E$3</f>
      </c>
      <c r="G137" s="59">
        <f>IF(N137="","",N137/$E$3)</f>
      </c>
      <c r="H137" s="59">
        <f>IF(G137="","",G137-F137)</f>
      </c>
      <c r="M137" s="59">
        <f>SUMIFS('Détail projets &amp; dettes'!$I$5:$I$500,'Détail projets &amp; dettes'!$A$5:$A$500,$B137,'Détail projets &amp; dettes'!$J$5:$J$500,"O",'Détail projets &amp; dettes'!$C$5:$C$500,$C137,'Détail projets &amp; dettes'!$D$5:$D$500,$D137)</f>
      </c>
      <c r="N137" s="59"/>
      <c r="O137" s="59">
        <f>IF(N137="","",N137-M137)</f>
      </c>
      <c r="Q137"/>
      <c r="R137"/>
      <c r="S137"/>
      <c r="T137"/>
      <c r="U137"/>
      <c r="V137"/>
      <c r="W137"/>
      <c r="X137"/>
      <c r="Y137"/>
    </row>
    <row r="138" spans="2:25" x14ac:dyDescent="0.25">
      <c r="B138" s="10" t="s">
        <v>3</v>
      </c>
      <c r="C138" s="28" t="s">
        <v>33</v>
      </c>
      <c r="D138" s="28" t="s">
        <v>126</v>
      </c>
      <c r="F138" s="59">
        <f>M138/$E$3</f>
      </c>
      <c r="G138" s="59">
        <f>IF(N138="","",N138/$E$3)</f>
      </c>
      <c r="H138" s="59">
        <f>IF(G138="","",G138-F138)</f>
      </c>
      <c r="M138" s="59">
        <f>SUMIFS('Détail projets &amp; dettes'!$I$5:$I$500,'Détail projets &amp; dettes'!$A$5:$A$500,$B138,'Détail projets &amp; dettes'!$J$5:$J$500,"O",'Détail projets &amp; dettes'!$C$5:$C$500,$C138,'Détail projets &amp; dettes'!$D$5:$D$500,$D138)</f>
      </c>
      <c r="N138" s="59"/>
      <c r="O138" s="59">
        <f>IF(N138="","",N138-M138)</f>
      </c>
      <c r="Q138"/>
      <c r="R138"/>
      <c r="S138"/>
      <c r="T138"/>
      <c r="U138"/>
      <c r="V138"/>
      <c r="W138"/>
      <c r="X138"/>
      <c r="Y138"/>
    </row>
    <row r="139" spans="2:25" x14ac:dyDescent="0.25">
      <c r="B139" s="10" t="s">
        <v>3</v>
      </c>
      <c r="C139" s="28" t="s">
        <v>33</v>
      </c>
      <c r="D139" s="28" t="s">
        <v>127</v>
      </c>
      <c r="F139" s="59">
        <f>M139/$E$3</f>
      </c>
      <c r="G139" s="59">
        <f>IF(N139="","",N139/$E$3)</f>
      </c>
      <c r="H139" s="59">
        <f>IF(G139="","",G139-F139)</f>
      </c>
      <c r="M139" s="59">
        <f>SUMIFS('Détail projets &amp; dettes'!$I$5:$I$500,'Détail projets &amp; dettes'!$A$5:$A$500,$B139,'Détail projets &amp; dettes'!$J$5:$J$500,"O",'Détail projets &amp; dettes'!$C$5:$C$500,$C139,'Détail projets &amp; dettes'!$D$5:$D$500,$D139)</f>
      </c>
      <c r="N139" s="59"/>
      <c r="O139" s="59">
        <f>IF(N139="","",N139-M139)</f>
      </c>
      <c r="Q139"/>
      <c r="R139"/>
      <c r="S139"/>
      <c r="T139"/>
      <c r="U139"/>
      <c r="V139"/>
      <c r="W139"/>
      <c r="X139"/>
      <c r="Y139"/>
    </row>
    <row r="140" spans="2:25" x14ac:dyDescent="0.25">
      <c r="B140" s="10" t="s">
        <v>3</v>
      </c>
      <c r="C140" s="28" t="s">
        <v>33</v>
      </c>
      <c r="D140" s="28" t="s">
        <v>128</v>
      </c>
      <c r="F140" s="59">
        <f>M140/$E$3</f>
      </c>
      <c r="G140" s="59">
        <f>IF(N140="","",N140/$E$3)</f>
      </c>
      <c r="H140" s="59">
        <f>IF(G140="","",G140-F140)</f>
      </c>
      <c r="M140" s="59">
        <f>SUMIFS('Détail projets &amp; dettes'!$I$5:$I$500,'Détail projets &amp; dettes'!$A$5:$A$500,$B140,'Détail projets &amp; dettes'!$J$5:$J$500,"O",'Détail projets &amp; dettes'!$C$5:$C$500,$C140,'Détail projets &amp; dettes'!$D$5:$D$500,$D140)</f>
      </c>
      <c r="N140" s="59"/>
      <c r="O140" s="59">
        <f>IF(N140="","",N140-M140)</f>
      </c>
      <c r="Q140"/>
      <c r="R140"/>
      <c r="S140"/>
      <c r="T140"/>
      <c r="U140"/>
      <c r="V140"/>
      <c r="W140"/>
      <c r="X140"/>
      <c r="Y140"/>
    </row>
    <row r="141" spans="2:25" x14ac:dyDescent="0.25">
      <c r="B141" s="10" t="s">
        <v>3</v>
      </c>
      <c r="C141" s="28" t="s">
        <v>33</v>
      </c>
      <c r="D141" s="28" t="s">
        <v>129</v>
      </c>
      <c r="F141" s="59">
        <f>M141/$E$3</f>
      </c>
      <c r="G141" s="59">
        <f>IF(N141="","",N141/$E$3)</f>
      </c>
      <c r="H141" s="59">
        <f>IF(G141="","",G141-F141)</f>
      </c>
      <c r="M141" s="59">
        <f>SUMIFS('Détail projets &amp; dettes'!$I$5:$I$500,'Détail projets &amp; dettes'!$A$5:$A$500,$B141,'Détail projets &amp; dettes'!$J$5:$J$500,"O",'Détail projets &amp; dettes'!$C$5:$C$500,$C141,'Détail projets &amp; dettes'!$D$5:$D$500,$D141)</f>
      </c>
      <c r="N141" s="59"/>
      <c r="O141" s="59">
        <f>IF(N141="","",N141-M141)</f>
      </c>
      <c r="Q141"/>
      <c r="R141"/>
      <c r="S141"/>
      <c r="T141"/>
      <c r="U141"/>
      <c r="V141"/>
      <c r="W141"/>
      <c r="X141"/>
      <c r="Y141"/>
    </row>
    <row r="142" spans="2:25" x14ac:dyDescent="0.25">
      <c r="B142" s="10" t="s">
        <v>3</v>
      </c>
      <c r="C142" s="28" t="s">
        <v>36</v>
      </c>
      <c r="D142" s="28" t="s">
        <v>125</v>
      </c>
      <c r="F142" s="59">
        <f>M142/$E$3</f>
      </c>
      <c r="G142" s="59">
        <f>IF(N142="","",N142/$E$3)</f>
      </c>
      <c r="H142" s="59">
        <f>IF(G142="","",G142-F142)</f>
      </c>
      <c r="M142" s="59">
        <f>SUMIFS('Détail projets &amp; dettes'!$I$5:$I$500,'Détail projets &amp; dettes'!$A$5:$A$500,$B142,'Détail projets &amp; dettes'!$J$5:$J$500,"O",'Détail projets &amp; dettes'!$C$5:$C$500,$C142,'Détail projets &amp; dettes'!$D$5:$D$500,$D142)</f>
      </c>
      <c r="N142" s="59"/>
      <c r="O142" s="59">
        <f>IF(N142="","",N142-M142)</f>
      </c>
      <c r="Q142"/>
      <c r="R142"/>
      <c r="S142"/>
      <c r="T142"/>
      <c r="U142"/>
      <c r="V142"/>
      <c r="W142"/>
      <c r="X142"/>
      <c r="Y142"/>
    </row>
    <row r="143" spans="2:25" x14ac:dyDescent="0.25">
      <c r="B143" s="10" t="s">
        <v>3</v>
      </c>
      <c r="C143" s="28" t="s">
        <v>36</v>
      </c>
      <c r="D143" s="28" t="s">
        <v>126</v>
      </c>
      <c r="F143" s="59">
        <f>M143/$E$3</f>
      </c>
      <c r="G143" s="59">
        <f>IF(N143="","",N143/$E$3)</f>
      </c>
      <c r="H143" s="59">
        <f>IF(G143="","",G143-F143)</f>
      </c>
      <c r="M143" s="59">
        <f>SUMIFS('Détail projets &amp; dettes'!$I$5:$I$500,'Détail projets &amp; dettes'!$A$5:$A$500,$B143,'Détail projets &amp; dettes'!$J$5:$J$500,"O",'Détail projets &amp; dettes'!$C$5:$C$500,$C143,'Détail projets &amp; dettes'!$D$5:$D$500,$D143)</f>
      </c>
      <c r="N143" s="59"/>
      <c r="O143" s="59">
        <f>IF(N143="","",N143-M143)</f>
      </c>
      <c r="Q143"/>
      <c r="R143"/>
      <c r="S143"/>
      <c r="T143"/>
      <c r="U143"/>
      <c r="V143"/>
      <c r="W143"/>
      <c r="X143"/>
      <c r="Y143"/>
    </row>
    <row r="144" spans="2:25" x14ac:dyDescent="0.25">
      <c r="B144" s="10" t="s">
        <v>3</v>
      </c>
      <c r="C144" s="28" t="s">
        <v>36</v>
      </c>
      <c r="D144" s="28" t="s">
        <v>127</v>
      </c>
      <c r="F144" s="59">
        <f>M144/$E$3</f>
      </c>
      <c r="G144" s="59">
        <f>IF(N144="","",N144/$E$3)</f>
      </c>
      <c r="H144" s="59">
        <f>IF(G144="","",G144-F144)</f>
      </c>
      <c r="M144" s="59">
        <f>SUMIFS('Détail projets &amp; dettes'!$I$5:$I$500,'Détail projets &amp; dettes'!$A$5:$A$500,$B144,'Détail projets &amp; dettes'!$J$5:$J$500,"O",'Détail projets &amp; dettes'!$C$5:$C$500,$C144,'Détail projets &amp; dettes'!$D$5:$D$500,$D144)</f>
      </c>
      <c r="N144" s="59"/>
      <c r="O144" s="59">
        <f>IF(N144="","",N144-M144)</f>
      </c>
      <c r="Q144"/>
      <c r="R144"/>
      <c r="S144"/>
      <c r="T144"/>
      <c r="U144"/>
      <c r="V144"/>
      <c r="W144"/>
      <c r="X144"/>
      <c r="Y144"/>
    </row>
    <row r="145" spans="2:25" x14ac:dyDescent="0.25">
      <c r="B145" s="10" t="s">
        <v>3</v>
      </c>
      <c r="C145" s="28" t="s">
        <v>36</v>
      </c>
      <c r="D145" s="28" t="s">
        <v>128</v>
      </c>
      <c r="F145" s="59">
        <f>M145/$E$3</f>
      </c>
      <c r="G145" s="59">
        <f>IF(N145="","",N145/$E$3)</f>
      </c>
      <c r="H145" s="59">
        <f>IF(G145="","",G145-F145)</f>
      </c>
      <c r="M145" s="59">
        <f>SUMIFS('Détail projets &amp; dettes'!$I$5:$I$500,'Détail projets &amp; dettes'!$A$5:$A$500,$B145,'Détail projets &amp; dettes'!$J$5:$J$500,"O",'Détail projets &amp; dettes'!$C$5:$C$500,$C145,'Détail projets &amp; dettes'!$D$5:$D$500,$D145)</f>
      </c>
      <c r="N145" s="59"/>
      <c r="O145" s="59">
        <f>IF(N145="","",N145-M145)</f>
      </c>
      <c r="Q145"/>
      <c r="R145"/>
      <c r="S145"/>
      <c r="T145"/>
      <c r="U145"/>
      <c r="V145"/>
      <c r="W145"/>
      <c r="X145"/>
      <c r="Y145"/>
    </row>
    <row r="146" spans="2:25" x14ac:dyDescent="0.25">
      <c r="B146" s="10" t="s">
        <v>3</v>
      </c>
      <c r="C146" s="28" t="s">
        <v>36</v>
      </c>
      <c r="D146" s="28" t="s">
        <v>129</v>
      </c>
      <c r="F146" s="59">
        <f>M146/$E$3</f>
      </c>
      <c r="G146" s="59">
        <f>IF(N146="","",N146/$E$3)</f>
      </c>
      <c r="H146" s="59">
        <f>IF(G146="","",G146-F146)</f>
      </c>
      <c r="M146" s="59">
        <f>SUMIFS('Détail projets &amp; dettes'!$I$5:$I$500,'Détail projets &amp; dettes'!$A$5:$A$500,$B146,'Détail projets &amp; dettes'!$J$5:$J$500,"O",'Détail projets &amp; dettes'!$C$5:$C$500,$C146,'Détail projets &amp; dettes'!$D$5:$D$500,$D146)</f>
      </c>
      <c r="N146" s="59"/>
      <c r="O146" s="59">
        <f>IF(N146="","",N146-M146)</f>
      </c>
      <c r="Q146"/>
      <c r="R146"/>
      <c r="S146"/>
      <c r="T146"/>
      <c r="U146"/>
      <c r="V146"/>
      <c r="W146"/>
      <c r="X146"/>
      <c r="Y146"/>
    </row>
    <row r="147" spans="3:15" x14ac:dyDescent="0.25">
      <c r="C147" s="47" t="s">
        <v>114</v>
      </c>
      <c r="D147" s="43"/>
      <c r="F147" s="48">
        <f>SUM(F136:F146)</f>
      </c>
      <c r="G147" s="48">
        <f>SUM(G136:G146)</f>
      </c>
      <c r="H147" s="48">
        <f>SUM(H136:H146)</f>
      </c>
      <c r="M147" s="48">
        <f>SUM(M136:M146)</f>
      </c>
      <c r="N147" s="48">
        <f>SUM(N136:N146)</f>
      </c>
      <c r="O147" s="48">
        <f>SUM(O136:O146)</f>
      </c>
    </row>
    <row r="149" spans="3:4" x14ac:dyDescent="0.25">
      <c r="C149" s="58" t="s">
        <v>115</v>
      </c>
      <c r="D149" s="58" t="s">
        <v>18</v>
      </c>
    </row>
    <row r="150" spans="2:25" x14ac:dyDescent="0.25">
      <c r="B150" s="10" t="s">
        <v>4</v>
      </c>
      <c r="C150" s="28" t="s">
        <v>29</v>
      </c>
      <c r="D150" s="28" t="s">
        <v>130</v>
      </c>
      <c r="F150" s="59">
        <f>M150/$E$3</f>
      </c>
      <c r="G150" s="59">
        <f>IF(N150="","",N150/$E$3)</f>
      </c>
      <c r="H150" s="59">
        <f>IF(G150="","",G150-F150)</f>
      </c>
      <c r="M150" s="59">
        <f>SUMIFS('Détail projets &amp; dettes'!$I$5:$I$500,'Détail projets &amp; dettes'!$A$5:$A$500,$B150,'Détail projets &amp; dettes'!$J$5:$J$500,"O",'Détail projets &amp; dettes'!$C$5:$C$500,$C150,'Détail projets &amp; dettes'!$D$5:$D$500,$D150)</f>
      </c>
      <c r="N150" s="59"/>
      <c r="O150" s="59">
        <f>IF(N150="","",N150-M150)</f>
      </c>
      <c r="Q150"/>
      <c r="R150"/>
      <c r="S150"/>
      <c r="T150"/>
      <c r="U150"/>
      <c r="V150"/>
      <c r="W150"/>
      <c r="X150"/>
      <c r="Y150"/>
    </row>
    <row r="151" spans="2:25" x14ac:dyDescent="0.25">
      <c r="B151" s="10" t="s">
        <v>4</v>
      </c>
      <c r="C151" s="28" t="s">
        <v>33</v>
      </c>
      <c r="D151" s="28" t="s">
        <v>126</v>
      </c>
      <c r="F151" s="59">
        <f>M151/$E$3</f>
      </c>
      <c r="G151" s="59">
        <f>IF(N151="","",N151/$E$3)</f>
      </c>
      <c r="H151" s="59">
        <f>IF(G151="","",G151-F151)</f>
      </c>
      <c r="M151" s="59">
        <f>SUMIFS('Détail projets &amp; dettes'!$I$5:$I$500,'Détail projets &amp; dettes'!$A$5:$A$500,$B151,'Détail projets &amp; dettes'!$J$5:$J$500,"O",'Détail projets &amp; dettes'!$C$5:$C$500,$C151,'Détail projets &amp; dettes'!$D$5:$D$500,$D151)</f>
      </c>
      <c r="N151" s="59"/>
      <c r="O151" s="59">
        <f>IF(N151="","",N151-M151)</f>
      </c>
      <c r="Q151"/>
      <c r="R151"/>
      <c r="S151"/>
      <c r="T151"/>
      <c r="U151"/>
      <c r="V151"/>
      <c r="W151"/>
      <c r="X151"/>
      <c r="Y151"/>
    </row>
    <row r="152" spans="2:25" x14ac:dyDescent="0.25">
      <c r="B152" s="10" t="s">
        <v>4</v>
      </c>
      <c r="C152" s="28" t="s">
        <v>33</v>
      </c>
      <c r="D152" s="28" t="s">
        <v>127</v>
      </c>
      <c r="F152" s="59">
        <f>M152/$E$3</f>
      </c>
      <c r="G152" s="59">
        <f>IF(N152="","",N152/$E$3)</f>
      </c>
      <c r="H152" s="59">
        <f>IF(G152="","",G152-F152)</f>
      </c>
      <c r="M152" s="59">
        <f>SUMIFS('Détail projets &amp; dettes'!$I$5:$I$500,'Détail projets &amp; dettes'!$A$5:$A$500,$B152,'Détail projets &amp; dettes'!$J$5:$J$500,"O",'Détail projets &amp; dettes'!$C$5:$C$500,$C152,'Détail projets &amp; dettes'!$D$5:$D$500,$D152)</f>
      </c>
      <c r="N152" s="59"/>
      <c r="O152" s="59">
        <f>IF(N152="","",N152-M152)</f>
      </c>
      <c r="Q152"/>
      <c r="R152"/>
      <c r="S152"/>
      <c r="T152"/>
      <c r="U152"/>
      <c r="V152"/>
      <c r="W152"/>
      <c r="X152"/>
      <c r="Y152"/>
    </row>
    <row r="153" spans="2:25" x14ac:dyDescent="0.25">
      <c r="B153" s="10" t="s">
        <v>4</v>
      </c>
      <c r="C153" s="28" t="s">
        <v>33</v>
      </c>
      <c r="D153" s="28" t="s">
        <v>128</v>
      </c>
      <c r="F153" s="59">
        <f>M153/$E$3</f>
      </c>
      <c r="G153" s="59">
        <f>IF(N153="","",N153/$E$3)</f>
      </c>
      <c r="H153" s="59">
        <f>IF(G153="","",G153-F153)</f>
      </c>
      <c r="M153" s="59">
        <f>SUMIFS('Détail projets &amp; dettes'!$I$5:$I$500,'Détail projets &amp; dettes'!$A$5:$A$500,$B153,'Détail projets &amp; dettes'!$J$5:$J$500,"O",'Détail projets &amp; dettes'!$C$5:$C$500,$C153,'Détail projets &amp; dettes'!$D$5:$D$500,$D153)</f>
      </c>
      <c r="N153" s="59"/>
      <c r="O153" s="59">
        <f>IF(N153="","",N153-M153)</f>
      </c>
      <c r="Q153"/>
      <c r="R153"/>
      <c r="S153"/>
      <c r="T153"/>
      <c r="U153"/>
      <c r="V153"/>
      <c r="W153"/>
      <c r="X153"/>
      <c r="Y153"/>
    </row>
    <row r="154" spans="2:25" x14ac:dyDescent="0.25">
      <c r="B154" s="10" t="s">
        <v>4</v>
      </c>
      <c r="C154" s="28" t="s">
        <v>36</v>
      </c>
      <c r="D154" s="28" t="s">
        <v>125</v>
      </c>
      <c r="F154" s="59">
        <f>M154/$E$3</f>
      </c>
      <c r="G154" s="59">
        <f>IF(N154="","",N154/$E$3)</f>
      </c>
      <c r="H154" s="59">
        <f>IF(G154="","",G154-F154)</f>
      </c>
      <c r="M154" s="59">
        <f>SUMIFS('Détail projets &amp; dettes'!$I$5:$I$500,'Détail projets &amp; dettes'!$A$5:$A$500,$B154,'Détail projets &amp; dettes'!$J$5:$J$500,"O",'Détail projets &amp; dettes'!$C$5:$C$500,$C154,'Détail projets &amp; dettes'!$D$5:$D$500,$D154)</f>
      </c>
      <c r="N154" s="59"/>
      <c r="O154" s="59">
        <f>IF(N154="","",N154-M154)</f>
      </c>
      <c r="Q154"/>
      <c r="R154"/>
      <c r="S154"/>
      <c r="T154"/>
      <c r="U154"/>
      <c r="V154"/>
      <c r="W154"/>
      <c r="X154"/>
      <c r="Y154"/>
    </row>
    <row r="155" spans="2:25" x14ac:dyDescent="0.25">
      <c r="B155" s="10" t="s">
        <v>4</v>
      </c>
      <c r="C155" s="28" t="s">
        <v>36</v>
      </c>
      <c r="D155" s="28" t="s">
        <v>126</v>
      </c>
      <c r="F155" s="59">
        <f>M155/$E$3</f>
      </c>
      <c r="G155" s="59">
        <f>IF(N155="","",N155/$E$3)</f>
      </c>
      <c r="H155" s="59">
        <f>IF(G155="","",G155-F155)</f>
      </c>
      <c r="M155" s="59">
        <f>SUMIFS('Détail projets &amp; dettes'!$I$5:$I$500,'Détail projets &amp; dettes'!$A$5:$A$500,$B155,'Détail projets &amp; dettes'!$J$5:$J$500,"O",'Détail projets &amp; dettes'!$C$5:$C$500,$C155,'Détail projets &amp; dettes'!$D$5:$D$500,$D155)</f>
      </c>
      <c r="N155" s="59"/>
      <c r="O155" s="59">
        <f>IF(N155="","",N155-M155)</f>
      </c>
      <c r="Q155"/>
      <c r="R155"/>
      <c r="S155"/>
      <c r="T155"/>
      <c r="U155"/>
      <c r="V155"/>
      <c r="W155"/>
      <c r="X155"/>
      <c r="Y155"/>
    </row>
    <row r="156" spans="2:25" x14ac:dyDescent="0.25">
      <c r="B156" s="10" t="s">
        <v>4</v>
      </c>
      <c r="C156" s="28" t="s">
        <v>36</v>
      </c>
      <c r="D156" s="28" t="s">
        <v>127</v>
      </c>
      <c r="F156" s="59">
        <f>M156/$E$3</f>
      </c>
      <c r="G156" s="59">
        <f>IF(N156="","",N156/$E$3)</f>
      </c>
      <c r="H156" s="59">
        <f>IF(G156="","",G156-F156)</f>
      </c>
      <c r="M156" s="59">
        <f>SUMIFS('Détail projets &amp; dettes'!$I$5:$I$500,'Détail projets &amp; dettes'!$A$5:$A$500,$B156,'Détail projets &amp; dettes'!$J$5:$J$500,"O",'Détail projets &amp; dettes'!$C$5:$C$500,$C156,'Détail projets &amp; dettes'!$D$5:$D$500,$D156)</f>
      </c>
      <c r="N156" s="59"/>
      <c r="O156" s="59">
        <f>IF(N156="","",N156-M156)</f>
      </c>
      <c r="Q156"/>
      <c r="R156"/>
      <c r="S156"/>
      <c r="T156"/>
      <c r="U156"/>
      <c r="V156"/>
      <c r="W156"/>
      <c r="X156"/>
      <c r="Y156"/>
    </row>
    <row r="157" spans="2:25" x14ac:dyDescent="0.25">
      <c r="B157" s="10" t="s">
        <v>4</v>
      </c>
      <c r="C157" s="28" t="s">
        <v>36</v>
      </c>
      <c r="D157" s="28" t="s">
        <v>128</v>
      </c>
      <c r="F157" s="59">
        <f>M157/$E$3</f>
      </c>
      <c r="G157" s="59">
        <f>IF(N157="","",N157/$E$3)</f>
      </c>
      <c r="H157" s="59">
        <f>IF(G157="","",G157-F157)</f>
      </c>
      <c r="M157" s="59">
        <f>SUMIFS('Détail projets &amp; dettes'!$I$5:$I$500,'Détail projets &amp; dettes'!$A$5:$A$500,$B157,'Détail projets &amp; dettes'!$J$5:$J$500,"O",'Détail projets &amp; dettes'!$C$5:$C$500,$C157,'Détail projets &amp; dettes'!$D$5:$D$500,$D157)</f>
      </c>
      <c r="N157" s="59"/>
      <c r="O157" s="59">
        <f>IF(N157="","",N157-M157)</f>
      </c>
      <c r="Q157"/>
      <c r="R157"/>
      <c r="S157"/>
      <c r="T157"/>
      <c r="U157"/>
      <c r="V157"/>
      <c r="W157"/>
      <c r="X157"/>
      <c r="Y157"/>
    </row>
    <row r="158" spans="2:25" x14ac:dyDescent="0.25">
      <c r="B158" s="10" t="s">
        <v>4</v>
      </c>
      <c r="C158" s="28" t="s">
        <v>36</v>
      </c>
      <c r="D158" s="28" t="s">
        <v>129</v>
      </c>
      <c r="F158" s="59">
        <f>M158/$E$3</f>
      </c>
      <c r="G158" s="59">
        <f>IF(N158="","",N158/$E$3)</f>
      </c>
      <c r="H158" s="59">
        <f>IF(G158="","",G158-F158)</f>
      </c>
      <c r="M158" s="59">
        <f>SUMIFS('Détail projets &amp; dettes'!$I$5:$I$500,'Détail projets &amp; dettes'!$A$5:$A$500,$B158,'Détail projets &amp; dettes'!$J$5:$J$500,"O",'Détail projets &amp; dettes'!$C$5:$C$500,$C158,'Détail projets &amp; dettes'!$D$5:$D$500,$D158)</f>
      </c>
      <c r="N158" s="59"/>
      <c r="O158" s="59">
        <f>IF(N158="","",N158-M158)</f>
      </c>
      <c r="Q158"/>
      <c r="R158"/>
      <c r="S158"/>
      <c r="T158"/>
      <c r="U158"/>
      <c r="V158"/>
      <c r="W158"/>
      <c r="X158"/>
      <c r="Y158"/>
    </row>
    <row r="159" spans="3:15" x14ac:dyDescent="0.25">
      <c r="C159" s="47" t="s">
        <v>116</v>
      </c>
      <c r="D159" s="43"/>
      <c r="F159" s="48">
        <f>SUM(F150:F158)</f>
      </c>
      <c r="G159" s="48">
        <f>SUM(G150:G158)</f>
      </c>
      <c r="H159" s="48">
        <f>SUM(H150:H158)</f>
      </c>
      <c r="M159" s="48">
        <f>SUM(M150:M158)</f>
      </c>
      <c r="N159" s="48">
        <f>SUM(N150:N158)</f>
      </c>
      <c r="O159" s="48">
        <f>SUM(O150:O158)</f>
      </c>
    </row>
    <row r="161" spans="3:4" x14ac:dyDescent="0.25">
      <c r="C161" s="58" t="s">
        <v>117</v>
      </c>
      <c r="D161" s="58" t="s">
        <v>18</v>
      </c>
    </row>
    <row r="162" spans="2:25" x14ac:dyDescent="0.25">
      <c r="B162" s="10" t="s">
        <v>5</v>
      </c>
      <c r="C162" s="28" t="s">
        <v>29</v>
      </c>
      <c r="D162" s="28" t="s">
        <v>124</v>
      </c>
      <c r="F162" s="59">
        <f>M162/$E$3</f>
      </c>
      <c r="G162" s="59">
        <f>IF(N162="","",N162/$E$3)</f>
      </c>
      <c r="H162" s="59">
        <f>IF(G162="","",G162-F162)</f>
      </c>
      <c r="M162" s="59">
        <f>SUMIFS('Détail projets &amp; dettes'!$I$5:$I$500,'Détail projets &amp; dettes'!$A$5:$A$500,$B162,'Détail projets &amp; dettes'!$J$5:$J$500,"O",'Détail projets &amp; dettes'!$C$5:$C$500,$C162,'Détail projets &amp; dettes'!$D$5:$D$500,$D162)</f>
      </c>
      <c r="N162" s="59"/>
      <c r="O162" s="59">
        <f>IF(N162="","",N162-M162)</f>
      </c>
      <c r="Q162"/>
      <c r="R162"/>
      <c r="S162"/>
      <c r="T162"/>
      <c r="U162"/>
      <c r="V162"/>
      <c r="W162"/>
      <c r="X162"/>
      <c r="Y162"/>
    </row>
    <row r="163" spans="3:15" x14ac:dyDescent="0.25">
      <c r="C163" s="47" t="s">
        <v>118</v>
      </c>
      <c r="D163" s="43"/>
      <c r="F163" s="48">
        <f>SUM(F162:F162)</f>
      </c>
      <c r="G163" s="48">
        <f>SUM(G162:G162)</f>
      </c>
      <c r="H163" s="48">
        <f>SUM(H162:H162)</f>
      </c>
      <c r="M163" s="48">
        <f>SUM(M162:M162)</f>
      </c>
      <c r="N163" s="48">
        <f>SUM(N162:N162)</f>
      </c>
      <c r="O163" s="48">
        <f>SUM(O162:O162)</f>
      </c>
    </row>
    <row r="165" spans="3:4" x14ac:dyDescent="0.25">
      <c r="C165" s="58" t="s">
        <v>119</v>
      </c>
      <c r="D165" s="58" t="s">
        <v>18</v>
      </c>
    </row>
    <row r="166" spans="2:25" x14ac:dyDescent="0.25">
      <c r="B166" s="10" t="s">
        <v>6</v>
      </c>
      <c r="C166" s="28" t="s">
        <v>33</v>
      </c>
      <c r="D166" s="28" t="s">
        <v>127</v>
      </c>
      <c r="F166" s="59">
        <f>M166/$E$3</f>
      </c>
      <c r="G166" s="59">
        <f>IF(N166="","",N166/$E$3)</f>
      </c>
      <c r="H166" s="59">
        <f>IF(G166="","",G166-F166)</f>
      </c>
      <c r="M166" s="59">
        <f>SUMIFS('Détail projets &amp; dettes'!$I$5:$I$500,'Détail projets &amp; dettes'!$A$5:$A$500,$B166,'Détail projets &amp; dettes'!$J$5:$J$500,"O",'Détail projets &amp; dettes'!$C$5:$C$500,$C166,'Détail projets &amp; dettes'!$D$5:$D$500,$D166)</f>
      </c>
      <c r="N166" s="59"/>
      <c r="O166" s="59">
        <f>IF(N166="","",N166-M166)</f>
      </c>
      <c r="Q166"/>
      <c r="R166"/>
      <c r="S166"/>
      <c r="T166"/>
      <c r="U166"/>
      <c r="V166"/>
      <c r="W166"/>
      <c r="X166"/>
      <c r="Y166"/>
    </row>
    <row r="167" spans="2:25" x14ac:dyDescent="0.25">
      <c r="B167" s="10" t="s">
        <v>6</v>
      </c>
      <c r="C167" s="28" t="s">
        <v>36</v>
      </c>
      <c r="D167" s="28" t="s">
        <v>127</v>
      </c>
      <c r="F167" s="59">
        <f>M167/$E$3</f>
      </c>
      <c r="G167" s="59">
        <f>IF(N167="","",N167/$E$3)</f>
      </c>
      <c r="H167" s="59">
        <f>IF(G167="","",G167-F167)</f>
      </c>
      <c r="M167" s="59">
        <f>SUMIFS('Détail projets &amp; dettes'!$I$5:$I$500,'Détail projets &amp; dettes'!$A$5:$A$500,$B167,'Détail projets &amp; dettes'!$J$5:$J$500,"O",'Détail projets &amp; dettes'!$C$5:$C$500,$C167,'Détail projets &amp; dettes'!$D$5:$D$500,$D167)</f>
      </c>
      <c r="N167" s="59"/>
      <c r="O167" s="59">
        <f>IF(N167="","",N167-M167)</f>
      </c>
      <c r="Q167"/>
      <c r="R167"/>
      <c r="S167"/>
      <c r="T167"/>
      <c r="U167"/>
      <c r="V167"/>
      <c r="W167"/>
      <c r="X167"/>
      <c r="Y167"/>
    </row>
    <row r="168" spans="3:15" x14ac:dyDescent="0.25">
      <c r="C168" s="47" t="s">
        <v>120</v>
      </c>
      <c r="D168" s="43"/>
      <c r="F168" s="48">
        <f>SUM(F166:F167)</f>
      </c>
      <c r="G168" s="48">
        <f>SUM(G166:G167)</f>
      </c>
      <c r="H168" s="48">
        <f>SUM(H166:H167)</f>
      </c>
      <c r="M168" s="48">
        <f>SUM(M166:M167)</f>
      </c>
      <c r="N168" s="48">
        <f>SUM(N166:N167)</f>
      </c>
      <c r="O168" s="48">
        <f>SUM(O166:O167)</f>
      </c>
    </row>
    <row r="170" spans="3:4" x14ac:dyDescent="0.25">
      <c r="C170" s="58" t="s">
        <v>121</v>
      </c>
      <c r="D170" s="58" t="s">
        <v>18</v>
      </c>
    </row>
    <row r="171" spans="3:15" x14ac:dyDescent="0.25">
      <c r="C171" s="47" t="s">
        <v>122</v>
      </c>
      <c r="D171" s="43"/>
      <c r="F171" s="48">
        <v>0</v>
      </c>
      <c r="G171" s="48">
        <v>0</v>
      </c>
      <c r="H171" s="48">
        <v>0</v>
      </c>
      <c r="M171" s="48">
        <v>0</v>
      </c>
      <c r="N171" s="48">
        <v>0</v>
      </c>
      <c r="O171" s="48">
        <v>0</v>
      </c>
    </row>
    <row r="173" spans="3:3" x14ac:dyDescent="0.25">
      <c r="C173" s="2" t="s">
        <v>131</v>
      </c>
    </row>
    <row r="174" spans="3:13" x14ac:dyDescent="0.25">
      <c r="C174" s="42" t="s">
        <v>36</v>
      </c>
      <c r="D174" s="42" t="s">
        <v>132</v>
      </c>
      <c r="F174" s="44">
        <f>M174/$E$3</f>
      </c>
      <c r="M174" s="44">
        <f>SUMIFS('Détail projets &amp; dettes'!$I$5:$I$500,'Détail projets &amp; dettes'!$A$5:$A$500,"Nov. 2026",'Détail projets &amp; dettes'!$J$5:$J$500,"O",'Détail projets &amp; dettes'!$C$5:$C$500,"RIVIERA")</f>
      </c>
    </row>
    <row r="175" spans="3:13" x14ac:dyDescent="0.25">
      <c r="C175" s="42" t="s">
        <v>33</v>
      </c>
      <c r="D175" s="42" t="s">
        <v>132</v>
      </c>
      <c r="F175" s="44">
        <f>M175/$E$3</f>
      </c>
      <c r="M175" s="44">
        <f>SUMIFS('Détail projets &amp; dettes'!$I$5:$I$500,'Détail projets &amp; dettes'!$A$5:$A$500,"Nov. 2026",'Détail projets &amp; dettes'!$J$5:$J$500,"O",'Détail projets &amp; dettes'!$C$5:$C$500,"TERASSON")</f>
      </c>
    </row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69:Y69"/>
    <mergeCell ref="P71:Y71"/>
    <mergeCell ref="P72:Y72"/>
    <mergeCell ref="P73:Y73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3:Y103"/>
    <mergeCell ref="P104:Y104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7:Y117"/>
    <mergeCell ref="P118:Y118"/>
    <mergeCell ref="P119:Y119"/>
    <mergeCell ref="P120:Y120"/>
    <mergeCell ref="P121:Y121"/>
    <mergeCell ref="P122:Y122"/>
    <mergeCell ref="P123:Y123"/>
    <mergeCell ref="P124:Y124"/>
    <mergeCell ref="P134:Y134"/>
    <mergeCell ref="P136:Y136"/>
    <mergeCell ref="P137:Y137"/>
    <mergeCell ref="P138:Y138"/>
    <mergeCell ref="P139:Y139"/>
    <mergeCell ref="P140:Y140"/>
    <mergeCell ref="P141:Y141"/>
    <mergeCell ref="P142:Y142"/>
    <mergeCell ref="P143:Y143"/>
    <mergeCell ref="P144:Y144"/>
    <mergeCell ref="P145:Y145"/>
    <mergeCell ref="P146:Y146"/>
    <mergeCell ref="P150:Y150"/>
    <mergeCell ref="P151:Y151"/>
    <mergeCell ref="P152:Y152"/>
    <mergeCell ref="P153:Y153"/>
    <mergeCell ref="P154:Y154"/>
    <mergeCell ref="P155:Y155"/>
    <mergeCell ref="P156:Y156"/>
    <mergeCell ref="P157:Y157"/>
    <mergeCell ref="P158:Y158"/>
    <mergeCell ref="P162:Y162"/>
    <mergeCell ref="P166:Y166"/>
    <mergeCell ref="P167:Y167"/>
  </mergeCells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87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8" width="14" customWidth="1"/>
    <col min="29" max="29" width="60" customWidth="1"/>
  </cols>
  <sheetData>
    <row r="1" spans="1:1" x14ac:dyDescent="0.25">
      <c r="A1" s="60" t="s">
        <v>133</v>
      </c>
    </row>
    <row r="2" spans="1:1" x14ac:dyDescent="0.25">
      <c r="A2" s="61" t="s">
        <v>134</v>
      </c>
    </row>
    <row r="4" spans="1:29" x14ac:dyDescent="0.25">
      <c r="A4" s="62" t="s">
        <v>135</v>
      </c>
      <c r="B4" s="62" t="s">
        <v>136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 t="s">
        <v>137</v>
      </c>
    </row>
    <row r="5" spans="1:29" x14ac:dyDescent="0.25">
      <c r="A5" s="62"/>
      <c r="B5" s="62" t="s">
        <v>33</v>
      </c>
      <c r="C5" s="62"/>
      <c r="D5" s="62"/>
      <c r="E5" s="62" t="s">
        <v>22</v>
      </c>
      <c r="F5" s="62"/>
      <c r="G5" s="62"/>
      <c r="H5" s="62" t="s">
        <v>138</v>
      </c>
      <c r="I5" s="62"/>
      <c r="J5" s="62"/>
      <c r="K5" s="62" t="s">
        <v>37</v>
      </c>
      <c r="L5" s="62"/>
      <c r="M5" s="62"/>
      <c r="N5" s="62" t="s">
        <v>39</v>
      </c>
      <c r="O5" s="62"/>
      <c r="P5" s="62"/>
      <c r="Q5" s="62"/>
      <c r="R5" s="62"/>
      <c r="S5" s="62" t="s">
        <v>53</v>
      </c>
      <c r="T5" s="62"/>
      <c r="U5" s="62"/>
      <c r="V5" s="62" t="s">
        <v>46</v>
      </c>
      <c r="W5" s="62"/>
      <c r="X5" s="62" t="s">
        <v>139</v>
      </c>
      <c r="Y5" s="62" t="s">
        <v>59</v>
      </c>
      <c r="Z5" s="62" t="s">
        <v>50</v>
      </c>
      <c r="AA5" s="62"/>
      <c r="AB5" s="62" t="s">
        <v>61</v>
      </c>
      <c r="AC5" s="63"/>
    </row>
    <row r="6" spans="1:29" x14ac:dyDescent="0.25">
      <c r="A6" s="62"/>
      <c r="B6" s="64" t="s">
        <v>140</v>
      </c>
      <c r="C6" s="64" t="s">
        <v>141</v>
      </c>
      <c r="D6" s="64" t="s">
        <v>142</v>
      </c>
      <c r="E6" s="64" t="s">
        <v>142</v>
      </c>
      <c r="F6" s="64" t="s">
        <v>143</v>
      </c>
      <c r="G6" s="64" t="s">
        <v>141</v>
      </c>
      <c r="H6" s="64" t="s">
        <v>144</v>
      </c>
      <c r="I6" s="64" t="s">
        <v>143</v>
      </c>
      <c r="J6" s="64" t="s">
        <v>141</v>
      </c>
      <c r="K6" s="64" t="s">
        <v>140</v>
      </c>
      <c r="L6" s="64" t="s">
        <v>145</v>
      </c>
      <c r="M6" s="64" t="s">
        <v>141</v>
      </c>
      <c r="N6" s="64" t="s">
        <v>146</v>
      </c>
      <c r="O6" s="64" t="s">
        <v>147</v>
      </c>
      <c r="P6" s="64" t="s">
        <v>148</v>
      </c>
      <c r="Q6" s="64" t="s">
        <v>149</v>
      </c>
      <c r="R6" s="64" t="s">
        <v>142</v>
      </c>
      <c r="S6" s="64" t="s">
        <v>141</v>
      </c>
      <c r="T6" s="64" t="s">
        <v>150</v>
      </c>
      <c r="U6" s="64" t="s">
        <v>142</v>
      </c>
      <c r="V6" s="64" t="s">
        <v>141</v>
      </c>
      <c r="W6" s="64" t="s">
        <v>142</v>
      </c>
      <c r="X6" s="64" t="s">
        <v>151</v>
      </c>
      <c r="Y6" s="64" t="s">
        <v>141</v>
      </c>
      <c r="Z6" s="64" t="s">
        <v>142</v>
      </c>
      <c r="AA6" s="64" t="s">
        <v>141</v>
      </c>
      <c r="AB6" s="64" t="s">
        <v>152</v>
      </c>
      <c r="AC6" s="63"/>
    </row>
    <row r="7" spans="1:29" x14ac:dyDescent="0.25">
      <c r="A7" s="42" t="s">
        <v>153</v>
      </c>
      <c r="B7" s="65">
        <f>SUMIFS($H$25:$H$58,$A$25:$A$58,"NIVELLEMENT VIA PICI",$E$25:$E$58,"TERASSON – BNI fonds projet")-SUMIFS($H$25:$H$58,$A$25:$A$58,"NIVELLEMENT VIA PICI",$C$25:$C$58,"TERASSON – BNI fonds projet")</f>
      </c>
      <c r="C7" s="65">
        <f>SUMIFS($H$25:$H$58,$A$25:$A$58,"NIVELLEMENT VIA PICI",$E$25:$E$58,"TERASSON – SG")-SUMIFS($H$25:$H$58,$A$25:$A$58,"NIVELLEMENT VIA PICI",$C$25:$C$58,"TERASSON – SG")</f>
      </c>
      <c r="D7" s="65">
        <f>SUMIFS($H$25:$H$58,$A$25:$A$58,"NIVELLEMENT VIA PICI",$E$25:$E$58,"TERASSON – ECO")-SUMIFS($H$25:$H$58,$A$25:$A$58,"NIVELLEMENT VIA PICI",$C$25:$C$58,"TERASSON – ECO")</f>
      </c>
      <c r="E7" s="65">
        <f>SUMIFS($H$25:$H$58,$A$25:$A$58,"NIVELLEMENT VIA PICI",$E$25:$E$58,"PICI – ECO")-SUMIFS($H$25:$H$58,$A$25:$A$58,"NIVELLEMENT VIA PICI",$C$25:$C$58,"PICI – ECO")</f>
      </c>
      <c r="F7" s="65">
        <f>SUMIFS($H$25:$H$58,$A$25:$A$58,"NIVELLEMENT VIA PICI",$E$25:$E$58,"PICI – STB")-SUMIFS($H$25:$H$58,$A$25:$A$58,"NIVELLEMENT VIA PICI",$C$25:$C$58,"PICI – STB")</f>
      </c>
      <c r="G7" s="65">
        <f>SUMIFS($H$25:$H$58,$A$25:$A$58,"NIVELLEMENT VIA PICI",$E$25:$E$58,"PICI – SG")-SUMIFS($H$25:$H$58,$A$25:$A$58,"NIVELLEMENT VIA PICI",$C$25:$C$58,"PICI – SG")</f>
      </c>
      <c r="H7" s="65">
        <f>SUMIFS($H$25:$H$58,$A$25:$A$58,"NIVELLEMENT VIA PICI",$E$25:$E$58,"SCI FIRST – STB Debt Service")-SUMIFS($H$25:$H$58,$A$25:$A$58,"NIVELLEMENT VIA PICI",$C$25:$C$58,"SCI FIRST – STB Debt Service")</f>
      </c>
      <c r="I7" s="65">
        <f>SUMIFS($H$25:$H$58,$A$25:$A$58,"NIVELLEMENT VIA PICI",$E$25:$E$58,"SCI FIRST – STB")-SUMIFS($H$25:$H$58,$A$25:$A$58,"NIVELLEMENT VIA PICI",$C$25:$C$58,"SCI FIRST – STB")</f>
      </c>
      <c r="J7" s="65">
        <f>SUMIFS($H$25:$H$58,$A$25:$A$58,"NIVELLEMENT VIA PICI",$E$25:$E$58,"SCI FIRST – SG")-SUMIFS($H$25:$H$58,$A$25:$A$58,"NIVELLEMENT VIA PICI",$C$25:$C$58,"SCI FIRST – SG")</f>
      </c>
      <c r="K7" s="65">
        <f>SUMIFS($H$25:$H$58,$A$25:$A$58,"NIVELLEMENT VIA PICI",$E$25:$E$58,"RIVIERA PARK – BNI fonds projet")-SUMIFS($H$25:$H$58,$A$25:$A$58,"NIVELLEMENT VIA PICI",$C$25:$C$58,"RIVIERA PARK – BNI fonds projet")</f>
      </c>
      <c r="L7" s="65">
        <f>SUMIFS($H$25:$H$58,$A$25:$A$58,"NIVELLEMENT VIA PICI",$E$25:$E$58,"RIVIERA PARK – BNI courant")-SUMIFS($H$25:$H$58,$A$25:$A$58,"NIVELLEMENT VIA PICI",$C$25:$C$58,"RIVIERA PARK – BNI courant")</f>
      </c>
      <c r="M7" s="65">
        <f>SUMIFS($H$25:$H$58,$A$25:$A$58,"NIVELLEMENT VIA PICI",$E$25:$E$58,"RIVIERA PARK – SG")-SUMIFS($H$25:$H$58,$A$25:$A$58,"NIVELLEMENT VIA PICI",$C$25:$C$58,"RIVIERA PARK – SG")</f>
      </c>
      <c r="N7" s="65">
        <f>SUMIFS($H$25:$H$58,$A$25:$A$58,"NIVELLEMENT VIA PICI",$E$25:$E$58,"SCO AO – BACI Projet")-SUMIFS($H$25:$H$58,$A$25:$A$58,"NIVELLEMENT VIA PICI",$C$25:$C$58,"SCO AO – BACI Projet")</f>
      </c>
      <c r="O7" s="65">
        <f>SUMIFS($H$25:$H$58,$A$25:$A$58,"NIVELLEMENT VIA PICI",$E$25:$E$58,"SCO AO – BACI courant")-SUMIFS($H$25:$H$58,$A$25:$A$58,"NIVELLEMENT VIA PICI",$C$25:$C$58,"SCO AO – BACI courant")</f>
      </c>
      <c r="P7" s="65">
        <f>SUMIFS($H$25:$H$58,$A$25:$A$58,"NIVELLEMENT VIA PICI",$E$25:$E$58,"SCO AO – BOA")-SUMIFS($H$25:$H$58,$A$25:$A$58,"NIVELLEMENT VIA PICI",$C$25:$C$58,"SCO AO – BOA")</f>
      </c>
      <c r="Q7" s="65">
        <f>SUMIFS($H$25:$H$58,$A$25:$A$58,"NIVELLEMENT VIA PICI",$E$25:$E$58,"SCO AO – BACI AGORA")-SUMIFS($H$25:$H$58,$A$25:$A$58,"NIVELLEMENT VIA PICI",$C$25:$C$58,"SCO AO – BACI AGORA")</f>
      </c>
      <c r="R7" s="65">
        <f>SUMIFS($H$25:$H$58,$A$25:$A$58,"NIVELLEMENT VIA PICI",$E$25:$E$58,"SCO AO – ECO")-SUMIFS($H$25:$H$58,$A$25:$A$58,"NIVELLEMENT VIA PICI",$C$25:$C$58,"SCO AO – ECO")</f>
      </c>
      <c r="S7" s="65">
        <f>SUMIFS($H$25:$H$58,$A$25:$A$58,"NIVELLEMENT VIA PICI",$E$25:$E$58,"IMMONEUF – SG")-SUMIFS($H$25:$H$58,$A$25:$A$58,"NIVELLEMENT VIA PICI",$C$25:$C$58,"IMMONEUF – SG")</f>
      </c>
      <c r="T7" s="65">
        <f>SUMIFS($H$25:$H$58,$A$25:$A$58,"NIVELLEMENT VIA PICI",$E$25:$E$58,"IMMONEUF – BACI - IMMONEUF")-SUMIFS($H$25:$H$58,$A$25:$A$58,"NIVELLEMENT VIA PICI",$C$25:$C$58,"IMMONEUF – BACI - IMMONEUF")</f>
      </c>
      <c r="U7" s="65">
        <f>SUMIFS($H$25:$H$58,$A$25:$A$58,"NIVELLEMENT VIA PICI",$E$25:$E$58,"IMMONEUF – ECO")-SUMIFS($H$25:$H$58,$A$25:$A$58,"NIVELLEMENT VIA PICI",$C$25:$C$58,"IMMONEUF – ECO")</f>
      </c>
      <c r="V7" s="65">
        <f>SUMIFS($H$25:$H$58,$A$25:$A$58,"NIVELLEMENT VIA PICI",$E$25:$E$58,"FINAFRICA – SG")-SUMIFS($H$25:$H$58,$A$25:$A$58,"NIVELLEMENT VIA PICI",$C$25:$C$58,"FINAFRICA – SG")</f>
      </c>
      <c r="W7" s="65">
        <f>SUMIFS($H$25:$H$58,$A$25:$A$58,"NIVELLEMENT VIA PICI",$E$25:$E$58,"FINAFRICA – ECO")-SUMIFS($H$25:$H$58,$A$25:$A$58,"NIVELLEMENT VIA PICI",$C$25:$C$58,"FINAFRICA – ECO")</f>
      </c>
      <c r="X7" s="65">
        <f>SUMIFS($H$25:$H$58,$A$25:$A$58,"NIVELLEMENT VIA PICI",$E$25:$E$58,"INFI – SIB")-SUMIFS($H$25:$H$58,$A$25:$A$58,"NIVELLEMENT VIA PICI",$C$25:$C$58,"INFI – SIB")</f>
      </c>
      <c r="Y7" s="65">
        <f>SUMIFS($H$25:$H$58,$A$25:$A$58,"NIVELLEMENT VIA PICI",$E$25:$E$58,"ODALYS CI – SG")-SUMIFS($H$25:$H$58,$A$25:$A$58,"NIVELLEMENT VIA PICI",$C$25:$C$58,"ODALYS CI – SG")</f>
      </c>
      <c r="Z7" s="65">
        <f>SUMIFS($H$25:$H$58,$A$25:$A$58,"NIVELLEMENT VIA PICI",$E$25:$E$58,"AB CENTER – ECO")-SUMIFS($H$25:$H$58,$A$25:$A$58,"NIVELLEMENT VIA PICI",$C$25:$C$58,"AB CENTER – ECO")</f>
      </c>
      <c r="AA7" s="65">
        <f>SUMIFS($H$25:$H$58,$A$25:$A$58,"NIVELLEMENT VIA PICI",$E$25:$E$58,"AB CENTER – SG")-SUMIFS($H$25:$H$58,$A$25:$A$58,"NIVELLEMENT VIA PICI",$C$25:$C$58,"AB CENTER – SG")</f>
      </c>
      <c r="AB7" s="65">
        <f>SUMIFS($H$25:$H$58,$A$25:$A$58,"NIVELLEMENT VIA PICI",$E$25:$E$58,"RHD CI – payé par PICI")-SUMIFS($H$25:$H$58,$A$25:$A$58,"NIVELLEMENT VIA PICI",$C$25:$C$58,"RHD CI – payé par PICI")</f>
      </c>
      <c r="AC7" s="66" t="s">
        <v>154</v>
      </c>
    </row>
    <row r="8" spans="1:29" x14ac:dyDescent="0.25">
      <c r="A8" s="42" t="s">
        <v>155</v>
      </c>
      <c r="B8" s="65">
        <f>SUMIFS($H$25:$H$58,$A$25:$A$58,"AUTRES NIVELLEMENTS",$E$25:$E$58,"TERASSON – BNI fonds projet")-SUMIFS($H$25:$H$58,$A$25:$A$58,"AUTRES NIVELLEMENTS",$C$25:$C$58,"TERASSON – BNI fonds projet")</f>
      </c>
      <c r="C8" s="65">
        <f>SUMIFS($H$25:$H$58,$A$25:$A$58,"AUTRES NIVELLEMENTS",$E$25:$E$58,"TERASSON – SG")-SUMIFS($H$25:$H$58,$A$25:$A$58,"AUTRES NIVELLEMENTS",$C$25:$C$58,"TERASSON – SG")</f>
      </c>
      <c r="D8" s="65">
        <f>SUMIFS($H$25:$H$58,$A$25:$A$58,"AUTRES NIVELLEMENTS",$E$25:$E$58,"TERASSON – ECO")-SUMIFS($H$25:$H$58,$A$25:$A$58,"AUTRES NIVELLEMENTS",$C$25:$C$58,"TERASSON – ECO")</f>
      </c>
      <c r="E8" s="65">
        <f>SUMIFS($H$25:$H$58,$A$25:$A$58,"AUTRES NIVELLEMENTS",$E$25:$E$58,"PICI – ECO")-SUMIFS($H$25:$H$58,$A$25:$A$58,"AUTRES NIVELLEMENTS",$C$25:$C$58,"PICI – ECO")</f>
      </c>
      <c r="F8" s="65">
        <f>SUMIFS($H$25:$H$58,$A$25:$A$58,"AUTRES NIVELLEMENTS",$E$25:$E$58,"PICI – STB")-SUMIFS($H$25:$H$58,$A$25:$A$58,"AUTRES NIVELLEMENTS",$C$25:$C$58,"PICI – STB")</f>
      </c>
      <c r="G8" s="65">
        <f>SUMIFS($H$25:$H$58,$A$25:$A$58,"AUTRES NIVELLEMENTS",$E$25:$E$58,"PICI – SG")-SUMIFS($H$25:$H$58,$A$25:$A$58,"AUTRES NIVELLEMENTS",$C$25:$C$58,"PICI – SG")</f>
      </c>
      <c r="H8" s="65">
        <f>SUMIFS($H$25:$H$58,$A$25:$A$58,"AUTRES NIVELLEMENTS",$E$25:$E$58,"SCI FIRST – STB Debt Service")-SUMIFS($H$25:$H$58,$A$25:$A$58,"AUTRES NIVELLEMENTS",$C$25:$C$58,"SCI FIRST – STB Debt Service")</f>
      </c>
      <c r="I8" s="65">
        <f>SUMIFS($H$25:$H$58,$A$25:$A$58,"AUTRES NIVELLEMENTS",$E$25:$E$58,"SCI FIRST – STB")-SUMIFS($H$25:$H$58,$A$25:$A$58,"AUTRES NIVELLEMENTS",$C$25:$C$58,"SCI FIRST – STB")</f>
      </c>
      <c r="J8" s="65">
        <f>SUMIFS($H$25:$H$58,$A$25:$A$58,"AUTRES NIVELLEMENTS",$E$25:$E$58,"SCI FIRST – SG")-SUMIFS($H$25:$H$58,$A$25:$A$58,"AUTRES NIVELLEMENTS",$C$25:$C$58,"SCI FIRST – SG")</f>
      </c>
      <c r="K8" s="65">
        <f>SUMIFS($H$25:$H$58,$A$25:$A$58,"AUTRES NIVELLEMENTS",$E$25:$E$58,"RIVIERA PARK – BNI fonds projet")-SUMIFS($H$25:$H$58,$A$25:$A$58,"AUTRES NIVELLEMENTS",$C$25:$C$58,"RIVIERA PARK – BNI fonds projet")</f>
      </c>
      <c r="L8" s="65">
        <f>SUMIFS($H$25:$H$58,$A$25:$A$58,"AUTRES NIVELLEMENTS",$E$25:$E$58,"RIVIERA PARK – BNI courant")-SUMIFS($H$25:$H$58,$A$25:$A$58,"AUTRES NIVELLEMENTS",$C$25:$C$58,"RIVIERA PARK – BNI courant")</f>
      </c>
      <c r="M8" s="65">
        <f>SUMIFS($H$25:$H$58,$A$25:$A$58,"AUTRES NIVELLEMENTS",$E$25:$E$58,"RIVIERA PARK – SG")-SUMIFS($H$25:$H$58,$A$25:$A$58,"AUTRES NIVELLEMENTS",$C$25:$C$58,"RIVIERA PARK – SG")</f>
      </c>
      <c r="N8" s="65">
        <f>SUMIFS($H$25:$H$58,$A$25:$A$58,"AUTRES NIVELLEMENTS",$E$25:$E$58,"SCO AO – BACI Projet")-SUMIFS($H$25:$H$58,$A$25:$A$58,"AUTRES NIVELLEMENTS",$C$25:$C$58,"SCO AO – BACI Projet")</f>
      </c>
      <c r="O8" s="65">
        <f>SUMIFS($H$25:$H$58,$A$25:$A$58,"AUTRES NIVELLEMENTS",$E$25:$E$58,"SCO AO – BACI courant")-SUMIFS($H$25:$H$58,$A$25:$A$58,"AUTRES NIVELLEMENTS",$C$25:$C$58,"SCO AO – BACI courant")</f>
      </c>
      <c r="P8" s="65">
        <f>SUMIFS($H$25:$H$58,$A$25:$A$58,"AUTRES NIVELLEMENTS",$E$25:$E$58,"SCO AO – BOA")-SUMIFS($H$25:$H$58,$A$25:$A$58,"AUTRES NIVELLEMENTS",$C$25:$C$58,"SCO AO – BOA")</f>
      </c>
      <c r="Q8" s="65">
        <f>SUMIFS($H$25:$H$58,$A$25:$A$58,"AUTRES NIVELLEMENTS",$E$25:$E$58,"SCO AO – BACI AGORA")-SUMIFS($H$25:$H$58,$A$25:$A$58,"AUTRES NIVELLEMENTS",$C$25:$C$58,"SCO AO – BACI AGORA")</f>
      </c>
      <c r="R8" s="65">
        <f>SUMIFS($H$25:$H$58,$A$25:$A$58,"AUTRES NIVELLEMENTS",$E$25:$E$58,"SCO AO – ECO")-SUMIFS($H$25:$H$58,$A$25:$A$58,"AUTRES NIVELLEMENTS",$C$25:$C$58,"SCO AO – ECO")</f>
      </c>
      <c r="S8" s="65">
        <f>SUMIFS($H$25:$H$58,$A$25:$A$58,"AUTRES NIVELLEMENTS",$E$25:$E$58,"IMMONEUF – SG")-SUMIFS($H$25:$H$58,$A$25:$A$58,"AUTRES NIVELLEMENTS",$C$25:$C$58,"IMMONEUF – SG")</f>
      </c>
      <c r="T8" s="65">
        <f>SUMIFS($H$25:$H$58,$A$25:$A$58,"AUTRES NIVELLEMENTS",$E$25:$E$58,"IMMONEUF – BACI - IMMONEUF")-SUMIFS($H$25:$H$58,$A$25:$A$58,"AUTRES NIVELLEMENTS",$C$25:$C$58,"IMMONEUF – BACI - IMMONEUF")</f>
      </c>
      <c r="U8" s="65">
        <f>SUMIFS($H$25:$H$58,$A$25:$A$58,"AUTRES NIVELLEMENTS",$E$25:$E$58,"IMMONEUF – ECO")-SUMIFS($H$25:$H$58,$A$25:$A$58,"AUTRES NIVELLEMENTS",$C$25:$C$58,"IMMONEUF – ECO")</f>
      </c>
      <c r="V8" s="65">
        <f>SUMIFS($H$25:$H$58,$A$25:$A$58,"AUTRES NIVELLEMENTS",$E$25:$E$58,"FINAFRICA – SG")-SUMIFS($H$25:$H$58,$A$25:$A$58,"AUTRES NIVELLEMENTS",$C$25:$C$58,"FINAFRICA – SG")</f>
      </c>
      <c r="W8" s="65">
        <f>SUMIFS($H$25:$H$58,$A$25:$A$58,"AUTRES NIVELLEMENTS",$E$25:$E$58,"FINAFRICA – ECO")-SUMIFS($H$25:$H$58,$A$25:$A$58,"AUTRES NIVELLEMENTS",$C$25:$C$58,"FINAFRICA – ECO")</f>
      </c>
      <c r="X8" s="65">
        <f>SUMIFS($H$25:$H$58,$A$25:$A$58,"AUTRES NIVELLEMENTS",$E$25:$E$58,"INFI – SIB")-SUMIFS($H$25:$H$58,$A$25:$A$58,"AUTRES NIVELLEMENTS",$C$25:$C$58,"INFI – SIB")</f>
      </c>
      <c r="Y8" s="65">
        <f>SUMIFS($H$25:$H$58,$A$25:$A$58,"AUTRES NIVELLEMENTS",$E$25:$E$58,"ODALYS CI – SG")-SUMIFS($H$25:$H$58,$A$25:$A$58,"AUTRES NIVELLEMENTS",$C$25:$C$58,"ODALYS CI – SG")</f>
      </c>
      <c r="Z8" s="65">
        <f>SUMIFS($H$25:$H$58,$A$25:$A$58,"AUTRES NIVELLEMENTS",$E$25:$E$58,"AB CENTER – ECO")-SUMIFS($H$25:$H$58,$A$25:$A$58,"AUTRES NIVELLEMENTS",$C$25:$C$58,"AB CENTER – ECO")</f>
      </c>
      <c r="AA8" s="65">
        <f>SUMIFS($H$25:$H$58,$A$25:$A$58,"AUTRES NIVELLEMENTS",$E$25:$E$58,"AB CENTER – SG")-SUMIFS($H$25:$H$58,$A$25:$A$58,"AUTRES NIVELLEMENTS",$C$25:$C$58,"AB CENTER – SG")</f>
      </c>
      <c r="AB8" s="65">
        <f>SUMIFS($H$25:$H$58,$A$25:$A$58,"AUTRES NIVELLEMENTS",$E$25:$E$58,"RHD CI – payé par PICI")-SUMIFS($H$25:$H$58,$A$25:$A$58,"AUTRES NIVELLEMENTS",$C$25:$C$58,"RHD CI – payé par PICI")</f>
      </c>
      <c r="AC8" s="66" t="s">
        <v>156</v>
      </c>
    </row>
    <row r="9" spans="1:29" x14ac:dyDescent="0.25">
      <c r="A9" s="42" t="s">
        <v>157</v>
      </c>
      <c r="B9" s="65">
        <f>SUMIFS('Détail projets &amp; dettes'!$I$5:$I$500,'Détail projets &amp; dettes'!$A$5:$A$500,"S1",'Détail projets &amp; dettes'!$B$5:$B$500,"TERASSON-PROJET",'Détail projets &amp; dettes'!$J$5:$J$500,"O")</f>
      </c>
      <c r="C9" s="65">
        <f>SUMIFS('Détail fonctionnement'!$E$5:$E$500,'Détail fonctionnement'!$A$5:$A$500,"S1",'Détail fonctionnement'!$B$5:$B$500,"TERASSON",'Détail fonctionnement'!$C$5:$C$500,"FOURNISSEURS - PROJET",'Détail fonctionnement'!$G$5:$G$500,"O")</f>
      </c>
      <c r="D9" s="65"/>
      <c r="E9" s="65">
        <f>SUMIFS('Détail fonctionnement'!$E$5:$E$500,'Détail fonctionnement'!$A$5:$A$500,"S1",'Détail fonctionnement'!$B$5:$B$500,"PICI",'Détail fonctionnement'!$C$5:$C$500,"FOURNISSEURS - PROJET",'Détail fonctionnement'!$G$5:$G$500,"O")</f>
      </c>
      <c r="F9" s="65"/>
      <c r="G9" s="65"/>
      <c r="H9" s="65"/>
      <c r="I9" s="65">
        <f>SUMIFS('Détail fonctionnement'!$E$5:$E$500,'Détail fonctionnement'!$A$5:$A$500,"S1",'Détail fonctionnement'!$B$5:$B$500,"FIRST",'Détail fonctionnement'!$C$5:$C$500,"FOURNISSEURS - PROJET",'Détail fonctionnement'!$G$5:$G$500,"O")</f>
      </c>
      <c r="J9" s="65"/>
      <c r="K9" s="65">
        <f>SUMIFS('Détail projets &amp; dettes'!$I$5:$I$500,'Détail projets &amp; dettes'!$A$5:$A$500,"S1",'Détail projets &amp; dettes'!$B$5:$B$500,"RIVIERA-PROJET",'Détail projets &amp; dettes'!$J$5:$J$500,"O")</f>
      </c>
      <c r="L9" s="65"/>
      <c r="M9" s="65">
        <f>SUMIFS('Détail fonctionnement'!$E$5:$E$500,'Détail fonctionnement'!$A$5:$A$500,"S1",'Détail fonctionnement'!$B$5:$B$500,"RIVIERA",'Détail fonctionnement'!$C$5:$C$500,"FOURNISSEURS - PROJET",'Détail fonctionnement'!$G$5:$G$500,"O")</f>
      </c>
      <c r="N9" s="65">
        <f>SUMIFS('Détail fonctionnement'!$E$5:$E$500,'Détail fonctionnement'!$A$5:$A$500,"S1",'Détail fonctionnement'!$B$5:$B$500,"SCO AO",'Détail fonctionnement'!$C$5:$C$500,"FOURNISSEURS - PROJET",'Détail fonctionnement'!$G$5:$G$500,"O")</f>
      </c>
      <c r="O9" s="65"/>
      <c r="P9" s="65"/>
      <c r="Q9" s="65"/>
      <c r="R9" s="65"/>
      <c r="S9" s="65">
        <f>SUMIFS('Détail fonctionnement'!$E$5:$E$500,'Détail fonctionnement'!$A$5:$A$500,"S1",'Détail fonctionnement'!$B$5:$B$500,"IMMONEUF",'Détail fonctionnement'!$C$5:$C$500,"FOURNISSEURS - PROJET",'Détail fonctionnement'!$G$5:$G$500,"O")</f>
      </c>
      <c r="T9" s="65"/>
      <c r="U9" s="65"/>
      <c r="V9" s="65">
        <f>SUMIFS('Détail fonctionnement'!$E$5:$E$500,'Détail fonctionnement'!$A$5:$A$500,"S1",'Détail fonctionnement'!$B$5:$B$500,"FINAFRICA",'Détail fonctionnement'!$C$5:$C$500,"FOURNISSEURS - PROJET",'Détail fonctionnement'!$G$5:$G$500,"O")</f>
      </c>
      <c r="W9" s="65"/>
      <c r="X9" s="65">
        <f>SUMIFS('Détail fonctionnement'!$E$5:$E$500,'Détail fonctionnement'!$A$5:$A$500,"S1",'Détail fonctionnement'!$B$5:$B$500,"INFI SOFT",'Détail fonctionnement'!$C$5:$C$500,"FOURNISSEURS - PROJET",'Détail fonctionnement'!$G$5:$G$500,"O")</f>
      </c>
      <c r="Y9" s="65">
        <f>SUMIFS('Détail fonctionnement'!$E$5:$E$500,'Détail fonctionnement'!$A$5:$A$500,"S1",'Détail fonctionnement'!$B$5:$B$500,"ODALYS CI",'Détail fonctionnement'!$C$5:$C$500,"FOURNISSEURS - PROJET",'Détail fonctionnement'!$G$5:$G$500,"O")</f>
      </c>
      <c r="Z9" s="65">
        <f>SUMIFS('Détail fonctionnement'!$E$5:$E$500,'Détail fonctionnement'!$A$5:$A$500,"S1",'Détail fonctionnement'!$B$5:$B$500,"AB CENTER",'Détail fonctionnement'!$C$5:$C$500,"FOURNISSEURS - PROJET",'Détail fonctionnement'!$G$5:$G$500,"O")</f>
      </c>
      <c r="AA9" s="65"/>
      <c r="AB9" s="65">
        <f>SUMIFS('Détail fonctionnement'!$E$5:$E$500,'Détail fonctionnement'!$A$5:$A$500,"S1",'Détail fonctionnement'!$B$5:$B$500,"RHD CI",'Détail fonctionnement'!$C$5:$C$500,"FOURNISSEURS - PROJET",'Détail fonctionnement'!$G$5:$G$500,"O")</f>
      </c>
      <c r="AC9" s="66" t="s">
        <v>158</v>
      </c>
    </row>
    <row r="10" spans="1:29" x14ac:dyDescent="0.25">
      <c r="A10" s="42" t="s">
        <v>159</v>
      </c>
      <c r="B10" s="65"/>
      <c r="C10" s="65">
        <f>SUMIFS('Détail fonctionnement'!$E$5:$E$500,'Détail fonctionnement'!$A$5:$A$500,"S1",'Détail fonctionnement'!$B$5:$B$500,"TERASSON",'Détail fonctionnement'!$C$5:$C$500,"FOURNISSEURS - FGX",'Détail fonctionnement'!$G$5:$G$500,"O")</f>
      </c>
      <c r="D10" s="65"/>
      <c r="E10" s="65">
        <f>SUMIFS('Détail fonctionnement'!$E$5:$E$500,'Détail fonctionnement'!$A$5:$A$500,"S1",'Détail fonctionnement'!$B$5:$B$500,"PICI",'Détail fonctionnement'!$C$5:$C$500,"FOURNISSEURS - FGX",'Détail fonctionnement'!$G$5:$G$500,"O")</f>
      </c>
      <c r="F10" s="65"/>
      <c r="G10" s="65"/>
      <c r="H10" s="65"/>
      <c r="I10" s="65">
        <f>SUMIFS('Détail fonctionnement'!$E$5:$E$500,'Détail fonctionnement'!$A$5:$A$500,"S1",'Détail fonctionnement'!$B$5:$B$500,"FIRST",'Détail fonctionnement'!$C$5:$C$500,"FOURNISSEURS - FGX",'Détail fonctionnement'!$G$5:$G$500,"O")</f>
      </c>
      <c r="J10" s="65"/>
      <c r="K10" s="65"/>
      <c r="L10" s="65"/>
      <c r="M10" s="65">
        <f>SUMIFS('Détail fonctionnement'!$E$5:$E$500,'Détail fonctionnement'!$A$5:$A$500,"S1",'Détail fonctionnement'!$B$5:$B$500,"RIVIERA",'Détail fonctionnement'!$C$5:$C$500,"FOURNISSEURS - FGX",'Détail fonctionnement'!$G$5:$G$500,"O")</f>
      </c>
      <c r="N10" s="65"/>
      <c r="O10" s="65">
        <f>SUMIFS('Détail fonctionnement'!$E$5:$E$500,'Détail fonctionnement'!$A$5:$A$500,"S1",'Détail fonctionnement'!$B$5:$B$500,"SCO AO",'Détail fonctionnement'!$C$5:$C$500,"FOURNISSEURS - FGX",'Détail fonctionnement'!$G$5:$G$500,"O")</f>
      </c>
      <c r="P10" s="65"/>
      <c r="Q10" s="65"/>
      <c r="R10" s="65"/>
      <c r="S10" s="65">
        <f>SUMIFS('Détail fonctionnement'!$E$5:$E$500,'Détail fonctionnement'!$A$5:$A$500,"S1",'Détail fonctionnement'!$B$5:$B$500,"IMMONEUF",'Détail fonctionnement'!$C$5:$C$500,"FOURNISSEURS - FGX",'Détail fonctionnement'!$G$5:$G$500,"O")</f>
      </c>
      <c r="T10" s="65"/>
      <c r="U10" s="65"/>
      <c r="V10" s="65">
        <f>SUMIFS('Détail fonctionnement'!$E$5:$E$500,'Détail fonctionnement'!$A$5:$A$500,"S1",'Détail fonctionnement'!$B$5:$B$500,"FINAFRICA",'Détail fonctionnement'!$C$5:$C$500,"FOURNISSEURS - FGX",'Détail fonctionnement'!$G$5:$G$500,"O")</f>
      </c>
      <c r="W10" s="65"/>
      <c r="X10" s="65">
        <f>SUMIFS('Détail fonctionnement'!$E$5:$E$500,'Détail fonctionnement'!$A$5:$A$500,"S1",'Détail fonctionnement'!$B$5:$B$500,"INFI SOFT",'Détail fonctionnement'!$C$5:$C$500,"FOURNISSEURS - FGX",'Détail fonctionnement'!$G$5:$G$500,"O")</f>
      </c>
      <c r="Y10" s="65">
        <f>SUMIFS('Détail fonctionnement'!$E$5:$E$500,'Détail fonctionnement'!$A$5:$A$500,"S1",'Détail fonctionnement'!$B$5:$B$500,"ODALYS CI",'Détail fonctionnement'!$C$5:$C$500,"FOURNISSEURS - FGX",'Détail fonctionnement'!$G$5:$G$500,"O")</f>
      </c>
      <c r="Z10" s="65">
        <f>SUMIFS('Détail fonctionnement'!$E$5:$E$500,'Détail fonctionnement'!$A$5:$A$500,"S1",'Détail fonctionnement'!$B$5:$B$500,"AB CENTER",'Détail fonctionnement'!$C$5:$C$500,"FOURNISSEURS - FGX",'Détail fonctionnement'!$G$5:$G$500,"O")</f>
      </c>
      <c r="AA10" s="65"/>
      <c r="AB10" s="65">
        <f>SUMIFS('Détail fonctionnement'!$E$5:$E$500,'Détail fonctionnement'!$A$5:$A$500,"S1",'Détail fonctionnement'!$B$5:$B$500,"RHD CI",'Détail fonctionnement'!$C$5:$C$500,"FOURNISSEURS - FGX",'Détail fonctionnement'!$G$5:$G$500,"O")</f>
      </c>
      <c r="AC10" s="66" t="s">
        <v>18</v>
      </c>
    </row>
    <row r="11" spans="1:29" x14ac:dyDescent="0.25">
      <c r="A11" s="42" t="s">
        <v>160</v>
      </c>
      <c r="B11" s="67"/>
      <c r="C11" s="67">
        <f>SUMIFS('Détail fonctionnement'!$E$5:$E$500,'Détail fonctionnement'!$A$5:$A$500,"S1",'Détail fonctionnement'!$B$5:$B$500,"TERASSON",'Détail fonctionnement'!$C$5:$C$500,"IMPÔTS ET TAXES",'Détail fonctionnement'!$G$5:$G$500,"O")</f>
      </c>
      <c r="D11" s="67"/>
      <c r="E11" s="67">
        <f>SUMIFS('Détail fonctionnement'!$E$5:$E$500,'Détail fonctionnement'!$A$5:$A$500,"S1",'Détail fonctionnement'!$B$5:$B$500,"PICI",'Détail fonctionnement'!$C$5:$C$500,"IMPÔTS ET TAXES",'Détail fonctionnement'!$G$5:$G$500,"O")</f>
      </c>
      <c r="F11" s="67"/>
      <c r="G11" s="67"/>
      <c r="H11" s="67"/>
      <c r="I11" s="67">
        <f>SUMIFS('Détail fonctionnement'!$E$5:$E$500,'Détail fonctionnement'!$A$5:$A$500,"S1",'Détail fonctionnement'!$B$5:$B$500,"FIRST",'Détail fonctionnement'!$C$5:$C$500,"IMPÔTS ET TAXES",'Détail fonctionnement'!$G$5:$G$500,"O")</f>
      </c>
      <c r="J11" s="67"/>
      <c r="K11" s="67"/>
      <c r="L11" s="67"/>
      <c r="M11" s="67">
        <f>SUMIFS('Détail fonctionnement'!$E$5:$E$500,'Détail fonctionnement'!$A$5:$A$500,"S1",'Détail fonctionnement'!$B$5:$B$500,"RIVIERA",'Détail fonctionnement'!$C$5:$C$500,"IMPÔTS ET TAXES",'Détail fonctionnement'!$G$5:$G$500,"O")</f>
      </c>
      <c r="N11" s="67"/>
      <c r="O11" s="67">
        <f>SUMIFS('Détail fonctionnement'!$E$5:$E$500,'Détail fonctionnement'!$A$5:$A$500,"S1",'Détail fonctionnement'!$B$5:$B$500,"SCO AO",'Détail fonctionnement'!$C$5:$C$500,"IMPÔTS ET TAXES",'Détail fonctionnement'!$G$5:$G$500,"O")</f>
      </c>
      <c r="P11" s="67"/>
      <c r="Q11" s="67"/>
      <c r="R11" s="67"/>
      <c r="S11" s="67">
        <f>SUMIFS('Détail fonctionnement'!$E$5:$E$500,'Détail fonctionnement'!$A$5:$A$500,"S1",'Détail fonctionnement'!$B$5:$B$500,"IMMONEUF",'Détail fonctionnement'!$C$5:$C$500,"IMPÔTS ET TAXES",'Détail fonctionnement'!$G$5:$G$500,"O")</f>
      </c>
      <c r="T11" s="67"/>
      <c r="U11" s="67"/>
      <c r="V11" s="67">
        <f>SUMIFS('Détail fonctionnement'!$E$5:$E$500,'Détail fonctionnement'!$A$5:$A$500,"S1",'Détail fonctionnement'!$B$5:$B$500,"FINAFRICA",'Détail fonctionnement'!$C$5:$C$500,"IMPÔTS ET TAXES",'Détail fonctionnement'!$G$5:$G$500,"O")</f>
      </c>
      <c r="W11" s="67"/>
      <c r="X11" s="67">
        <f>SUMIFS('Détail fonctionnement'!$E$5:$E$500,'Détail fonctionnement'!$A$5:$A$500,"S1",'Détail fonctionnement'!$B$5:$B$500,"INFI SOFT",'Détail fonctionnement'!$C$5:$C$500,"IMPÔTS ET TAXES",'Détail fonctionnement'!$G$5:$G$500,"O")</f>
      </c>
      <c r="Y11" s="67">
        <f>SUMIFS('Détail fonctionnement'!$E$5:$E$500,'Détail fonctionnement'!$A$5:$A$500,"S1",'Détail fonctionnement'!$B$5:$B$500,"ODALYS CI",'Détail fonctionnement'!$C$5:$C$500,"IMPÔTS ET TAXES",'Détail fonctionnement'!$G$5:$G$500,"O")</f>
      </c>
      <c r="Z11" s="67">
        <f>SUMIFS('Détail fonctionnement'!$E$5:$E$500,'Détail fonctionnement'!$A$5:$A$500,"S1",'Détail fonctionnement'!$B$5:$B$500,"AB CENTER",'Détail fonctionnement'!$C$5:$C$500,"IMPÔTS ET TAXES",'Détail fonctionnement'!$G$5:$G$500,"O")</f>
      </c>
      <c r="AA11" s="67"/>
      <c r="AB11" s="67">
        <f>SUMIFS('Détail fonctionnement'!$E$5:$E$500,'Détail fonctionnement'!$A$5:$A$500,"S1",'Détail fonctionnement'!$B$5:$B$500,"RHD CI",'Détail fonctionnement'!$C$5:$C$500,"IMPÔTS ET TAXES",'Détail fonctionnement'!$G$5:$G$500,"O")</f>
      </c>
      <c r="AC11" s="66" t="s">
        <v>18</v>
      </c>
    </row>
    <row r="12" spans="1:29" x14ac:dyDescent="0.25">
      <c r="A12" s="42" t="s">
        <v>109</v>
      </c>
      <c r="B12" s="67"/>
      <c r="C12" s="67">
        <f>SUMIFS('Détail fonctionnement'!$E$5:$E$500,'Détail fonctionnement'!$A$5:$A$500,"S1",'Détail fonctionnement'!$B$5:$B$500,"TERASSON",'Détail fonctionnement'!$C$5:$C$500,"CHARGES SOCIALES",'Détail fonctionnement'!$G$5:$G$500,"O")</f>
      </c>
      <c r="D12" s="67"/>
      <c r="E12" s="67">
        <f>SUMIFS('Détail fonctionnement'!$E$5:$E$500,'Détail fonctionnement'!$A$5:$A$500,"S1",'Détail fonctionnement'!$B$5:$B$500,"PICI",'Détail fonctionnement'!$C$5:$C$500,"CHARGES SOCIALES",'Détail fonctionnement'!$G$5:$G$500,"O")</f>
      </c>
      <c r="F12" s="67"/>
      <c r="G12" s="67"/>
      <c r="H12" s="67"/>
      <c r="I12" s="67">
        <f>SUMIFS('Détail fonctionnement'!$E$5:$E$500,'Détail fonctionnement'!$A$5:$A$500,"S1",'Détail fonctionnement'!$B$5:$B$500,"FIRST",'Détail fonctionnement'!$C$5:$C$500,"CHARGES SOCIALES",'Détail fonctionnement'!$G$5:$G$500,"O")</f>
      </c>
      <c r="J12" s="67"/>
      <c r="K12" s="67"/>
      <c r="L12" s="67"/>
      <c r="M12" s="67">
        <f>SUMIFS('Détail fonctionnement'!$E$5:$E$500,'Détail fonctionnement'!$A$5:$A$500,"S1",'Détail fonctionnement'!$B$5:$B$500,"RIVIERA",'Détail fonctionnement'!$C$5:$C$500,"CHARGES SOCIALES",'Détail fonctionnement'!$G$5:$G$500,"O")</f>
      </c>
      <c r="N12" s="67"/>
      <c r="O12" s="67">
        <f>SUMIFS('Détail fonctionnement'!$E$5:$E$500,'Détail fonctionnement'!$A$5:$A$500,"S1",'Détail fonctionnement'!$B$5:$B$500,"SCO AO",'Détail fonctionnement'!$C$5:$C$500,"CHARGES SOCIALES",'Détail fonctionnement'!$G$5:$G$500,"O")</f>
      </c>
      <c r="P12" s="67"/>
      <c r="Q12" s="67"/>
      <c r="R12" s="67"/>
      <c r="S12" s="67">
        <f>SUMIFS('Détail fonctionnement'!$E$5:$E$500,'Détail fonctionnement'!$A$5:$A$500,"S1",'Détail fonctionnement'!$B$5:$B$500,"IMMONEUF",'Détail fonctionnement'!$C$5:$C$500,"CHARGES SOCIALES",'Détail fonctionnement'!$G$5:$G$500,"O")</f>
      </c>
      <c r="T12" s="67"/>
      <c r="U12" s="67"/>
      <c r="V12" s="67">
        <f>SUMIFS('Détail fonctionnement'!$E$5:$E$500,'Détail fonctionnement'!$A$5:$A$500,"S1",'Détail fonctionnement'!$B$5:$B$500,"FINAFRICA",'Détail fonctionnement'!$C$5:$C$500,"CHARGES SOCIALES",'Détail fonctionnement'!$G$5:$G$500,"O")</f>
      </c>
      <c r="W12" s="67"/>
      <c r="X12" s="67">
        <f>SUMIFS('Détail fonctionnement'!$E$5:$E$500,'Détail fonctionnement'!$A$5:$A$500,"S1",'Détail fonctionnement'!$B$5:$B$500,"INFI SOFT",'Détail fonctionnement'!$C$5:$C$500,"CHARGES SOCIALES",'Détail fonctionnement'!$G$5:$G$500,"O")</f>
      </c>
      <c r="Y12" s="67">
        <f>SUMIFS('Détail fonctionnement'!$E$5:$E$500,'Détail fonctionnement'!$A$5:$A$500,"S1",'Détail fonctionnement'!$B$5:$B$500,"ODALYS CI",'Détail fonctionnement'!$C$5:$C$500,"CHARGES SOCIALES",'Détail fonctionnement'!$G$5:$G$500,"O")</f>
      </c>
      <c r="Z12" s="67">
        <f>SUMIFS('Détail fonctionnement'!$E$5:$E$500,'Détail fonctionnement'!$A$5:$A$500,"S1",'Détail fonctionnement'!$B$5:$B$500,"AB CENTER",'Détail fonctionnement'!$C$5:$C$500,"CHARGES SOCIALES",'Détail fonctionnement'!$G$5:$G$500,"O")</f>
      </c>
      <c r="AA12" s="67"/>
      <c r="AB12" s="67">
        <f>SUMIFS('Détail fonctionnement'!$E$5:$E$500,'Détail fonctionnement'!$A$5:$A$500,"S1",'Détail fonctionnement'!$B$5:$B$500,"RHD CI",'Détail fonctionnement'!$C$5:$C$500,"CHARGES SOCIALES",'Détail fonctionnement'!$G$5:$G$500,"O")</f>
      </c>
      <c r="AC12" s="66" t="s">
        <v>18</v>
      </c>
    </row>
    <row r="13" spans="1:29" x14ac:dyDescent="0.25">
      <c r="A13" s="42" t="s">
        <v>111</v>
      </c>
      <c r="B13" s="67"/>
      <c r="C13" s="67">
        <f>SUMIFS('Détail fonctionnement'!$E$5:$E$500,'Détail fonctionnement'!$A$5:$A$500,"S1",'Détail fonctionnement'!$B$5:$B$500,"TERASSON",'Détail fonctionnement'!$C$5:$C$500,"SALAIRES",'Détail fonctionnement'!$G$5:$G$500,"O")</f>
      </c>
      <c r="D13" s="67"/>
      <c r="E13" s="67">
        <f>SUMIFS('Détail fonctionnement'!$E$5:$E$500,'Détail fonctionnement'!$A$5:$A$500,"S1",'Détail fonctionnement'!$B$5:$B$500,"PICI",'Détail fonctionnement'!$C$5:$C$500,"SALAIRES",'Détail fonctionnement'!$G$5:$G$500,"O")</f>
      </c>
      <c r="F13" s="67"/>
      <c r="G13" s="67"/>
      <c r="H13" s="67"/>
      <c r="I13" s="67">
        <f>SUMIFS('Détail fonctionnement'!$E$5:$E$500,'Détail fonctionnement'!$A$5:$A$500,"S1",'Détail fonctionnement'!$B$5:$B$500,"FIRST",'Détail fonctionnement'!$C$5:$C$500,"SALAIRES",'Détail fonctionnement'!$G$5:$G$500,"O")</f>
      </c>
      <c r="J13" s="67"/>
      <c r="K13" s="67"/>
      <c r="L13" s="67"/>
      <c r="M13" s="67">
        <f>SUMIFS('Détail fonctionnement'!$E$5:$E$500,'Détail fonctionnement'!$A$5:$A$500,"S1",'Détail fonctionnement'!$B$5:$B$500,"RIVIERA",'Détail fonctionnement'!$C$5:$C$500,"SALAIRES",'Détail fonctionnement'!$G$5:$G$500,"O")</f>
      </c>
      <c r="N13" s="67"/>
      <c r="O13" s="67">
        <f>SUMIFS('Détail fonctionnement'!$E$5:$E$500,'Détail fonctionnement'!$A$5:$A$500,"S1",'Détail fonctionnement'!$B$5:$B$500,"SCO AO",'Détail fonctionnement'!$C$5:$C$500,"SALAIRES",'Détail fonctionnement'!$G$5:$G$500,"O")</f>
      </c>
      <c r="P13" s="67"/>
      <c r="Q13" s="67"/>
      <c r="R13" s="67"/>
      <c r="S13" s="67">
        <f>SUMIFS('Détail fonctionnement'!$E$5:$E$500,'Détail fonctionnement'!$A$5:$A$500,"S1",'Détail fonctionnement'!$B$5:$B$500,"IMMONEUF",'Détail fonctionnement'!$C$5:$C$500,"SALAIRES",'Détail fonctionnement'!$G$5:$G$500,"O")</f>
      </c>
      <c r="T13" s="67"/>
      <c r="U13" s="67"/>
      <c r="V13" s="67">
        <f>SUMIFS('Détail fonctionnement'!$E$5:$E$500,'Détail fonctionnement'!$A$5:$A$500,"S1",'Détail fonctionnement'!$B$5:$B$500,"FINAFRICA",'Détail fonctionnement'!$C$5:$C$500,"SALAIRES",'Détail fonctionnement'!$G$5:$G$500,"O")</f>
      </c>
      <c r="W13" s="67"/>
      <c r="X13" s="67">
        <f>SUMIFS('Détail fonctionnement'!$E$5:$E$500,'Détail fonctionnement'!$A$5:$A$500,"S1",'Détail fonctionnement'!$B$5:$B$500,"INFI SOFT",'Détail fonctionnement'!$C$5:$C$500,"SALAIRES",'Détail fonctionnement'!$G$5:$G$500,"O")</f>
      </c>
      <c r="Y13" s="67">
        <f>SUMIFS('Détail fonctionnement'!$E$5:$E$500,'Détail fonctionnement'!$A$5:$A$500,"S1",'Détail fonctionnement'!$B$5:$B$500,"ODALYS CI",'Détail fonctionnement'!$C$5:$C$500,"SALAIRES",'Détail fonctionnement'!$G$5:$G$500,"O")</f>
      </c>
      <c r="Z13" s="67">
        <f>SUMIFS('Détail fonctionnement'!$E$5:$E$500,'Détail fonctionnement'!$A$5:$A$500,"S1",'Détail fonctionnement'!$B$5:$B$500,"AB CENTER",'Détail fonctionnement'!$C$5:$C$500,"SALAIRES",'Détail fonctionnement'!$G$5:$G$500,"O")</f>
      </c>
      <c r="AA13" s="67"/>
      <c r="AB13" s="67">
        <f>SUMIFS('Détail fonctionnement'!$E$5:$E$500,'Détail fonctionnement'!$A$5:$A$500,"S1",'Détail fonctionnement'!$B$5:$B$500,"RHD CI",'Détail fonctionnement'!$C$5:$C$500,"SALAIRES",'Détail fonctionnement'!$G$5:$G$500,"O")</f>
      </c>
      <c r="AC13" s="66" t="s">
        <v>18</v>
      </c>
    </row>
    <row r="14" spans="1:29" x14ac:dyDescent="0.25">
      <c r="A14" s="42" t="s">
        <v>161</v>
      </c>
      <c r="B14" s="65"/>
      <c r="C14" s="65">
        <f>SUMIFS('Détail fonctionnement'!$E$5:$E$500,'Détail fonctionnement'!$A$5:$A$500,"S1",'Détail fonctionnement'!$B$5:$B$500,"TERASSON",'Détail fonctionnement'!$C$5:$C$500,"REMBOURSEMENT DE PRÊTS",'Détail fonctionnement'!$G$5:$G$500,"O")</f>
      </c>
      <c r="D14" s="65"/>
      <c r="E14" s="65">
        <f>SUMIFS('Détail fonctionnement'!$E$5:$E$500,'Détail fonctionnement'!$A$5:$A$500,"S1",'Détail fonctionnement'!$B$5:$B$500,"PICI",'Détail fonctionnement'!$C$5:$C$500,"REMBOURSEMENT DE PRÊTS",'Détail fonctionnement'!$G$5:$G$500,"O")</f>
      </c>
      <c r="F14" s="65"/>
      <c r="G14" s="65"/>
      <c r="H14" s="65">
        <f>SUMIFS('Détail projets &amp; dettes'!$I$5:$I$500,'Détail projets &amp; dettes'!$A$5:$A$500,"S1",'Détail projets &amp; dettes'!$B$5:$B$500,"FIRST-DETTE",'Détail projets &amp; dettes'!$D$5:$D$500,"Remboursement de prêt",'Détail projets &amp; dettes'!$J$5:$J$500,"O")</f>
      </c>
      <c r="I14" s="65">
        <f>SUMIFS('Détail fonctionnement'!$E$5:$E$500,'Détail fonctionnement'!$A$5:$A$500,"S1",'Détail fonctionnement'!$B$5:$B$500,"FIRST",'Détail fonctionnement'!$C$5:$C$500,"REMBOURSEMENT DE PRÊTS",'Détail fonctionnement'!$G$5:$G$500,"O")</f>
      </c>
      <c r="J14" s="65"/>
      <c r="K14" s="65"/>
      <c r="L14" s="65"/>
      <c r="M14" s="65">
        <f>SUMIFS('Détail fonctionnement'!$E$5:$E$500,'Détail fonctionnement'!$A$5:$A$500,"S1",'Détail fonctionnement'!$B$5:$B$500,"RIVIERA",'Détail fonctionnement'!$C$5:$C$500,"REMBOURSEMENT DE PRÊTS",'Détail fonctionnement'!$G$5:$G$500,"O")</f>
      </c>
      <c r="N14" s="65"/>
      <c r="O14" s="65">
        <f>SUMIFS('Détail fonctionnement'!$E$5:$E$500,'Détail fonctionnement'!$A$5:$A$500,"S1",'Détail fonctionnement'!$B$5:$B$500,"SCO AO",'Détail fonctionnement'!$C$5:$C$500,"REMBOURSEMENT DE PRÊTS",'Détail fonctionnement'!$G$5:$G$500,"O")</f>
      </c>
      <c r="P14" s="65"/>
      <c r="Q14" s="65"/>
      <c r="R14" s="65"/>
      <c r="S14" s="65">
        <f>SUMIFS('Détail fonctionnement'!$E$5:$E$500,'Détail fonctionnement'!$A$5:$A$500,"S1",'Détail fonctionnement'!$B$5:$B$500,"IMMONEUF",'Détail fonctionnement'!$C$5:$C$500,"REMBOURSEMENT DE PRÊTS",'Détail fonctionnement'!$G$5:$G$500,"O")</f>
      </c>
      <c r="T14" s="65"/>
      <c r="U14" s="65"/>
      <c r="V14" s="65">
        <f>SUMIFS('Détail fonctionnement'!$E$5:$E$500,'Détail fonctionnement'!$A$5:$A$500,"S1",'Détail fonctionnement'!$B$5:$B$500,"FINAFRICA",'Détail fonctionnement'!$C$5:$C$500,"REMBOURSEMENT DE PRÊTS",'Détail fonctionnement'!$G$5:$G$500,"O")</f>
      </c>
      <c r="W14" s="65"/>
      <c r="X14" s="65">
        <f>SUMIFS('Détail fonctionnement'!$E$5:$E$500,'Détail fonctionnement'!$A$5:$A$500,"S1",'Détail fonctionnement'!$B$5:$B$500,"INFI SOFT",'Détail fonctionnement'!$C$5:$C$500,"REMBOURSEMENT DE PRÊTS",'Détail fonctionnement'!$G$5:$G$500,"O")</f>
      </c>
      <c r="Y14" s="65">
        <f>SUMIFS('Détail fonctionnement'!$E$5:$E$500,'Détail fonctionnement'!$A$5:$A$500,"S1",'Détail fonctionnement'!$B$5:$B$500,"ODALYS CI",'Détail fonctionnement'!$C$5:$C$500,"REMBOURSEMENT DE PRÊTS",'Détail fonctionnement'!$G$5:$G$500,"O")</f>
      </c>
      <c r="Z14" s="65">
        <f>SUMIFS('Détail fonctionnement'!$E$5:$E$500,'Détail fonctionnement'!$A$5:$A$500,"S1",'Détail fonctionnement'!$B$5:$B$500,"AB CENTER",'Détail fonctionnement'!$C$5:$C$500,"REMBOURSEMENT DE PRÊTS",'Détail fonctionnement'!$G$5:$G$500,"O")</f>
      </c>
      <c r="AA14" s="65"/>
      <c r="AB14" s="65">
        <f>SUMIFS('Détail fonctionnement'!$E$5:$E$500,'Détail fonctionnement'!$A$5:$A$500,"S1",'Détail fonctionnement'!$B$5:$B$500,"RHD CI",'Détail fonctionnement'!$C$5:$C$500,"REMBOURSEMENT DE PRÊTS",'Détail fonctionnement'!$G$5:$G$500,"O")</f>
      </c>
      <c r="AC14" s="66" t="s">
        <v>162</v>
      </c>
    </row>
    <row r="15" spans="1:29" x14ac:dyDescent="0.25">
      <c r="A15" s="42" t="s">
        <v>163</v>
      </c>
      <c r="B15" s="65"/>
      <c r="C15" s="65">
        <f>SUMIFS('Détail fonctionnement'!$E$5:$E$500,'Détail fonctionnement'!$A$5:$A$500,"S1",'Détail fonctionnement'!$B$5:$B$500,"TERASSON",'Détail fonctionnement'!$C$5:$C$500,"AUTRES DÉCAISSEMENTS",'Détail fonctionnement'!$G$5:$G$500,"O")+SUMIFS('Détail fonctionnement'!$E$5:$E$500,'Détail fonctionnement'!$A$5:$A$500,"S1",'Détail fonctionnement'!$B$5:$B$500,"TERASSON",'Détail fonctionnement'!$C$5:$C$500,"ENCAISSEMENTS",'Détail fonctionnement'!$G$5:$G$500,"O")</f>
      </c>
      <c r="D15" s="65"/>
      <c r="E15" s="65">
        <f>SUMIFS('Détail fonctionnement'!$E$5:$E$500,'Détail fonctionnement'!$A$5:$A$500,"S1",'Détail fonctionnement'!$B$5:$B$500,"PICI",'Détail fonctionnement'!$C$5:$C$500,"AUTRES DÉCAISSEMENTS",'Détail fonctionnement'!$G$5:$G$500,"O")+SUMIFS('Détail fonctionnement'!$E$5:$E$500,'Détail fonctionnement'!$A$5:$A$500,"S1",'Détail fonctionnement'!$B$5:$B$500,"PICI",'Détail fonctionnement'!$C$5:$C$500,"ENCAISSEMENTS",'Détail fonctionnement'!$G$5:$G$500,"O")</f>
      </c>
      <c r="F15" s="65"/>
      <c r="G15" s="65"/>
      <c r="H15" s="65">
        <f>SUMIFS('Détail projets &amp; dettes'!$I$5:$I$500,'Détail projets &amp; dettes'!$A$5:$A$500,"S1",'Détail projets &amp; dettes'!$B$5:$B$500,"FIRST-DETTE",'Détail projets &amp; dettes'!$D$5:$D$500,"Encaissements de loyers",'Détail projets &amp; dettes'!$J$5:$J$500,"O")</f>
      </c>
      <c r="I15" s="65">
        <f>SUMIFS('Détail fonctionnement'!$E$5:$E$500,'Détail fonctionnement'!$A$5:$A$500,"S1",'Détail fonctionnement'!$B$5:$B$500,"FIRST",'Détail fonctionnement'!$C$5:$C$500,"AUTRES DÉCAISSEMENTS",'Détail fonctionnement'!$G$5:$G$500,"O")+SUMIFS('Détail fonctionnement'!$E$5:$E$500,'Détail fonctionnement'!$A$5:$A$500,"S1",'Détail fonctionnement'!$B$5:$B$500,"FIRST",'Détail fonctionnement'!$C$5:$C$500,"ENCAISSEMENTS",'Détail fonctionnement'!$G$5:$G$500,"O")</f>
      </c>
      <c r="J15" s="65"/>
      <c r="K15" s="65"/>
      <c r="L15" s="65"/>
      <c r="M15" s="65">
        <f>SUMIFS('Détail fonctionnement'!$E$5:$E$500,'Détail fonctionnement'!$A$5:$A$500,"S1",'Détail fonctionnement'!$B$5:$B$500,"RIVIERA",'Détail fonctionnement'!$C$5:$C$500,"AUTRES DÉCAISSEMENTS",'Détail fonctionnement'!$G$5:$G$500,"O")+SUMIFS('Détail fonctionnement'!$E$5:$E$500,'Détail fonctionnement'!$A$5:$A$500,"S1",'Détail fonctionnement'!$B$5:$B$500,"RIVIERA",'Détail fonctionnement'!$C$5:$C$500,"ENCAISSEMENTS",'Détail fonctionnement'!$G$5:$G$500,"O")</f>
      </c>
      <c r="N15" s="65"/>
      <c r="O15" s="65">
        <f>SUMIFS('Détail fonctionnement'!$E$5:$E$500,'Détail fonctionnement'!$A$5:$A$500,"S1",'Détail fonctionnement'!$B$5:$B$500,"SCO AO",'Détail fonctionnement'!$C$5:$C$500,"AUTRES DÉCAISSEMENTS",'Détail fonctionnement'!$G$5:$G$500,"O")+SUMIFS('Détail fonctionnement'!$E$5:$E$500,'Détail fonctionnement'!$A$5:$A$500,"S1",'Détail fonctionnement'!$B$5:$B$500,"SCO AO",'Détail fonctionnement'!$C$5:$C$500,"ENCAISSEMENTS",'Détail fonctionnement'!$G$5:$G$500,"O")</f>
      </c>
      <c r="P15" s="65"/>
      <c r="Q15" s="65"/>
      <c r="R15" s="65"/>
      <c r="S15" s="65">
        <f>SUMIFS('Détail fonctionnement'!$E$5:$E$500,'Détail fonctionnement'!$A$5:$A$500,"S1",'Détail fonctionnement'!$B$5:$B$500,"IMMONEUF",'Détail fonctionnement'!$C$5:$C$500,"AUTRES DÉCAISSEMENTS",'Détail fonctionnement'!$G$5:$G$500,"O")+SUMIFS('Détail fonctionnement'!$E$5:$E$500,'Détail fonctionnement'!$A$5:$A$500,"S1",'Détail fonctionnement'!$B$5:$B$500,"IMMONEUF",'Détail fonctionnement'!$C$5:$C$500,"ENCAISSEMENTS",'Détail fonctionnement'!$G$5:$G$500,"O")</f>
      </c>
      <c r="T15" s="65"/>
      <c r="U15" s="65"/>
      <c r="V15" s="65">
        <f>SUMIFS('Détail fonctionnement'!$E$5:$E$500,'Détail fonctionnement'!$A$5:$A$500,"S1",'Détail fonctionnement'!$B$5:$B$500,"FINAFRICA",'Détail fonctionnement'!$C$5:$C$500,"AUTRES DÉCAISSEMENTS",'Détail fonctionnement'!$G$5:$G$500,"O")+SUMIFS('Détail fonctionnement'!$E$5:$E$500,'Détail fonctionnement'!$A$5:$A$500,"S1",'Détail fonctionnement'!$B$5:$B$500,"FINAFRICA",'Détail fonctionnement'!$C$5:$C$500,"ENCAISSEMENTS",'Détail fonctionnement'!$G$5:$G$500,"O")</f>
      </c>
      <c r="W15" s="65"/>
      <c r="X15" s="65">
        <f>SUMIFS('Détail fonctionnement'!$E$5:$E$500,'Détail fonctionnement'!$A$5:$A$500,"S1",'Détail fonctionnement'!$B$5:$B$500,"INFI SOFT",'Détail fonctionnement'!$C$5:$C$500,"AUTRES DÉCAISSEMENTS",'Détail fonctionnement'!$G$5:$G$500,"O")+SUMIFS('Détail fonctionnement'!$E$5:$E$500,'Détail fonctionnement'!$A$5:$A$500,"S1",'Détail fonctionnement'!$B$5:$B$500,"INFI SOFT",'Détail fonctionnement'!$C$5:$C$500,"ENCAISSEMENTS",'Détail fonctionnement'!$G$5:$G$500,"O")</f>
      </c>
      <c r="Y15" s="65">
        <f>SUMIFS('Détail fonctionnement'!$E$5:$E$500,'Détail fonctionnement'!$A$5:$A$500,"S1",'Détail fonctionnement'!$B$5:$B$500,"ODALYS CI",'Détail fonctionnement'!$C$5:$C$500,"AUTRES DÉCAISSEMENTS",'Détail fonctionnement'!$G$5:$G$500,"O")+SUMIFS('Détail fonctionnement'!$E$5:$E$500,'Détail fonctionnement'!$A$5:$A$500,"S1",'Détail fonctionnement'!$B$5:$B$500,"ODALYS CI",'Détail fonctionnement'!$C$5:$C$500,"ENCAISSEMENTS",'Détail fonctionnement'!$G$5:$G$500,"O")</f>
      </c>
      <c r="Z15" s="65">
        <f>SUMIFS('Détail fonctionnement'!$E$5:$E$500,'Détail fonctionnement'!$A$5:$A$500,"S1",'Détail fonctionnement'!$B$5:$B$500,"AB CENTER",'Détail fonctionnement'!$C$5:$C$500,"AUTRES DÉCAISSEMENTS",'Détail fonctionnement'!$G$5:$G$500,"O")+SUMIFS('Détail fonctionnement'!$E$5:$E$500,'Détail fonctionnement'!$A$5:$A$500,"S1",'Détail fonctionnement'!$B$5:$B$500,"AB CENTER",'Détail fonctionnement'!$C$5:$C$500,"ENCAISSEMENTS",'Détail fonctionnement'!$G$5:$G$500,"O")</f>
      </c>
      <c r="AA15" s="65"/>
      <c r="AB15" s="65">
        <f>SUMIFS('Détail fonctionnement'!$E$5:$E$500,'Détail fonctionnement'!$A$5:$A$500,"S1",'Détail fonctionnement'!$B$5:$B$500,"RHD CI",'Détail fonctionnement'!$C$5:$C$500,"AUTRES DÉCAISSEMENTS",'Détail fonctionnement'!$G$5:$G$500,"O")+SUMIFS('Détail fonctionnement'!$E$5:$E$500,'Détail fonctionnement'!$A$5:$A$500,"S1",'Détail fonctionnement'!$B$5:$B$500,"RHD CI",'Détail fonctionnement'!$C$5:$C$500,"ENCAISSEMENTS",'Détail fonctionnement'!$G$5:$G$500,"O")</f>
      </c>
      <c r="AC15" s="66" t="s">
        <v>18</v>
      </c>
    </row>
    <row r="16" spans="1:29" x14ac:dyDescent="0.25">
      <c r="A16" s="42" t="s">
        <v>164</v>
      </c>
      <c r="B16" s="65"/>
      <c r="C16" s="65">
        <f>SUMIFS('Détail fonctionnement'!$E$5:$E$500,'Détail fonctionnement'!$A$5:$A$500,"S1",'Détail fonctionnement'!$B$5:$B$500,"TERASSON",'Détail fonctionnement'!$C$5:$C$500,"ENREGISTREMENTS",'Détail fonctionnement'!$G$5:$G$500,"O")</f>
      </c>
      <c r="D16" s="65"/>
      <c r="E16" s="65">
        <f>SUMIFS('Détail fonctionnement'!$E$5:$E$500,'Détail fonctionnement'!$A$5:$A$500,"S1",'Détail fonctionnement'!$B$5:$B$500,"PICI",'Détail fonctionnement'!$C$5:$C$500,"ENREGISTREMENTS",'Détail fonctionnement'!$G$5:$G$500,"O")</f>
      </c>
      <c r="F16" s="65"/>
      <c r="G16" s="65"/>
      <c r="H16" s="65"/>
      <c r="I16" s="65">
        <f>SUMIFS('Détail fonctionnement'!$E$5:$E$500,'Détail fonctionnement'!$A$5:$A$500,"S1",'Détail fonctionnement'!$B$5:$B$500,"FIRST",'Détail fonctionnement'!$C$5:$C$500,"ENREGISTREMENTS",'Détail fonctionnement'!$G$5:$G$500,"O")</f>
      </c>
      <c r="J16" s="65"/>
      <c r="K16" s="65"/>
      <c r="L16" s="65"/>
      <c r="M16" s="65">
        <f>SUMIFS('Détail fonctionnement'!$E$5:$E$500,'Détail fonctionnement'!$A$5:$A$500,"S1",'Détail fonctionnement'!$B$5:$B$500,"RIVIERA",'Détail fonctionnement'!$C$5:$C$500,"ENREGISTREMENTS",'Détail fonctionnement'!$G$5:$G$500,"O")</f>
      </c>
      <c r="N16" s="65"/>
      <c r="O16" s="65">
        <f>SUMIFS('Détail fonctionnement'!$E$5:$E$500,'Détail fonctionnement'!$A$5:$A$500,"S1",'Détail fonctionnement'!$B$5:$B$500,"SCO AO",'Détail fonctionnement'!$C$5:$C$500,"ENREGISTREMENTS",'Détail fonctionnement'!$G$5:$G$500,"O")</f>
      </c>
      <c r="P16" s="65"/>
      <c r="Q16" s="65"/>
      <c r="R16" s="65"/>
      <c r="S16" s="65">
        <f>SUMIFS('Détail fonctionnement'!$E$5:$E$500,'Détail fonctionnement'!$A$5:$A$500,"S1",'Détail fonctionnement'!$B$5:$B$500,"IMMONEUF",'Détail fonctionnement'!$C$5:$C$500,"ENREGISTREMENTS",'Détail fonctionnement'!$G$5:$G$500,"O")</f>
      </c>
      <c r="T16" s="65"/>
      <c r="U16" s="65"/>
      <c r="V16" s="65">
        <f>SUMIFS('Détail fonctionnement'!$E$5:$E$500,'Détail fonctionnement'!$A$5:$A$500,"S1",'Détail fonctionnement'!$B$5:$B$500,"FINAFRICA",'Détail fonctionnement'!$C$5:$C$500,"ENREGISTREMENTS",'Détail fonctionnement'!$G$5:$G$500,"O")</f>
      </c>
      <c r="W16" s="65"/>
      <c r="X16" s="65">
        <f>SUMIFS('Détail fonctionnement'!$E$5:$E$500,'Détail fonctionnement'!$A$5:$A$500,"S1",'Détail fonctionnement'!$B$5:$B$500,"INFI SOFT",'Détail fonctionnement'!$C$5:$C$500,"ENREGISTREMENTS",'Détail fonctionnement'!$G$5:$G$500,"O")</f>
      </c>
      <c r="Y16" s="65">
        <f>SUMIFS('Détail fonctionnement'!$E$5:$E$500,'Détail fonctionnement'!$A$5:$A$500,"S1",'Détail fonctionnement'!$B$5:$B$500,"ODALYS CI",'Détail fonctionnement'!$C$5:$C$500,"ENREGISTREMENTS",'Détail fonctionnement'!$G$5:$G$500,"O")</f>
      </c>
      <c r="Z16" s="65">
        <f>SUMIFS('Détail fonctionnement'!$E$5:$E$500,'Détail fonctionnement'!$A$5:$A$500,"S1",'Détail fonctionnement'!$B$5:$B$500,"AB CENTER",'Détail fonctionnement'!$C$5:$C$500,"ENREGISTREMENTS",'Détail fonctionnement'!$G$5:$G$500,"O")</f>
      </c>
      <c r="AA16" s="65"/>
      <c r="AB16" s="65">
        <f>SUMIFS('Détail fonctionnement'!$E$5:$E$500,'Détail fonctionnement'!$A$5:$A$500,"S1",'Détail fonctionnement'!$B$5:$B$500,"RHD CI",'Détail fonctionnement'!$C$5:$C$500,"ENREGISTREMENTS",'Détail fonctionnement'!$G$5:$G$500,"O")</f>
      </c>
      <c r="AC16" s="66" t="s">
        <v>165</v>
      </c>
    </row>
    <row r="17" spans="1:28" x14ac:dyDescent="0.25">
      <c r="A17" s="68" t="s">
        <v>166</v>
      </c>
      <c r="B17" s="69">
        <f>SUM(B7:B16)</f>
      </c>
      <c r="C17" s="69">
        <f>SUM(C7:C16)</f>
      </c>
      <c r="D17" s="69">
        <f>SUM(D7:D16)</f>
      </c>
      <c r="E17" s="69">
        <f>SUM(E7:E16)</f>
      </c>
      <c r="F17" s="69">
        <f>SUM(F7:F16)</f>
      </c>
      <c r="G17" s="69">
        <f>SUM(G7:G16)</f>
      </c>
      <c r="H17" s="69">
        <f>SUM(H7:H16)</f>
      </c>
      <c r="I17" s="69">
        <f>SUM(I7:I16)</f>
      </c>
      <c r="J17" s="69">
        <f>SUM(J7:J16)</f>
      </c>
      <c r="K17" s="69">
        <f>SUM(K7:K16)</f>
      </c>
      <c r="L17" s="69">
        <f>SUM(L7:L16)</f>
      </c>
      <c r="M17" s="69">
        <f>SUM(M7:M16)</f>
      </c>
      <c r="N17" s="69">
        <f>SUM(N7:N16)</f>
      </c>
      <c r="O17" s="69">
        <f>SUM(O7:O16)</f>
      </c>
      <c r="P17" s="69">
        <f>SUM(P7:P16)</f>
      </c>
      <c r="Q17" s="69">
        <f>SUM(Q7:Q16)</f>
      </c>
      <c r="R17" s="69">
        <f>SUM(R7:R16)</f>
      </c>
      <c r="S17" s="69">
        <f>SUM(S7:S16)</f>
      </c>
      <c r="T17" s="69">
        <f>SUM(T7:T16)</f>
      </c>
      <c r="U17" s="69">
        <f>SUM(U7:U16)</f>
      </c>
      <c r="V17" s="69">
        <f>SUM(V7:V16)</f>
      </c>
      <c r="W17" s="69">
        <f>SUM(W7:W16)</f>
      </c>
      <c r="X17" s="69">
        <f>SUM(X7:X16)</f>
      </c>
      <c r="Y17" s="69">
        <f>SUM(Y7:Y16)</f>
      </c>
      <c r="Z17" s="69">
        <f>SUM(Z7:Z16)</f>
      </c>
      <c r="AA17" s="69">
        <f>SUM(AA7:AA16)</f>
      </c>
      <c r="AB17" s="69">
        <f>SUM(AB7:AB16)</f>
      </c>
    </row>
    <row r="18" spans="1:28" x14ac:dyDescent="0.25">
      <c r="A18" s="70" t="s">
        <v>167</v>
      </c>
      <c r="B18" s="71">
        <f>'Position CI 30-09'!F33</f>
      </c>
      <c r="C18" s="71">
        <f>'Position CI 30-09'!F13</f>
      </c>
      <c r="D18" s="71">
        <f>'Position CI 30-09'!F14</f>
      </c>
      <c r="E18" s="71">
        <f>'Position CI 30-09'!F7</f>
      </c>
      <c r="F18" s="71">
        <f>'Position CI 30-09'!F6</f>
      </c>
      <c r="G18" s="71">
        <f>'Position CI 30-09'!F5</f>
      </c>
      <c r="H18" s="71">
        <f>'Position CI 30-09'!F10</f>
      </c>
      <c r="I18" s="71">
        <f>'Position CI 30-09'!F9</f>
      </c>
      <c r="J18" s="71">
        <f>'Position CI 30-09'!F8</f>
      </c>
      <c r="K18" s="71">
        <f>'Position CI 30-09'!F32</f>
      </c>
      <c r="L18" s="71">
        <f>'Position CI 30-09'!F16</f>
      </c>
      <c r="M18" s="71">
        <f>'Position CI 30-09'!F15</f>
      </c>
      <c r="N18" s="71">
        <f>'Position CI 30-09'!F20</f>
      </c>
      <c r="O18" s="71">
        <f>'Position CI 30-09'!F19</f>
      </c>
      <c r="P18" s="71">
        <f>'Position CI 30-09'!F18</f>
      </c>
      <c r="Q18" s="71">
        <f>'Position CI 30-09'!F21</f>
      </c>
      <c r="R18" s="71">
        <f>'Position CI 30-09'!F22</f>
      </c>
      <c r="S18" s="71">
        <f>'Position CI 30-09'!F27</f>
      </c>
      <c r="T18" s="71">
        <f>'Position CI 30-09'!F29</f>
      </c>
      <c r="U18" s="71">
        <f>'Position CI 30-09'!F28</f>
      </c>
      <c r="V18" s="71">
        <f>'Position CI 30-09'!F23</f>
      </c>
      <c r="W18" s="71">
        <f>'Position CI 30-09'!F24</f>
      </c>
      <c r="X18" s="71">
        <f>'Position CI 30-09'!F30</f>
      </c>
      <c r="Y18" s="71">
        <f>'Position CI 30-09'!F31</f>
      </c>
      <c r="Z18" s="71">
        <f>'Position CI 30-09'!F26</f>
      </c>
      <c r="AA18" s="71">
        <f>'Position CI 30-09'!F25</f>
      </c>
      <c r="AB18" s="71">
        <v>0</v>
      </c>
    </row>
    <row r="19" spans="1:28" x14ac:dyDescent="0.25">
      <c r="A19" s="68" t="s">
        <v>168</v>
      </c>
      <c r="B19" s="69">
        <f>B17+B18</f>
      </c>
      <c r="C19" s="69">
        <f>C17+C18</f>
      </c>
      <c r="D19" s="69">
        <f>D17+D18</f>
      </c>
      <c r="E19" s="69">
        <f>E17+E18</f>
      </c>
      <c r="F19" s="69">
        <f>F17+F18</f>
      </c>
      <c r="G19" s="69">
        <f>G17+G18</f>
      </c>
      <c r="H19" s="69">
        <f>H17+H18</f>
      </c>
      <c r="I19" s="69">
        <f>I17+I18</f>
      </c>
      <c r="J19" s="69">
        <f>J17+J18</f>
      </c>
      <c r="K19" s="69">
        <f>K17+K18</f>
      </c>
      <c r="L19" s="69">
        <f>L17+L18</f>
      </c>
      <c r="M19" s="69">
        <f>M17+M18</f>
      </c>
      <c r="N19" s="69">
        <f>N17+N18</f>
      </c>
      <c r="O19" s="69">
        <f>O17+O18</f>
      </c>
      <c r="P19" s="69">
        <f>P17+P18</f>
      </c>
      <c r="Q19" s="69">
        <f>Q17+Q18</f>
      </c>
      <c r="R19" s="69">
        <f>R17+R18</f>
      </c>
      <c r="S19" s="69">
        <f>S17+S18</f>
      </c>
      <c r="T19" s="69">
        <f>T17+T18</f>
      </c>
      <c r="U19" s="69">
        <f>U17+U18</f>
      </c>
      <c r="V19" s="69">
        <f>V17+V18</f>
      </c>
      <c r="W19" s="69">
        <f>W17+W18</f>
      </c>
      <c r="X19" s="69">
        <f>X17+X18</f>
      </c>
      <c r="Y19" s="69">
        <f>Y17+Y18</f>
      </c>
      <c r="Z19" s="69">
        <f>Z17+Z18</f>
      </c>
      <c r="AA19" s="69">
        <f>AA17+AA18</f>
      </c>
      <c r="AB19" s="69">
        <f>AB17+AB18</f>
      </c>
    </row>
    <row r="20" spans="1:29" x14ac:dyDescent="0.25">
      <c r="A20" s="68" t="s">
        <v>169</v>
      </c>
      <c r="B20" s="69">
        <f>IF(B19&lt;0,-B19,0)</f>
      </c>
      <c r="C20" s="69">
        <f>IF(C19&lt;0,-C19,0)</f>
      </c>
      <c r="D20" s="69">
        <f>IF(D19&lt;0,-D19,0)</f>
      </c>
      <c r="E20" s="69">
        <f>IF(E19&lt;0,-E19,0)</f>
      </c>
      <c r="F20" s="69">
        <f>IF(F19&lt;0,-F19,0)</f>
      </c>
      <c r="G20" s="69">
        <f>IF(G19&lt;0,-G19,0)</f>
      </c>
      <c r="H20" s="69">
        <f>IF(H19&lt;0,-H19,0)</f>
      </c>
      <c r="I20" s="69">
        <f>IF(I19&lt;0,-I19,0)</f>
      </c>
      <c r="J20" s="69">
        <f>IF(J19&lt;0,-J19,0)</f>
      </c>
      <c r="K20" s="69">
        <f>IF(K19&lt;0,-K19,0)</f>
      </c>
      <c r="L20" s="69">
        <f>IF(L19&lt;0,-L19,0)</f>
      </c>
      <c r="M20" s="69">
        <f>IF(M19&lt;0,-M19,0)</f>
      </c>
      <c r="N20" s="69">
        <f>IF(N19&lt;0,-N19,0)</f>
      </c>
      <c r="O20" s="69">
        <f>IF(O19&lt;0,-O19,0)</f>
      </c>
      <c r="P20" s="69">
        <f>IF(P19&lt;0,-P19,0)</f>
      </c>
      <c r="Q20" s="69">
        <f>IF(Q19&lt;0,-Q19,0)</f>
      </c>
      <c r="R20" s="69">
        <f>IF(R19&lt;0,-R19,0)</f>
      </c>
      <c r="S20" s="69">
        <f>IF(S19&lt;0,-S19,0)</f>
      </c>
      <c r="T20" s="69">
        <f>IF(T19&lt;0,-T19,0)</f>
      </c>
      <c r="U20" s="69">
        <f>IF(U19&lt;0,-U19,0)</f>
      </c>
      <c r="V20" s="69">
        <f>IF(V19&lt;0,-V19,0)</f>
      </c>
      <c r="W20" s="69">
        <f>IF(W19&lt;0,-W19,0)</f>
      </c>
      <c r="X20" s="69">
        <f>IF(X19&lt;0,-X19,0)</f>
      </c>
      <c r="Y20" s="69">
        <f>IF(Y19&lt;0,-Y19,0)</f>
      </c>
      <c r="Z20" s="69">
        <f>IF(Z19&lt;0,-Z19,0)</f>
      </c>
      <c r="AA20" s="69">
        <f>IF(AA19&lt;0,-AA19,0)</f>
      </c>
      <c r="AB20" s="69">
        <f>IF(AB19&lt;0,-AB19,0)</f>
      </c>
      <c r="AC20" s="72">
        <f>SUM(B20:AB20)</f>
      </c>
    </row>
    <row r="23" spans="1:1" x14ac:dyDescent="0.25">
      <c r="A23" s="2" t="s">
        <v>170</v>
      </c>
    </row>
    <row r="24" spans="1:12" x14ac:dyDescent="0.25">
      <c r="A24" s="73" t="s">
        <v>171</v>
      </c>
      <c r="B24" s="73" t="s">
        <v>172</v>
      </c>
      <c r="C24" s="73" t="s">
        <v>173</v>
      </c>
      <c r="D24" s="73"/>
      <c r="E24" s="73" t="s">
        <v>174</v>
      </c>
      <c r="F24" s="73"/>
      <c r="G24" s="74"/>
      <c r="H24" s="75" t="s">
        <v>175</v>
      </c>
      <c r="I24" s="73" t="s">
        <v>176</v>
      </c>
      <c r="J24" s="73"/>
      <c r="K24" s="73"/>
      <c r="L24" s="73"/>
    </row>
    <row r="25" spans="1:12" x14ac:dyDescent="0.25">
      <c r="A25" s="42" t="s">
        <v>155</v>
      </c>
      <c r="B25" s="42">
        <v>1</v>
      </c>
      <c r="C25" s="42" t="s">
        <v>177</v>
      </c>
      <c r="D25" s="42"/>
      <c r="E25" s="42" t="s">
        <v>178</v>
      </c>
      <c r="F25" s="42"/>
      <c r="G25" s="76"/>
      <c r="H25" s="77">
        <v>62000</v>
      </c>
      <c r="I25" s="42" t="s">
        <v>179</v>
      </c>
      <c r="J25" s="42"/>
      <c r="K25" s="42"/>
      <c r="L25" s="42"/>
    </row>
    <row r="26" spans="1:12" x14ac:dyDescent="0.25">
      <c r="A26" s="42" t="s">
        <v>155</v>
      </c>
      <c r="B26" s="42">
        <v>2</v>
      </c>
      <c r="C26" s="42" t="s">
        <v>180</v>
      </c>
      <c r="D26" s="42"/>
      <c r="E26" s="42" t="s">
        <v>181</v>
      </c>
      <c r="F26" s="42"/>
      <c r="G26" s="76"/>
      <c r="H26" s="77">
        <v>87063276</v>
      </c>
      <c r="I26" s="42" t="s">
        <v>182</v>
      </c>
      <c r="J26" s="42"/>
      <c r="K26" s="42"/>
      <c r="L26" s="42"/>
    </row>
    <row r="27" spans="1:12" x14ac:dyDescent="0.25">
      <c r="A27" s="42" t="s">
        <v>155</v>
      </c>
      <c r="B27" s="42">
        <v>3</v>
      </c>
      <c r="C27" s="42" t="s">
        <v>183</v>
      </c>
      <c r="D27" s="42"/>
      <c r="E27" s="42" t="s">
        <v>184</v>
      </c>
      <c r="F27" s="42"/>
      <c r="G27" s="76"/>
      <c r="H27" s="77">
        <v>897338</v>
      </c>
      <c r="I27" s="42" t="s">
        <v>179</v>
      </c>
      <c r="J27" s="42"/>
      <c r="K27" s="42"/>
      <c r="L27" s="42"/>
    </row>
    <row r="28" spans="1:12" x14ac:dyDescent="0.25">
      <c r="A28" s="42" t="s">
        <v>155</v>
      </c>
      <c r="B28" s="42">
        <v>4</v>
      </c>
      <c r="C28" s="42" t="s">
        <v>185</v>
      </c>
      <c r="D28" s="42"/>
      <c r="E28" s="42" t="s">
        <v>184</v>
      </c>
      <c r="F28" s="42"/>
      <c r="G28" s="76"/>
      <c r="H28" s="77">
        <v>62000</v>
      </c>
      <c r="I28" s="42" t="s">
        <v>179</v>
      </c>
      <c r="J28" s="42"/>
      <c r="K28" s="42"/>
      <c r="L28" s="42"/>
    </row>
    <row r="29" spans="1:12" x14ac:dyDescent="0.25">
      <c r="A29" s="42" t="s">
        <v>155</v>
      </c>
      <c r="B29" s="42">
        <v>5</v>
      </c>
      <c r="C29" s="42" t="s">
        <v>186</v>
      </c>
      <c r="D29" s="42"/>
      <c r="E29" s="42" t="s">
        <v>187</v>
      </c>
      <c r="F29" s="42"/>
      <c r="G29" s="76"/>
      <c r="H29" s="77">
        <v>58000</v>
      </c>
      <c r="I29" s="42" t="s">
        <v>179</v>
      </c>
      <c r="J29" s="42"/>
      <c r="K29" s="42"/>
      <c r="L29" s="42"/>
    </row>
    <row r="30" spans="1:12" x14ac:dyDescent="0.25">
      <c r="A30" s="42" t="s">
        <v>155</v>
      </c>
      <c r="B30" s="42">
        <v>6</v>
      </c>
      <c r="C30" s="42" t="s">
        <v>188</v>
      </c>
      <c r="D30" s="42"/>
      <c r="E30" s="42" t="s">
        <v>187</v>
      </c>
      <c r="F30" s="42"/>
      <c r="G30" s="76"/>
      <c r="H30" s="77">
        <v>36000</v>
      </c>
      <c r="I30" s="42" t="s">
        <v>179</v>
      </c>
      <c r="J30" s="42"/>
      <c r="K30" s="42"/>
      <c r="L30" s="42"/>
    </row>
    <row r="31" spans="1:12" x14ac:dyDescent="0.25">
      <c r="A31" s="42" t="s">
        <v>155</v>
      </c>
      <c r="B31" s="42">
        <v>7</v>
      </c>
      <c r="C31" s="42" t="s">
        <v>189</v>
      </c>
      <c r="D31" s="42"/>
      <c r="E31" s="42" t="s">
        <v>190</v>
      </c>
      <c r="F31" s="42"/>
      <c r="G31" s="76"/>
      <c r="H31" s="77">
        <v>62000</v>
      </c>
      <c r="I31" s="42" t="s">
        <v>179</v>
      </c>
      <c r="J31" s="42"/>
      <c r="K31" s="42"/>
      <c r="L31" s="42"/>
    </row>
    <row r="32" spans="1:12" x14ac:dyDescent="0.25">
      <c r="A32" s="42" t="s">
        <v>153</v>
      </c>
      <c r="B32" s="42">
        <v>8</v>
      </c>
      <c r="C32" s="42" t="s">
        <v>191</v>
      </c>
      <c r="D32" s="42"/>
      <c r="E32" s="42" t="s">
        <v>192</v>
      </c>
      <c r="F32" s="42"/>
      <c r="G32" s="76"/>
      <c r="H32" s="77">
        <v>1937998</v>
      </c>
      <c r="I32" s="42" t="s">
        <v>193</v>
      </c>
      <c r="J32" s="42"/>
      <c r="K32" s="42"/>
      <c r="L32" s="42"/>
    </row>
    <row r="33" spans="1:12" x14ac:dyDescent="0.25">
      <c r="A33" s="42" t="s">
        <v>153</v>
      </c>
      <c r="B33" s="42">
        <v>9</v>
      </c>
      <c r="C33" s="42" t="s">
        <v>191</v>
      </c>
      <c r="D33" s="42"/>
      <c r="E33" s="42" t="s">
        <v>194</v>
      </c>
      <c r="F33" s="42"/>
      <c r="G33" s="76"/>
      <c r="H33" s="77">
        <v>3688000</v>
      </c>
      <c r="I33" s="42" t="s">
        <v>193</v>
      </c>
      <c r="J33" s="42"/>
      <c r="K33" s="42"/>
      <c r="L33" s="42"/>
    </row>
    <row r="34" spans="1:12" x14ac:dyDescent="0.25">
      <c r="A34" s="42" t="s">
        <v>153</v>
      </c>
      <c r="B34" s="42">
        <v>10</v>
      </c>
      <c r="C34" s="42" t="s">
        <v>191</v>
      </c>
      <c r="D34" s="42"/>
      <c r="E34" s="42" t="s">
        <v>187</v>
      </c>
      <c r="F34" s="42"/>
      <c r="G34" s="76"/>
      <c r="H34" s="77">
        <v>19402028</v>
      </c>
      <c r="I34" s="42" t="s">
        <v>193</v>
      </c>
      <c r="J34" s="42"/>
      <c r="K34" s="42"/>
      <c r="L34" s="42"/>
    </row>
    <row r="35" spans="1:12" x14ac:dyDescent="0.25">
      <c r="A35" s="42" t="s">
        <v>153</v>
      </c>
      <c r="B35" s="42">
        <v>11</v>
      </c>
      <c r="C35" s="42" t="s">
        <v>191</v>
      </c>
      <c r="D35" s="42"/>
      <c r="E35" s="42" t="s">
        <v>195</v>
      </c>
      <c r="F35" s="42"/>
      <c r="G35" s="76"/>
      <c r="H35" s="77">
        <v>45086534</v>
      </c>
      <c r="I35" s="42" t="s">
        <v>193</v>
      </c>
      <c r="J35" s="42"/>
      <c r="K35" s="42"/>
      <c r="L35" s="42"/>
    </row>
    <row r="36" spans="1:12" x14ac:dyDescent="0.25">
      <c r="A36" s="42" t="s">
        <v>153</v>
      </c>
      <c r="B36" s="42">
        <v>12</v>
      </c>
      <c r="C36" s="42" t="s">
        <v>191</v>
      </c>
      <c r="D36" s="42"/>
      <c r="E36" s="42" t="s">
        <v>184</v>
      </c>
      <c r="F36" s="42"/>
      <c r="G36" s="76"/>
      <c r="H36" s="77">
        <v>35234921</v>
      </c>
      <c r="I36" s="42" t="s">
        <v>193</v>
      </c>
      <c r="J36" s="42"/>
      <c r="K36" s="42"/>
      <c r="L36" s="42"/>
    </row>
    <row r="37" spans="1:12" x14ac:dyDescent="0.25">
      <c r="A37" s="42" t="s">
        <v>153</v>
      </c>
      <c r="B37" s="42">
        <v>13</v>
      </c>
      <c r="C37" s="42" t="s">
        <v>196</v>
      </c>
      <c r="D37" s="42"/>
      <c r="E37" s="42" t="s">
        <v>184</v>
      </c>
      <c r="F37" s="42"/>
      <c r="G37" s="76"/>
      <c r="H37" s="77">
        <v>21902654</v>
      </c>
      <c r="I37" s="42" t="s">
        <v>193</v>
      </c>
      <c r="J37" s="42"/>
      <c r="K37" s="42"/>
      <c r="L37" s="42"/>
    </row>
    <row r="38" spans="1:12" x14ac:dyDescent="0.25">
      <c r="A38" s="42" t="s">
        <v>153</v>
      </c>
      <c r="B38" s="42">
        <v>14</v>
      </c>
      <c r="C38" s="42" t="s">
        <v>196</v>
      </c>
      <c r="D38" s="42"/>
      <c r="E38" s="42" t="s">
        <v>190</v>
      </c>
      <c r="F38" s="42"/>
      <c r="G38" s="76"/>
      <c r="H38" s="77">
        <v>2848471</v>
      </c>
      <c r="I38" s="42" t="s">
        <v>193</v>
      </c>
      <c r="J38" s="42"/>
      <c r="K38" s="42"/>
      <c r="L38" s="42"/>
    </row>
    <row r="39" spans="1:12" x14ac:dyDescent="0.25">
      <c r="A39" s="42" t="s">
        <v>153</v>
      </c>
      <c r="B39" s="42">
        <v>15</v>
      </c>
      <c r="C39" s="42" t="s">
        <v>197</v>
      </c>
      <c r="D39" s="42"/>
      <c r="E39" s="42" t="s">
        <v>190</v>
      </c>
      <c r="F39" s="42"/>
      <c r="G39" s="76"/>
      <c r="H39" s="77">
        <v>3580753</v>
      </c>
      <c r="I39" s="42" t="s">
        <v>193</v>
      </c>
      <c r="J39" s="42"/>
      <c r="K39" s="42"/>
      <c r="L39" s="42"/>
    </row>
    <row r="40" spans="1:12" x14ac:dyDescent="0.25">
      <c r="A40" s="42" t="s">
        <v>153</v>
      </c>
      <c r="B40" s="42">
        <v>16</v>
      </c>
      <c r="C40" s="42" t="s">
        <v>198</v>
      </c>
      <c r="D40" s="42"/>
      <c r="E40" s="42" t="s">
        <v>190</v>
      </c>
      <c r="F40" s="42"/>
      <c r="G40" s="76"/>
      <c r="H40" s="77">
        <v>74492418</v>
      </c>
      <c r="I40" s="42" t="s">
        <v>193</v>
      </c>
      <c r="J40" s="42"/>
      <c r="K40" s="42"/>
      <c r="L40" s="42"/>
    </row>
    <row r="41" spans="1:12" x14ac:dyDescent="0.25">
      <c r="A41" s="42" t="s">
        <v>153</v>
      </c>
      <c r="B41" s="42">
        <v>17</v>
      </c>
      <c r="C41" s="42" t="s">
        <v>198</v>
      </c>
      <c r="D41" s="42"/>
      <c r="E41" s="42" t="s">
        <v>178</v>
      </c>
      <c r="F41" s="42"/>
      <c r="G41" s="76"/>
      <c r="H41" s="77">
        <v>89207836</v>
      </c>
      <c r="I41" s="42" t="s">
        <v>193</v>
      </c>
      <c r="J41" s="42"/>
      <c r="K41" s="42"/>
      <c r="L41" s="42"/>
    </row>
    <row r="42" spans="1:12" x14ac:dyDescent="0.25">
      <c r="A42" s="42" t="s">
        <v>153</v>
      </c>
      <c r="B42" s="42">
        <v>18</v>
      </c>
      <c r="C42" s="42" t="s">
        <v>199</v>
      </c>
      <c r="D42" s="42"/>
      <c r="E42" s="42" t="s">
        <v>178</v>
      </c>
      <c r="F42" s="42"/>
      <c r="G42" s="76"/>
      <c r="H42" s="77">
        <v>8429337</v>
      </c>
      <c r="I42" s="42" t="s">
        <v>193</v>
      </c>
      <c r="J42" s="42"/>
      <c r="K42" s="42"/>
      <c r="L42" s="42"/>
    </row>
    <row r="43" spans="1:12" x14ac:dyDescent="0.25">
      <c r="A43" s="42"/>
      <c r="B43" s="42"/>
      <c r="C43" s="42"/>
      <c r="D43" s="42"/>
      <c r="E43" s="42"/>
      <c r="F43" s="42"/>
      <c r="G43" s="76"/>
      <c r="H43" s="77"/>
      <c r="I43" s="42"/>
      <c r="J43" s="42"/>
      <c r="K43" s="42"/>
      <c r="L43" s="42"/>
    </row>
    <row r="44" spans="1:12" x14ac:dyDescent="0.25">
      <c r="A44" s="42"/>
      <c r="B44" s="42"/>
      <c r="C44" s="42"/>
      <c r="D44" s="42"/>
      <c r="E44" s="42"/>
      <c r="F44" s="42"/>
      <c r="G44" s="76"/>
      <c r="H44" s="77"/>
      <c r="I44" s="42"/>
      <c r="J44" s="42"/>
      <c r="K44" s="42"/>
      <c r="L44" s="42"/>
    </row>
    <row r="45" spans="1:12" x14ac:dyDescent="0.25">
      <c r="A45" s="42"/>
      <c r="B45" s="42"/>
      <c r="C45" s="42"/>
      <c r="D45" s="42"/>
      <c r="E45" s="42"/>
      <c r="F45" s="42"/>
      <c r="G45" s="76"/>
      <c r="H45" s="77"/>
      <c r="I45" s="42"/>
      <c r="J45" s="42"/>
      <c r="K45" s="42"/>
      <c r="L45" s="42"/>
    </row>
    <row r="46" spans="1:12" x14ac:dyDescent="0.25">
      <c r="A46" s="42"/>
      <c r="B46" s="42"/>
      <c r="C46" s="42"/>
      <c r="D46" s="42"/>
      <c r="E46" s="42"/>
      <c r="F46" s="42"/>
      <c r="G46" s="76"/>
      <c r="H46" s="77"/>
      <c r="I46" s="42"/>
      <c r="J46" s="42"/>
      <c r="K46" s="42"/>
      <c r="L46" s="42"/>
    </row>
    <row r="47" spans="1:12" x14ac:dyDescent="0.25">
      <c r="A47" s="42"/>
      <c r="B47" s="42"/>
      <c r="C47" s="42"/>
      <c r="D47" s="42"/>
      <c r="E47" s="42"/>
      <c r="F47" s="42"/>
      <c r="G47" s="76"/>
      <c r="H47" s="77"/>
      <c r="I47" s="42"/>
      <c r="J47" s="42"/>
      <c r="K47" s="42"/>
      <c r="L47" s="42"/>
    </row>
    <row r="48" spans="1:12" x14ac:dyDescent="0.25">
      <c r="A48" s="42"/>
      <c r="B48" s="42"/>
      <c r="C48" s="42"/>
      <c r="D48" s="42"/>
      <c r="E48" s="42"/>
      <c r="F48" s="42"/>
      <c r="G48" s="76"/>
      <c r="H48" s="77"/>
      <c r="I48" s="42"/>
      <c r="J48" s="42"/>
      <c r="K48" s="42"/>
      <c r="L48" s="42"/>
    </row>
    <row r="49" spans="1:12" x14ac:dyDescent="0.25">
      <c r="A49" s="42"/>
      <c r="B49" s="42"/>
      <c r="C49" s="42"/>
      <c r="D49" s="42"/>
      <c r="E49" s="42"/>
      <c r="F49" s="42"/>
      <c r="G49" s="76"/>
      <c r="H49" s="77"/>
      <c r="I49" s="42"/>
      <c r="J49" s="42"/>
      <c r="K49" s="42"/>
      <c r="L49" s="42"/>
    </row>
    <row r="50" spans="1:12" x14ac:dyDescent="0.25">
      <c r="A50" s="42"/>
      <c r="B50" s="42"/>
      <c r="C50" s="42"/>
      <c r="D50" s="42"/>
      <c r="E50" s="42"/>
      <c r="F50" s="42"/>
      <c r="G50" s="76"/>
      <c r="H50" s="77"/>
      <c r="I50" s="42"/>
      <c r="J50" s="42"/>
      <c r="K50" s="42"/>
      <c r="L50" s="42"/>
    </row>
    <row r="51" spans="1:12" x14ac:dyDescent="0.25">
      <c r="A51" s="42"/>
      <c r="B51" s="42"/>
      <c r="C51" s="42"/>
      <c r="D51" s="42"/>
      <c r="E51" s="42"/>
      <c r="F51" s="42"/>
      <c r="G51" s="76"/>
      <c r="H51" s="77"/>
      <c r="I51" s="42"/>
      <c r="J51" s="42"/>
      <c r="K51" s="42"/>
      <c r="L51" s="42"/>
    </row>
    <row r="52" spans="1:12" x14ac:dyDescent="0.25">
      <c r="A52" s="42"/>
      <c r="B52" s="42"/>
      <c r="C52" s="42"/>
      <c r="D52" s="42"/>
      <c r="E52" s="42"/>
      <c r="F52" s="42"/>
      <c r="G52" s="76"/>
      <c r="H52" s="77"/>
      <c r="I52" s="42"/>
      <c r="J52" s="42"/>
      <c r="K52" s="42"/>
      <c r="L52" s="42"/>
    </row>
    <row r="53" spans="1:12" x14ac:dyDescent="0.25">
      <c r="A53" s="42"/>
      <c r="B53" s="42"/>
      <c r="C53" s="42"/>
      <c r="D53" s="42"/>
      <c r="E53" s="42"/>
      <c r="F53" s="42"/>
      <c r="G53" s="76"/>
      <c r="H53" s="77"/>
      <c r="I53" s="42"/>
      <c r="J53" s="42"/>
      <c r="K53" s="42"/>
      <c r="L53" s="42"/>
    </row>
    <row r="54" spans="1:12" x14ac:dyDescent="0.25">
      <c r="A54" s="42"/>
      <c r="B54" s="42"/>
      <c r="C54" s="42"/>
      <c r="D54" s="42"/>
      <c r="E54" s="42"/>
      <c r="F54" s="42"/>
      <c r="G54" s="76"/>
      <c r="H54" s="77"/>
      <c r="I54" s="42"/>
      <c r="J54" s="42"/>
      <c r="K54" s="42"/>
      <c r="L54" s="42"/>
    </row>
    <row r="55" spans="1:12" x14ac:dyDescent="0.25">
      <c r="A55" s="42"/>
      <c r="B55" s="42"/>
      <c r="C55" s="42"/>
      <c r="D55" s="42"/>
      <c r="E55" s="42"/>
      <c r="F55" s="42"/>
      <c r="G55" s="76"/>
      <c r="H55" s="77"/>
      <c r="I55" s="42"/>
      <c r="J55" s="42"/>
      <c r="K55" s="42"/>
      <c r="L55" s="42"/>
    </row>
    <row r="56" spans="1:12" x14ac:dyDescent="0.25">
      <c r="A56" s="42"/>
      <c r="B56" s="42"/>
      <c r="C56" s="42"/>
      <c r="D56" s="42"/>
      <c r="E56" s="42"/>
      <c r="F56" s="42"/>
      <c r="G56" s="76"/>
      <c r="H56" s="77"/>
      <c r="I56" s="42"/>
      <c r="J56" s="42"/>
      <c r="K56" s="42"/>
      <c r="L56" s="42"/>
    </row>
    <row r="57" spans="1:12" x14ac:dyDescent="0.25">
      <c r="A57" s="42"/>
      <c r="B57" s="42"/>
      <c r="C57" s="42"/>
      <c r="D57" s="42"/>
      <c r="E57" s="42"/>
      <c r="F57" s="42"/>
      <c r="G57" s="76"/>
      <c r="H57" s="77"/>
      <c r="I57" s="42"/>
      <c r="J57" s="42"/>
      <c r="K57" s="42"/>
      <c r="L57" s="42"/>
    </row>
    <row r="58" spans="1:12" x14ac:dyDescent="0.25">
      <c r="A58" s="42"/>
      <c r="B58" s="42"/>
      <c r="C58" s="42"/>
      <c r="D58" s="42"/>
      <c r="E58" s="42"/>
      <c r="F58" s="42"/>
      <c r="G58" s="76"/>
      <c r="H58" s="77"/>
      <c r="I58" s="42"/>
      <c r="J58" s="42"/>
      <c r="K58" s="42"/>
      <c r="L58" s="42"/>
    </row>
    <row r="59" spans="5:8" x14ac:dyDescent="0.25">
      <c r="E59" s="2" t="s">
        <v>200</v>
      </c>
      <c r="H59" s="78">
        <f>SUM(H25:H58)</f>
      </c>
    </row>
    <row r="60" spans="1:1" x14ac:dyDescent="0.25">
      <c r="A60" s="61" t="s">
        <v>201</v>
      </c>
    </row>
    <row r="61" spans="1:1" x14ac:dyDescent="0.25">
      <c r="A61" s="79" t="s">
        <v>202</v>
      </c>
    </row>
    <row r="62" spans="1:1" x14ac:dyDescent="0.25">
      <c r="A62" s="79" t="s">
        <v>178</v>
      </c>
    </row>
    <row r="63" spans="1:1" x14ac:dyDescent="0.25">
      <c r="A63" s="79" t="s">
        <v>177</v>
      </c>
    </row>
    <row r="64" spans="1:1" x14ac:dyDescent="0.25">
      <c r="A64" s="79" t="s">
        <v>191</v>
      </c>
    </row>
    <row r="65" spans="1:1" x14ac:dyDescent="0.25">
      <c r="A65" s="79" t="s">
        <v>196</v>
      </c>
    </row>
    <row r="66" spans="1:1" x14ac:dyDescent="0.25">
      <c r="A66" s="79" t="s">
        <v>197</v>
      </c>
    </row>
    <row r="67" spans="1:1" x14ac:dyDescent="0.25">
      <c r="A67" s="79" t="s">
        <v>203</v>
      </c>
    </row>
    <row r="68" spans="1:1" x14ac:dyDescent="0.25">
      <c r="A68" s="79" t="s">
        <v>198</v>
      </c>
    </row>
    <row r="69" spans="1:1" x14ac:dyDescent="0.25">
      <c r="A69" s="79" t="s">
        <v>199</v>
      </c>
    </row>
    <row r="70" spans="1:1" x14ac:dyDescent="0.25">
      <c r="A70" s="79" t="s">
        <v>204</v>
      </c>
    </row>
    <row r="71" spans="1:1" x14ac:dyDescent="0.25">
      <c r="A71" s="79" t="s">
        <v>180</v>
      </c>
    </row>
    <row r="72" spans="1:1" x14ac:dyDescent="0.25">
      <c r="A72" s="79" t="s">
        <v>181</v>
      </c>
    </row>
    <row r="73" spans="1:1" x14ac:dyDescent="0.25">
      <c r="A73" s="79" t="s">
        <v>205</v>
      </c>
    </row>
    <row r="74" spans="1:1" x14ac:dyDescent="0.25">
      <c r="A74" s="79" t="s">
        <v>184</v>
      </c>
    </row>
    <row r="75" spans="1:1" x14ac:dyDescent="0.25">
      <c r="A75" s="79" t="s">
        <v>183</v>
      </c>
    </row>
    <row r="76" spans="1:1" x14ac:dyDescent="0.25">
      <c r="A76" s="79" t="s">
        <v>206</v>
      </c>
    </row>
    <row r="77" spans="1:1" x14ac:dyDescent="0.25">
      <c r="A77" s="79" t="s">
        <v>185</v>
      </c>
    </row>
    <row r="78" spans="1:1" x14ac:dyDescent="0.25">
      <c r="A78" s="79" t="s">
        <v>187</v>
      </c>
    </row>
    <row r="79" spans="1:1" x14ac:dyDescent="0.25">
      <c r="A79" s="79" t="s">
        <v>186</v>
      </c>
    </row>
    <row r="80" spans="1:1" x14ac:dyDescent="0.25">
      <c r="A80" s="79" t="s">
        <v>188</v>
      </c>
    </row>
    <row r="81" spans="1:1" x14ac:dyDescent="0.25">
      <c r="A81" s="79" t="s">
        <v>190</v>
      </c>
    </row>
    <row r="82" spans="1:1" x14ac:dyDescent="0.25">
      <c r="A82" s="79" t="s">
        <v>189</v>
      </c>
    </row>
    <row r="83" spans="1:1" x14ac:dyDescent="0.25">
      <c r="A83" s="79" t="s">
        <v>207</v>
      </c>
    </row>
    <row r="84" spans="1:1" x14ac:dyDescent="0.25">
      <c r="A84" s="79" t="s">
        <v>192</v>
      </c>
    </row>
    <row r="85" spans="1:1" x14ac:dyDescent="0.25">
      <c r="A85" s="79" t="s">
        <v>194</v>
      </c>
    </row>
    <row r="86" spans="1:1" x14ac:dyDescent="0.25">
      <c r="A86" s="79" t="s">
        <v>208</v>
      </c>
    </row>
    <row r="87" spans="1:1" x14ac:dyDescent="0.25">
      <c r="A87" s="79" t="s">
        <v>195</v>
      </c>
    </row>
  </sheetData>
  <mergeCells count="115">
    <mergeCell ref="B4:AB4"/>
    <mergeCell ref="A4:A6"/>
    <mergeCell ref="B5:D5"/>
    <mergeCell ref="E5:G5"/>
    <mergeCell ref="H5:J5"/>
    <mergeCell ref="K5:M5"/>
    <mergeCell ref="N5:R5"/>
    <mergeCell ref="S5:U5"/>
    <mergeCell ref="V5:W5"/>
    <mergeCell ref="Z5:AA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  <mergeCell ref="C56:D56"/>
    <mergeCell ref="E56:F56"/>
    <mergeCell ref="I56:L56"/>
    <mergeCell ref="C57:D57"/>
    <mergeCell ref="E57:F57"/>
    <mergeCell ref="I57:L57"/>
    <mergeCell ref="C58:D58"/>
    <mergeCell ref="E58:F58"/>
    <mergeCell ref="I58:L58"/>
  </mergeCells>
  <conditionalFormatting sqref="B19:AB19">
    <cfRule type="cellIs" dxfId="0" priority="1" operator="lessThan">
      <formula>-0.5</formula>
    </cfRule>
    <cfRule type="cellIs" dxfId="1" priority="2" operator="greaterThanOrEqual">
      <formula>-0.5</formula>
    </cfRule>
  </conditionalFormatting>
  <dataValidations count="3">
    <dataValidation type="list" allowBlank="1" sqref="A25:A58">
      <formula1>"NIVELLEMENT VIA PICI,AUTRES NIVELLEMENTS"</formula1>
    </dataValidation>
    <dataValidation type="list" allowBlank="1" sqref="C25:C58">
      <formula1>$A$61:$A$87</formula1>
    </dataValidation>
    <dataValidation type="list" allowBlank="1" sqref="E25:E58">
      <formula1>$A$61:$A$87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1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</cols>
  <sheetData>
    <row r="1" spans="1:1" x14ac:dyDescent="0.25">
      <c r="A1" s="1" t="s">
        <v>209</v>
      </c>
    </row>
    <row r="4" spans="1:7" x14ac:dyDescent="0.25">
      <c r="A4" s="80" t="s">
        <v>2</v>
      </c>
      <c r="B4" s="80" t="s">
        <v>97</v>
      </c>
      <c r="C4" s="80" t="s">
        <v>210</v>
      </c>
      <c r="D4" s="80" t="s">
        <v>211</v>
      </c>
      <c r="E4" s="80" t="s">
        <v>175</v>
      </c>
      <c r="F4" s="80" t="s">
        <v>212</v>
      </c>
      <c r="G4" s="80" t="s">
        <v>213</v>
      </c>
    </row>
    <row r="5" spans="1:7" x14ac:dyDescent="0.25">
      <c r="A5" s="81" t="s">
        <v>3</v>
      </c>
      <c r="B5" s="42" t="s">
        <v>22</v>
      </c>
      <c r="C5" s="42" t="s">
        <v>107</v>
      </c>
      <c r="D5" s="42" t="s">
        <v>214</v>
      </c>
      <c r="E5" s="44">
        <v>-628015</v>
      </c>
      <c r="F5" s="44">
        <f>E5/'Reporting Hebdo'!$E$3</f>
      </c>
      <c r="G5" s="81" t="s">
        <v>215</v>
      </c>
    </row>
    <row r="6" spans="1:7" x14ac:dyDescent="0.25">
      <c r="A6" s="81" t="s">
        <v>3</v>
      </c>
      <c r="B6" s="42" t="s">
        <v>22</v>
      </c>
      <c r="C6" s="42" t="s">
        <v>107</v>
      </c>
      <c r="D6" s="42" t="s">
        <v>216</v>
      </c>
      <c r="E6" s="44">
        <v>-5947200</v>
      </c>
      <c r="F6" s="44">
        <f>E6/'Reporting Hebdo'!$E$3</f>
      </c>
      <c r="G6" s="81" t="s">
        <v>215</v>
      </c>
    </row>
    <row r="7" spans="1:7" x14ac:dyDescent="0.25">
      <c r="A7" s="81" t="s">
        <v>3</v>
      </c>
      <c r="B7" s="42" t="s">
        <v>22</v>
      </c>
      <c r="C7" s="42" t="s">
        <v>107</v>
      </c>
      <c r="D7" s="42" t="s">
        <v>217</v>
      </c>
      <c r="E7" s="44">
        <v>-50</v>
      </c>
      <c r="F7" s="44">
        <f>E7/'Reporting Hebdo'!$E$3</f>
      </c>
      <c r="G7" s="81" t="s">
        <v>215</v>
      </c>
    </row>
    <row r="8" spans="1:7" x14ac:dyDescent="0.25">
      <c r="A8" s="81" t="s">
        <v>3</v>
      </c>
      <c r="B8" s="42" t="s">
        <v>22</v>
      </c>
      <c r="C8" s="42" t="s">
        <v>107</v>
      </c>
      <c r="D8" s="42" t="s">
        <v>218</v>
      </c>
      <c r="E8" s="44">
        <v>-157910</v>
      </c>
      <c r="F8" s="44">
        <f>E8/'Reporting Hebdo'!$E$3</f>
      </c>
      <c r="G8" s="81" t="s">
        <v>215</v>
      </c>
    </row>
    <row r="9" spans="1:7" x14ac:dyDescent="0.25">
      <c r="A9" s="81" t="s">
        <v>3</v>
      </c>
      <c r="B9" s="42" t="s">
        <v>22</v>
      </c>
      <c r="C9" s="42" t="s">
        <v>107</v>
      </c>
      <c r="D9" s="42" t="s">
        <v>219</v>
      </c>
      <c r="E9" s="44">
        <v>-7734197</v>
      </c>
      <c r="F9" s="44">
        <f>E9/'Reporting Hebdo'!$E$3</f>
      </c>
      <c r="G9" s="81" t="s">
        <v>215</v>
      </c>
    </row>
    <row r="10" spans="1:7" x14ac:dyDescent="0.25">
      <c r="A10" s="81" t="s">
        <v>3</v>
      </c>
      <c r="B10" s="42" t="s">
        <v>22</v>
      </c>
      <c r="C10" s="42" t="s">
        <v>107</v>
      </c>
      <c r="D10" s="42" t="s">
        <v>220</v>
      </c>
      <c r="E10" s="44">
        <v>-324500</v>
      </c>
      <c r="F10" s="44">
        <f>E10/'Reporting Hebdo'!$E$3</f>
      </c>
      <c r="G10" s="81" t="s">
        <v>215</v>
      </c>
    </row>
    <row r="11" spans="1:7" x14ac:dyDescent="0.25">
      <c r="A11" s="81" t="s">
        <v>3</v>
      </c>
      <c r="B11" s="42" t="s">
        <v>22</v>
      </c>
      <c r="C11" s="42" t="s">
        <v>107</v>
      </c>
      <c r="D11" s="42" t="s">
        <v>220</v>
      </c>
      <c r="E11" s="44">
        <v>-324500</v>
      </c>
      <c r="F11" s="44">
        <f>E11/'Reporting Hebdo'!$E$3</f>
      </c>
      <c r="G11" s="81" t="s">
        <v>215</v>
      </c>
    </row>
    <row r="12" spans="1:7" x14ac:dyDescent="0.25">
      <c r="A12" s="81" t="s">
        <v>3</v>
      </c>
      <c r="B12" s="42" t="s">
        <v>22</v>
      </c>
      <c r="C12" s="42" t="s">
        <v>107</v>
      </c>
      <c r="D12" s="42" t="s">
        <v>221</v>
      </c>
      <c r="E12" s="44">
        <v>-5443898</v>
      </c>
      <c r="F12" s="44">
        <f>E12/'Reporting Hebdo'!$E$3</f>
      </c>
      <c r="G12" s="81" t="s">
        <v>215</v>
      </c>
    </row>
    <row r="13" spans="1:7" x14ac:dyDescent="0.25">
      <c r="A13" s="81" t="s">
        <v>3</v>
      </c>
      <c r="B13" s="42" t="s">
        <v>22</v>
      </c>
      <c r="C13" s="42" t="s">
        <v>107</v>
      </c>
      <c r="D13" s="42" t="s">
        <v>222</v>
      </c>
      <c r="E13" s="44">
        <v>-342735</v>
      </c>
      <c r="F13" s="44">
        <f>E13/'Reporting Hebdo'!$E$3</f>
      </c>
      <c r="G13" s="81" t="s">
        <v>215</v>
      </c>
    </row>
    <row r="14" spans="1:7" x14ac:dyDescent="0.25">
      <c r="A14" s="81" t="s">
        <v>3</v>
      </c>
      <c r="B14" s="42" t="s">
        <v>22</v>
      </c>
      <c r="C14" s="42" t="s">
        <v>107</v>
      </c>
      <c r="D14" s="42" t="s">
        <v>223</v>
      </c>
      <c r="E14" s="44">
        <v>-34002</v>
      </c>
      <c r="F14" s="44">
        <f>E14/'Reporting Hebdo'!$E$3</f>
      </c>
      <c r="G14" s="81" t="s">
        <v>215</v>
      </c>
    </row>
    <row r="15" spans="1:7" x14ac:dyDescent="0.25">
      <c r="A15" s="81" t="s">
        <v>3</v>
      </c>
      <c r="B15" s="42" t="s">
        <v>22</v>
      </c>
      <c r="C15" s="42" t="s">
        <v>107</v>
      </c>
      <c r="D15" s="42" t="s">
        <v>223</v>
      </c>
      <c r="E15" s="44">
        <v>-44002</v>
      </c>
      <c r="F15" s="44">
        <f>E15/'Reporting Hebdo'!$E$3</f>
      </c>
      <c r="G15" s="81" t="s">
        <v>215</v>
      </c>
    </row>
    <row r="16" spans="1:7" x14ac:dyDescent="0.25">
      <c r="A16" s="81" t="s">
        <v>3</v>
      </c>
      <c r="B16" s="42" t="s">
        <v>22</v>
      </c>
      <c r="C16" s="42" t="s">
        <v>107</v>
      </c>
      <c r="D16" s="42" t="s">
        <v>224</v>
      </c>
      <c r="E16" s="44">
        <v>-7954048</v>
      </c>
      <c r="F16" s="44">
        <f>E16/'Reporting Hebdo'!$E$3</f>
      </c>
      <c r="G16" s="81" t="s">
        <v>215</v>
      </c>
    </row>
    <row r="17" spans="1:7" x14ac:dyDescent="0.25">
      <c r="A17" s="81" t="s">
        <v>3</v>
      </c>
      <c r="B17" s="42" t="s">
        <v>22</v>
      </c>
      <c r="C17" s="42" t="s">
        <v>107</v>
      </c>
      <c r="D17" s="42" t="s">
        <v>224</v>
      </c>
      <c r="E17" s="44">
        <v>-7929032</v>
      </c>
      <c r="F17" s="44">
        <f>E17/'Reporting Hebdo'!$E$3</f>
      </c>
      <c r="G17" s="81" t="s">
        <v>215</v>
      </c>
    </row>
    <row r="18" spans="1:7" x14ac:dyDescent="0.25">
      <c r="A18" s="81" t="s">
        <v>3</v>
      </c>
      <c r="B18" s="42" t="s">
        <v>22</v>
      </c>
      <c r="C18" s="42" t="s">
        <v>107</v>
      </c>
      <c r="D18" s="42" t="s">
        <v>225</v>
      </c>
      <c r="E18" s="44">
        <v>-791000</v>
      </c>
      <c r="F18" s="44">
        <f>E18/'Reporting Hebdo'!$E$3</f>
      </c>
      <c r="G18" s="81" t="s">
        <v>215</v>
      </c>
    </row>
    <row r="19" spans="1:7" x14ac:dyDescent="0.25">
      <c r="A19" s="81" t="s">
        <v>3</v>
      </c>
      <c r="B19" s="42" t="s">
        <v>22</v>
      </c>
      <c r="C19" s="42" t="s">
        <v>107</v>
      </c>
      <c r="D19" s="42" t="s">
        <v>226</v>
      </c>
      <c r="E19" s="44">
        <v>-739396</v>
      </c>
      <c r="F19" s="44">
        <f>E19/'Reporting Hebdo'!$E$3</f>
      </c>
      <c r="G19" s="81" t="s">
        <v>215</v>
      </c>
    </row>
    <row r="20" spans="1:7" x14ac:dyDescent="0.25">
      <c r="A20" s="81" t="s">
        <v>3</v>
      </c>
      <c r="B20" s="42" t="s">
        <v>22</v>
      </c>
      <c r="C20" s="42" t="s">
        <v>107</v>
      </c>
      <c r="D20" s="42" t="s">
        <v>227</v>
      </c>
      <c r="E20" s="44">
        <v>-1700002</v>
      </c>
      <c r="F20" s="44">
        <f>E20/'Reporting Hebdo'!$E$3</f>
      </c>
      <c r="G20" s="81" t="s">
        <v>215</v>
      </c>
    </row>
    <row r="21" spans="1:7" x14ac:dyDescent="0.25">
      <c r="A21" s="81" t="s">
        <v>3</v>
      </c>
      <c r="B21" s="42" t="s">
        <v>22</v>
      </c>
      <c r="C21" s="42" t="s">
        <v>107</v>
      </c>
      <c r="D21" s="42" t="s">
        <v>228</v>
      </c>
      <c r="E21" s="44">
        <v>-934678</v>
      </c>
      <c r="F21" s="44">
        <f>E21/'Reporting Hebdo'!$E$3</f>
      </c>
      <c r="G21" s="81" t="s">
        <v>215</v>
      </c>
    </row>
    <row r="22" spans="1:7" x14ac:dyDescent="0.25">
      <c r="A22" s="81" t="s">
        <v>3</v>
      </c>
      <c r="B22" s="42" t="s">
        <v>22</v>
      </c>
      <c r="C22" s="42" t="s">
        <v>107</v>
      </c>
      <c r="D22" s="42" t="s">
        <v>228</v>
      </c>
      <c r="E22" s="44">
        <v>-934678</v>
      </c>
      <c r="F22" s="44">
        <f>E22/'Reporting Hebdo'!$E$3</f>
      </c>
      <c r="G22" s="81" t="s">
        <v>215</v>
      </c>
    </row>
    <row r="23" spans="1:7" x14ac:dyDescent="0.25">
      <c r="A23" s="81" t="s">
        <v>3</v>
      </c>
      <c r="B23" s="42" t="s">
        <v>22</v>
      </c>
      <c r="C23" s="42" t="s">
        <v>107</v>
      </c>
      <c r="D23" s="42" t="s">
        <v>229</v>
      </c>
      <c r="E23" s="44">
        <v>-1233973</v>
      </c>
      <c r="F23" s="44">
        <f>E23/'Reporting Hebdo'!$E$3</f>
      </c>
      <c r="G23" s="81" t="s">
        <v>215</v>
      </c>
    </row>
    <row r="24" spans="1:7" x14ac:dyDescent="0.25">
      <c r="A24" s="81" t="s">
        <v>3</v>
      </c>
      <c r="B24" s="42" t="s">
        <v>22</v>
      </c>
      <c r="C24" s="42" t="s">
        <v>107</v>
      </c>
      <c r="D24" s="42" t="s">
        <v>230</v>
      </c>
      <c r="E24" s="44">
        <v>-2025218</v>
      </c>
      <c r="F24" s="44">
        <f>E24/'Reporting Hebdo'!$E$3</f>
      </c>
      <c r="G24" s="81" t="s">
        <v>215</v>
      </c>
    </row>
    <row r="25" spans="1:7" x14ac:dyDescent="0.25">
      <c r="A25" s="81" t="s">
        <v>3</v>
      </c>
      <c r="B25" s="42" t="s">
        <v>22</v>
      </c>
      <c r="C25" s="42" t="s">
        <v>107</v>
      </c>
      <c r="D25" s="42" t="s">
        <v>230</v>
      </c>
      <c r="E25" s="44">
        <v>-3727424</v>
      </c>
      <c r="F25" s="44">
        <f>E25/'Reporting Hebdo'!$E$3</f>
      </c>
      <c r="G25" s="81" t="s">
        <v>215</v>
      </c>
    </row>
    <row r="26" spans="1:7" x14ac:dyDescent="0.25">
      <c r="A26" s="81" t="s">
        <v>3</v>
      </c>
      <c r="B26" s="42" t="s">
        <v>22</v>
      </c>
      <c r="C26" s="42" t="s">
        <v>107</v>
      </c>
      <c r="D26" s="42" t="s">
        <v>231</v>
      </c>
      <c r="E26" s="44">
        <v>-162349</v>
      </c>
      <c r="F26" s="44">
        <f>E26/'Reporting Hebdo'!$E$3</f>
      </c>
      <c r="G26" s="81" t="s">
        <v>215</v>
      </c>
    </row>
    <row r="27" spans="1:7" x14ac:dyDescent="0.25">
      <c r="A27" s="81" t="s">
        <v>3</v>
      </c>
      <c r="B27" s="42" t="s">
        <v>22</v>
      </c>
      <c r="C27" s="42" t="s">
        <v>107</v>
      </c>
      <c r="D27" s="42" t="s">
        <v>232</v>
      </c>
      <c r="E27" s="44">
        <v>-7460464</v>
      </c>
      <c r="F27" s="44">
        <f>E27/'Reporting Hebdo'!$E$3</f>
      </c>
      <c r="G27" s="81" t="s">
        <v>215</v>
      </c>
    </row>
    <row r="28" spans="1:7" x14ac:dyDescent="0.25">
      <c r="A28" s="81" t="s">
        <v>3</v>
      </c>
      <c r="B28" s="42" t="s">
        <v>22</v>
      </c>
      <c r="C28" s="42" t="s">
        <v>107</v>
      </c>
      <c r="D28" s="42" t="s">
        <v>233</v>
      </c>
      <c r="E28" s="44">
        <v>-194350</v>
      </c>
      <c r="F28" s="44">
        <f>E28/'Reporting Hebdo'!$E$3</f>
      </c>
      <c r="G28" s="81" t="s">
        <v>215</v>
      </c>
    </row>
    <row r="29" spans="1:7" x14ac:dyDescent="0.25">
      <c r="A29" s="81" t="s">
        <v>3</v>
      </c>
      <c r="B29" s="42" t="s">
        <v>22</v>
      </c>
      <c r="C29" s="42" t="s">
        <v>108</v>
      </c>
      <c r="D29" s="42" t="s">
        <v>234</v>
      </c>
      <c r="E29" s="44">
        <v>-5783552</v>
      </c>
      <c r="F29" s="44">
        <f>E29/'Reporting Hebdo'!$E$3</f>
      </c>
      <c r="G29" s="81" t="s">
        <v>215</v>
      </c>
    </row>
    <row r="30" spans="1:7" x14ac:dyDescent="0.25">
      <c r="A30" s="81" t="s">
        <v>3</v>
      </c>
      <c r="B30" s="42" t="s">
        <v>22</v>
      </c>
      <c r="C30" s="42" t="s">
        <v>108</v>
      </c>
      <c r="D30" s="42" t="s">
        <v>235</v>
      </c>
      <c r="E30" s="44">
        <v>-36980921</v>
      </c>
      <c r="F30" s="44">
        <f>E30/'Reporting Hebdo'!$E$3</f>
      </c>
      <c r="G30" s="81" t="s">
        <v>215</v>
      </c>
    </row>
    <row r="31" spans="1:7" x14ac:dyDescent="0.25">
      <c r="A31" s="81" t="s">
        <v>3</v>
      </c>
      <c r="B31" s="42" t="s">
        <v>22</v>
      </c>
      <c r="C31" s="42" t="s">
        <v>108</v>
      </c>
      <c r="D31" s="42" t="s">
        <v>236</v>
      </c>
      <c r="E31" s="44">
        <v>-29302875</v>
      </c>
      <c r="F31" s="44">
        <f>E31/'Reporting Hebdo'!$E$3</f>
      </c>
      <c r="G31" s="81" t="s">
        <v>215</v>
      </c>
    </row>
    <row r="32" spans="1:7" x14ac:dyDescent="0.25">
      <c r="A32" s="81" t="s">
        <v>3</v>
      </c>
      <c r="B32" s="42" t="s">
        <v>22</v>
      </c>
      <c r="C32" s="42" t="s">
        <v>108</v>
      </c>
      <c r="D32" s="42" t="s">
        <v>237</v>
      </c>
      <c r="E32" s="44">
        <v>-25148057</v>
      </c>
      <c r="F32" s="44">
        <f>E32/'Reporting Hebdo'!$E$3</f>
      </c>
      <c r="G32" s="81" t="s">
        <v>215</v>
      </c>
    </row>
    <row r="33" spans="1:7" x14ac:dyDescent="0.25">
      <c r="A33" s="81" t="s">
        <v>3</v>
      </c>
      <c r="B33" s="42" t="s">
        <v>22</v>
      </c>
      <c r="C33" s="42" t="s">
        <v>108</v>
      </c>
      <c r="D33" s="42" t="s">
        <v>238</v>
      </c>
      <c r="E33" s="44">
        <v>-599151</v>
      </c>
      <c r="F33" s="44">
        <f>E33/'Reporting Hebdo'!$E$3</f>
      </c>
      <c r="G33" s="81" t="s">
        <v>215</v>
      </c>
    </row>
    <row r="34" spans="1:7" x14ac:dyDescent="0.25">
      <c r="A34" s="81" t="s">
        <v>3</v>
      </c>
      <c r="B34" s="42" t="s">
        <v>22</v>
      </c>
      <c r="C34" s="42" t="s">
        <v>108</v>
      </c>
      <c r="D34" s="42" t="s">
        <v>239</v>
      </c>
      <c r="E34" s="44">
        <v>-63244759</v>
      </c>
      <c r="F34" s="44">
        <f>E34/'Reporting Hebdo'!$E$3</f>
      </c>
      <c r="G34" s="81" t="s">
        <v>215</v>
      </c>
    </row>
    <row r="35" spans="1:7" x14ac:dyDescent="0.25">
      <c r="A35" s="81" t="s">
        <v>3</v>
      </c>
      <c r="B35" s="42" t="s">
        <v>22</v>
      </c>
      <c r="C35" s="42" t="s">
        <v>109</v>
      </c>
      <c r="D35" s="42" t="s">
        <v>240</v>
      </c>
      <c r="E35" s="44">
        <v>-1680000</v>
      </c>
      <c r="F35" s="44">
        <f>E35/'Reporting Hebdo'!$E$3</f>
      </c>
      <c r="G35" s="81" t="s">
        <v>215</v>
      </c>
    </row>
    <row r="36" spans="1:7" x14ac:dyDescent="0.25">
      <c r="A36" s="81" t="s">
        <v>3</v>
      </c>
      <c r="B36" s="42" t="s">
        <v>22</v>
      </c>
      <c r="C36" s="42" t="s">
        <v>109</v>
      </c>
      <c r="D36" s="42" t="s">
        <v>241</v>
      </c>
      <c r="E36" s="44">
        <v>-43378656</v>
      </c>
      <c r="F36" s="44">
        <f>E36/'Reporting Hebdo'!$E$3</f>
      </c>
      <c r="G36" s="81" t="s">
        <v>215</v>
      </c>
    </row>
    <row r="37" spans="1:7" x14ac:dyDescent="0.25">
      <c r="A37" s="81" t="s">
        <v>3</v>
      </c>
      <c r="B37" s="42" t="s">
        <v>29</v>
      </c>
      <c r="C37" s="42" t="s">
        <v>107</v>
      </c>
      <c r="D37" s="42" t="s">
        <v>242</v>
      </c>
      <c r="E37" s="44">
        <v>-580560</v>
      </c>
      <c r="F37" s="44">
        <f>E37/'Reporting Hebdo'!$E$3</f>
      </c>
      <c r="G37" s="81" t="s">
        <v>215</v>
      </c>
    </row>
    <row r="38" spans="1:7" x14ac:dyDescent="0.25">
      <c r="A38" s="81" t="s">
        <v>3</v>
      </c>
      <c r="B38" s="42" t="s">
        <v>29</v>
      </c>
      <c r="C38" s="42" t="s">
        <v>107</v>
      </c>
      <c r="D38" s="42" t="s">
        <v>243</v>
      </c>
      <c r="E38" s="44">
        <v>-5224698</v>
      </c>
      <c r="F38" s="44">
        <f>E38/'Reporting Hebdo'!$E$3</f>
      </c>
      <c r="G38" s="81" t="s">
        <v>215</v>
      </c>
    </row>
    <row r="39" spans="1:7" x14ac:dyDescent="0.25">
      <c r="A39" s="81" t="s">
        <v>3</v>
      </c>
      <c r="B39" s="42" t="s">
        <v>29</v>
      </c>
      <c r="C39" s="42" t="s">
        <v>107</v>
      </c>
      <c r="D39" s="42" t="s">
        <v>244</v>
      </c>
      <c r="E39" s="44">
        <v>-250000</v>
      </c>
      <c r="F39" s="44">
        <f>E39/'Reporting Hebdo'!$E$3</f>
      </c>
      <c r="G39" s="81" t="s">
        <v>215</v>
      </c>
    </row>
    <row r="40" spans="1:7" x14ac:dyDescent="0.25">
      <c r="A40" s="81" t="s">
        <v>3</v>
      </c>
      <c r="B40" s="42" t="s">
        <v>29</v>
      </c>
      <c r="C40" s="42" t="s">
        <v>107</v>
      </c>
      <c r="D40" s="42" t="s">
        <v>245</v>
      </c>
      <c r="E40" s="44">
        <v>-5268245</v>
      </c>
      <c r="F40" s="44">
        <f>E40/'Reporting Hebdo'!$E$3</f>
      </c>
      <c r="G40" s="81" t="s">
        <v>215</v>
      </c>
    </row>
    <row r="41" spans="1:7" x14ac:dyDescent="0.25">
      <c r="A41" s="81" t="s">
        <v>3</v>
      </c>
      <c r="B41" s="42" t="s">
        <v>29</v>
      </c>
      <c r="C41" s="42" t="s">
        <v>107</v>
      </c>
      <c r="D41" s="42" t="s">
        <v>220</v>
      </c>
      <c r="E41" s="44">
        <v>-28248</v>
      </c>
      <c r="F41" s="44">
        <f>E41/'Reporting Hebdo'!$E$3</f>
      </c>
      <c r="G41" s="81" t="s">
        <v>215</v>
      </c>
    </row>
    <row r="42" spans="1:7" x14ac:dyDescent="0.25">
      <c r="A42" s="81" t="s">
        <v>3</v>
      </c>
      <c r="B42" s="42" t="s">
        <v>29</v>
      </c>
      <c r="C42" s="42" t="s">
        <v>107</v>
      </c>
      <c r="D42" s="42" t="s">
        <v>246</v>
      </c>
      <c r="E42" s="44">
        <v>-1191450</v>
      </c>
      <c r="F42" s="44">
        <f>E42/'Reporting Hebdo'!$E$3</f>
      </c>
      <c r="G42" s="81" t="s">
        <v>215</v>
      </c>
    </row>
    <row r="43" spans="1:7" x14ac:dyDescent="0.25">
      <c r="A43" s="81" t="s">
        <v>3</v>
      </c>
      <c r="B43" s="42" t="s">
        <v>29</v>
      </c>
      <c r="C43" s="42" t="s">
        <v>107</v>
      </c>
      <c r="D43" s="42" t="s">
        <v>247</v>
      </c>
      <c r="E43" s="44">
        <v>-448400</v>
      </c>
      <c r="F43" s="44">
        <f>E43/'Reporting Hebdo'!$E$3</f>
      </c>
      <c r="G43" s="81" t="s">
        <v>215</v>
      </c>
    </row>
    <row r="44" spans="1:7" x14ac:dyDescent="0.25">
      <c r="A44" s="81" t="s">
        <v>3</v>
      </c>
      <c r="B44" s="42" t="s">
        <v>29</v>
      </c>
      <c r="C44" s="42" t="s">
        <v>107</v>
      </c>
      <c r="D44" s="42" t="s">
        <v>248</v>
      </c>
      <c r="E44" s="44">
        <v>-6575302</v>
      </c>
      <c r="F44" s="44">
        <f>E44/'Reporting Hebdo'!$E$3</f>
      </c>
      <c r="G44" s="81" t="s">
        <v>215</v>
      </c>
    </row>
    <row r="45" spans="1:7" x14ac:dyDescent="0.25">
      <c r="A45" s="81" t="s">
        <v>3</v>
      </c>
      <c r="B45" s="42" t="s">
        <v>29</v>
      </c>
      <c r="C45" s="42" t="s">
        <v>107</v>
      </c>
      <c r="D45" s="42" t="s">
        <v>249</v>
      </c>
      <c r="E45" s="44">
        <v>-42500000</v>
      </c>
      <c r="F45" s="44">
        <f>E45/'Reporting Hebdo'!$E$3</f>
      </c>
      <c r="G45" s="81" t="s">
        <v>215</v>
      </c>
    </row>
    <row r="46" spans="1:7" x14ac:dyDescent="0.25">
      <c r="A46" s="81" t="s">
        <v>3</v>
      </c>
      <c r="B46" s="42" t="s">
        <v>29</v>
      </c>
      <c r="C46" s="42" t="s">
        <v>107</v>
      </c>
      <c r="D46" s="42" t="s">
        <v>250</v>
      </c>
      <c r="E46" s="44">
        <v>-33915</v>
      </c>
      <c r="F46" s="44">
        <f>E46/'Reporting Hebdo'!$E$3</f>
      </c>
      <c r="G46" s="81" t="s">
        <v>215</v>
      </c>
    </row>
    <row r="47" spans="1:7" x14ac:dyDescent="0.25">
      <c r="A47" s="81" t="s">
        <v>3</v>
      </c>
      <c r="B47" s="42" t="s">
        <v>29</v>
      </c>
      <c r="C47" s="42" t="s">
        <v>107</v>
      </c>
      <c r="D47" s="42" t="s">
        <v>233</v>
      </c>
      <c r="E47" s="44">
        <v>-127857</v>
      </c>
      <c r="F47" s="44">
        <f>E47/'Reporting Hebdo'!$E$3</f>
      </c>
      <c r="G47" s="81" t="s">
        <v>215</v>
      </c>
    </row>
    <row r="48" spans="1:7" x14ac:dyDescent="0.25">
      <c r="A48" s="81" t="s">
        <v>3</v>
      </c>
      <c r="B48" s="42" t="s">
        <v>29</v>
      </c>
      <c r="C48" s="42" t="s">
        <v>107</v>
      </c>
      <c r="D48" s="42" t="s">
        <v>251</v>
      </c>
      <c r="E48" s="44">
        <v>-205320</v>
      </c>
      <c r="F48" s="44">
        <f>E48/'Reporting Hebdo'!$E$3</f>
      </c>
      <c r="G48" s="81" t="s">
        <v>215</v>
      </c>
    </row>
    <row r="49" spans="1:7" x14ac:dyDescent="0.25">
      <c r="A49" s="81" t="s">
        <v>3</v>
      </c>
      <c r="B49" s="42" t="s">
        <v>29</v>
      </c>
      <c r="C49" s="42" t="s">
        <v>108</v>
      </c>
      <c r="D49" s="42" t="s">
        <v>234</v>
      </c>
      <c r="E49" s="44">
        <v>-697210</v>
      </c>
      <c r="F49" s="44">
        <f>E49/'Reporting Hebdo'!$E$3</f>
      </c>
      <c r="G49" s="81" t="s">
        <v>215</v>
      </c>
    </row>
    <row r="50" spans="1:7" x14ac:dyDescent="0.25">
      <c r="A50" s="81" t="s">
        <v>3</v>
      </c>
      <c r="B50" s="42" t="s">
        <v>29</v>
      </c>
      <c r="C50" s="42" t="s">
        <v>108</v>
      </c>
      <c r="D50" s="42" t="s">
        <v>238</v>
      </c>
      <c r="E50" s="44">
        <v>-862858</v>
      </c>
      <c r="F50" s="44">
        <f>E50/'Reporting Hebdo'!$E$3</f>
      </c>
      <c r="G50" s="81" t="s">
        <v>215</v>
      </c>
    </row>
    <row r="51" spans="1:7" x14ac:dyDescent="0.25">
      <c r="A51" s="81" t="s">
        <v>3</v>
      </c>
      <c r="B51" s="42" t="s">
        <v>33</v>
      </c>
      <c r="C51" s="42" t="s">
        <v>107</v>
      </c>
      <c r="D51" s="42" t="s">
        <v>217</v>
      </c>
      <c r="E51" s="44">
        <v>-67515</v>
      </c>
      <c r="F51" s="44">
        <f>E51/'Reporting Hebdo'!$E$3</f>
      </c>
      <c r="G51" s="81" t="s">
        <v>215</v>
      </c>
    </row>
    <row r="52" spans="1:7" x14ac:dyDescent="0.25">
      <c r="A52" s="81" t="s">
        <v>3</v>
      </c>
      <c r="B52" s="42" t="s">
        <v>33</v>
      </c>
      <c r="C52" s="42" t="s">
        <v>107</v>
      </c>
      <c r="D52" s="42" t="s">
        <v>252</v>
      </c>
      <c r="E52" s="44">
        <v>-882980</v>
      </c>
      <c r="F52" s="44">
        <f>E52/'Reporting Hebdo'!$E$3</f>
      </c>
      <c r="G52" s="81" t="s">
        <v>215</v>
      </c>
    </row>
    <row r="53" spans="1:7" x14ac:dyDescent="0.25">
      <c r="A53" s="81" t="s">
        <v>3</v>
      </c>
      <c r="B53" s="42" t="s">
        <v>33</v>
      </c>
      <c r="C53" s="42" t="s">
        <v>107</v>
      </c>
      <c r="D53" s="42" t="s">
        <v>253</v>
      </c>
      <c r="E53" s="44">
        <v>-906950</v>
      </c>
      <c r="F53" s="44">
        <f>E53/'Reporting Hebdo'!$E$3</f>
      </c>
      <c r="G53" s="81" t="s">
        <v>215</v>
      </c>
    </row>
    <row r="54" spans="1:7" x14ac:dyDescent="0.25">
      <c r="A54" s="81" t="s">
        <v>3</v>
      </c>
      <c r="B54" s="42" t="s">
        <v>33</v>
      </c>
      <c r="C54" s="42" t="s">
        <v>107</v>
      </c>
      <c r="D54" s="42" t="s">
        <v>254</v>
      </c>
      <c r="E54" s="44">
        <v>-6428640</v>
      </c>
      <c r="F54" s="44">
        <f>E54/'Reporting Hebdo'!$E$3</f>
      </c>
      <c r="G54" s="81" t="s">
        <v>215</v>
      </c>
    </row>
    <row r="55" spans="1:7" x14ac:dyDescent="0.25">
      <c r="A55" s="81" t="s">
        <v>3</v>
      </c>
      <c r="B55" s="42" t="s">
        <v>33</v>
      </c>
      <c r="C55" s="42" t="s">
        <v>107</v>
      </c>
      <c r="D55" s="42" t="s">
        <v>219</v>
      </c>
      <c r="E55" s="44">
        <v>-1278980</v>
      </c>
      <c r="F55" s="44">
        <f>E55/'Reporting Hebdo'!$E$3</f>
      </c>
      <c r="G55" s="81" t="s">
        <v>215</v>
      </c>
    </row>
    <row r="56" spans="1:7" x14ac:dyDescent="0.25">
      <c r="A56" s="81" t="s">
        <v>3</v>
      </c>
      <c r="B56" s="42" t="s">
        <v>33</v>
      </c>
      <c r="C56" s="42" t="s">
        <v>107</v>
      </c>
      <c r="D56" s="42" t="s">
        <v>232</v>
      </c>
      <c r="E56" s="44">
        <v>-150824</v>
      </c>
      <c r="F56" s="44">
        <f>E56/'Reporting Hebdo'!$E$3</f>
      </c>
      <c r="G56" s="81" t="s">
        <v>215</v>
      </c>
    </row>
    <row r="57" spans="1:7" x14ac:dyDescent="0.25">
      <c r="A57" s="81" t="s">
        <v>3</v>
      </c>
      <c r="B57" s="42" t="s">
        <v>33</v>
      </c>
      <c r="C57" s="42" t="s">
        <v>108</v>
      </c>
      <c r="D57" s="42" t="s">
        <v>235</v>
      </c>
      <c r="E57" s="44">
        <v>-254918009</v>
      </c>
      <c r="F57" s="44">
        <f>E57/'Reporting Hebdo'!$E$3</f>
      </c>
      <c r="G57" s="81" t="s">
        <v>215</v>
      </c>
    </row>
    <row r="58" spans="1:7" x14ac:dyDescent="0.25">
      <c r="A58" s="81" t="s">
        <v>3</v>
      </c>
      <c r="B58" s="42" t="s">
        <v>36</v>
      </c>
      <c r="C58" s="42" t="s">
        <v>107</v>
      </c>
      <c r="D58" s="42" t="s">
        <v>243</v>
      </c>
      <c r="E58" s="44">
        <v>-8342600</v>
      </c>
      <c r="F58" s="44">
        <f>E58/'Reporting Hebdo'!$E$3</f>
      </c>
      <c r="G58" s="81" t="s">
        <v>215</v>
      </c>
    </row>
    <row r="59" spans="1:7" x14ac:dyDescent="0.25">
      <c r="A59" s="81" t="s">
        <v>3</v>
      </c>
      <c r="B59" s="42" t="s">
        <v>36</v>
      </c>
      <c r="C59" s="42" t="s">
        <v>107</v>
      </c>
      <c r="D59" s="42" t="s">
        <v>255</v>
      </c>
      <c r="E59" s="44">
        <v>-141600</v>
      </c>
      <c r="F59" s="44">
        <f>E59/'Reporting Hebdo'!$E$3</f>
      </c>
      <c r="G59" s="81" t="s">
        <v>215</v>
      </c>
    </row>
    <row r="60" spans="1:7" x14ac:dyDescent="0.25">
      <c r="A60" s="81" t="s">
        <v>3</v>
      </c>
      <c r="B60" s="42" t="s">
        <v>36</v>
      </c>
      <c r="C60" s="42" t="s">
        <v>107</v>
      </c>
      <c r="D60" s="42" t="s">
        <v>245</v>
      </c>
      <c r="E60" s="44">
        <v>-3715569</v>
      </c>
      <c r="F60" s="44">
        <f>E60/'Reporting Hebdo'!$E$3</f>
      </c>
      <c r="G60" s="81" t="s">
        <v>215</v>
      </c>
    </row>
    <row r="61" spans="1:7" x14ac:dyDescent="0.25">
      <c r="A61" s="81" t="s">
        <v>3</v>
      </c>
      <c r="B61" s="42" t="s">
        <v>36</v>
      </c>
      <c r="C61" s="42" t="s">
        <v>107</v>
      </c>
      <c r="D61" s="42" t="s">
        <v>256</v>
      </c>
      <c r="E61" s="44">
        <v>-5444443</v>
      </c>
      <c r="F61" s="44">
        <f>E61/'Reporting Hebdo'!$E$3</f>
      </c>
      <c r="G61" s="81" t="s">
        <v>215</v>
      </c>
    </row>
    <row r="62" spans="1:7" x14ac:dyDescent="0.25">
      <c r="A62" s="81" t="s">
        <v>3</v>
      </c>
      <c r="B62" s="42" t="s">
        <v>36</v>
      </c>
      <c r="C62" s="42" t="s">
        <v>107</v>
      </c>
      <c r="D62" s="42" t="s">
        <v>232</v>
      </c>
      <c r="E62" s="44">
        <v>-2333</v>
      </c>
      <c r="F62" s="44">
        <f>E62/'Reporting Hebdo'!$E$3</f>
      </c>
      <c r="G62" s="81" t="s">
        <v>215</v>
      </c>
    </row>
    <row r="63" spans="1:7" x14ac:dyDescent="0.25">
      <c r="A63" s="81" t="s">
        <v>3</v>
      </c>
      <c r="B63" s="42" t="s">
        <v>36</v>
      </c>
      <c r="C63" s="42" t="s">
        <v>108</v>
      </c>
      <c r="D63" s="42" t="s">
        <v>235</v>
      </c>
      <c r="E63" s="44">
        <v>-70731067</v>
      </c>
      <c r="F63" s="44">
        <f>E63/'Reporting Hebdo'!$E$3</f>
      </c>
      <c r="G63" s="81" t="s">
        <v>215</v>
      </c>
    </row>
    <row r="64" spans="1:7" x14ac:dyDescent="0.25">
      <c r="A64" s="81" t="s">
        <v>3</v>
      </c>
      <c r="B64" s="42" t="s">
        <v>36</v>
      </c>
      <c r="C64" s="42" t="s">
        <v>109</v>
      </c>
      <c r="D64" s="42" t="s">
        <v>240</v>
      </c>
      <c r="E64" s="44">
        <v>-93000</v>
      </c>
      <c r="F64" s="44">
        <f>E64/'Reporting Hebdo'!$E$3</f>
      </c>
      <c r="G64" s="81" t="s">
        <v>215</v>
      </c>
    </row>
    <row r="65" spans="1:7" x14ac:dyDescent="0.25">
      <c r="A65" s="81" t="s">
        <v>3</v>
      </c>
      <c r="B65" s="42" t="s">
        <v>36</v>
      </c>
      <c r="C65" s="42" t="s">
        <v>109</v>
      </c>
      <c r="D65" s="42" t="s">
        <v>241</v>
      </c>
      <c r="E65" s="44">
        <v>-65880</v>
      </c>
      <c r="F65" s="44">
        <f>E65/'Reporting Hebdo'!$E$3</f>
      </c>
      <c r="G65" s="81" t="s">
        <v>215</v>
      </c>
    </row>
    <row r="66" spans="1:7" x14ac:dyDescent="0.25">
      <c r="A66" s="81" t="s">
        <v>3</v>
      </c>
      <c r="B66" s="42" t="s">
        <v>39</v>
      </c>
      <c r="C66" s="42" t="s">
        <v>107</v>
      </c>
      <c r="D66" s="42" t="s">
        <v>107</v>
      </c>
      <c r="E66" s="44">
        <v>-8129491</v>
      </c>
      <c r="F66" s="44">
        <f>E66/'Reporting Hebdo'!$E$3</f>
      </c>
      <c r="G66" s="81" t="s">
        <v>215</v>
      </c>
    </row>
    <row r="67" spans="1:7" x14ac:dyDescent="0.25">
      <c r="A67" s="81" t="s">
        <v>3</v>
      </c>
      <c r="B67" s="42" t="s">
        <v>39</v>
      </c>
      <c r="C67" s="42" t="s">
        <v>107</v>
      </c>
      <c r="D67" s="42" t="s">
        <v>159</v>
      </c>
      <c r="E67" s="44">
        <v>-13597292</v>
      </c>
      <c r="F67" s="44">
        <f>E67/'Reporting Hebdo'!$E$3</f>
      </c>
      <c r="G67" s="81" t="s">
        <v>215</v>
      </c>
    </row>
    <row r="68" spans="1:7" x14ac:dyDescent="0.25">
      <c r="A68" s="81" t="s">
        <v>3</v>
      </c>
      <c r="B68" s="42" t="s">
        <v>39</v>
      </c>
      <c r="C68" s="42" t="s">
        <v>107</v>
      </c>
      <c r="D68" s="42" t="s">
        <v>257</v>
      </c>
      <c r="E68" s="44">
        <v>-13597292</v>
      </c>
      <c r="F68" s="44">
        <f>E68/'Reporting Hebdo'!$E$3</f>
      </c>
      <c r="G68" s="81" t="s">
        <v>215</v>
      </c>
    </row>
    <row r="69" spans="1:7" x14ac:dyDescent="0.25">
      <c r="A69" s="81" t="s">
        <v>3</v>
      </c>
      <c r="B69" s="42" t="s">
        <v>39</v>
      </c>
      <c r="C69" s="42" t="s">
        <v>110</v>
      </c>
      <c r="D69" s="42" t="s">
        <v>110</v>
      </c>
      <c r="E69" s="44">
        <v>-22746612</v>
      </c>
      <c r="F69" s="44">
        <f>E69/'Reporting Hebdo'!$E$3</f>
      </c>
      <c r="G69" s="81" t="s">
        <v>215</v>
      </c>
    </row>
    <row r="70" spans="1:7" x14ac:dyDescent="0.25">
      <c r="A70" s="81" t="s">
        <v>3</v>
      </c>
      <c r="B70" s="42" t="s">
        <v>39</v>
      </c>
      <c r="C70" s="42" t="s">
        <v>110</v>
      </c>
      <c r="D70" s="42" t="s">
        <v>258</v>
      </c>
      <c r="E70" s="44">
        <v>-3816546</v>
      </c>
      <c r="F70" s="44">
        <f>E70/'Reporting Hebdo'!$E$3</f>
      </c>
      <c r="G70" s="81" t="s">
        <v>215</v>
      </c>
    </row>
    <row r="71" spans="1:7" x14ac:dyDescent="0.25">
      <c r="A71" s="81" t="s">
        <v>3</v>
      </c>
      <c r="B71" s="42" t="s">
        <v>39</v>
      </c>
      <c r="C71" s="42" t="s">
        <v>110</v>
      </c>
      <c r="D71" s="42" t="s">
        <v>259</v>
      </c>
      <c r="E71" s="44">
        <v>-6780531</v>
      </c>
      <c r="F71" s="44">
        <f>E71/'Reporting Hebdo'!$E$3</f>
      </c>
      <c r="G71" s="81" t="s">
        <v>215</v>
      </c>
    </row>
    <row r="72" spans="1:7" x14ac:dyDescent="0.25">
      <c r="A72" s="81" t="s">
        <v>3</v>
      </c>
      <c r="B72" s="42" t="s">
        <v>39</v>
      </c>
      <c r="C72" s="42" t="s">
        <v>110</v>
      </c>
      <c r="D72" s="42" t="s">
        <v>260</v>
      </c>
      <c r="E72" s="44">
        <v>-62558158</v>
      </c>
      <c r="F72" s="44">
        <f>E72/'Reporting Hebdo'!$E$3</f>
      </c>
      <c r="G72" s="81" t="s">
        <v>215</v>
      </c>
    </row>
    <row r="73" spans="1:7" x14ac:dyDescent="0.25">
      <c r="A73" s="81" t="s">
        <v>3</v>
      </c>
      <c r="B73" s="42" t="s">
        <v>39</v>
      </c>
      <c r="C73" s="42" t="s">
        <v>108</v>
      </c>
      <c r="D73" s="42" t="s">
        <v>261</v>
      </c>
      <c r="E73" s="44">
        <v>-9500000</v>
      </c>
      <c r="F73" s="44">
        <f>E73/'Reporting Hebdo'!$E$3</f>
      </c>
      <c r="G73" s="81" t="s">
        <v>215</v>
      </c>
    </row>
    <row r="74" spans="1:7" x14ac:dyDescent="0.25">
      <c r="A74" s="81" t="s">
        <v>3</v>
      </c>
      <c r="B74" s="42" t="s">
        <v>39</v>
      </c>
      <c r="C74" s="42" t="s">
        <v>108</v>
      </c>
      <c r="D74" s="42" t="s">
        <v>262</v>
      </c>
      <c r="E74" s="44">
        <v>-12160500</v>
      </c>
      <c r="F74" s="44">
        <f>E74/'Reporting Hebdo'!$E$3</f>
      </c>
      <c r="G74" s="81" t="s">
        <v>215</v>
      </c>
    </row>
    <row r="75" spans="1:7" x14ac:dyDescent="0.25">
      <c r="A75" s="81" t="s">
        <v>3</v>
      </c>
      <c r="B75" s="42" t="s">
        <v>39</v>
      </c>
      <c r="C75" s="42" t="s">
        <v>109</v>
      </c>
      <c r="D75" s="42" t="s">
        <v>263</v>
      </c>
      <c r="E75" s="44">
        <v>-16566974</v>
      </c>
      <c r="F75" s="44">
        <f>E75/'Reporting Hebdo'!$E$3</f>
      </c>
      <c r="G75" s="81" t="s">
        <v>215</v>
      </c>
    </row>
    <row r="76" spans="1:7" x14ac:dyDescent="0.25">
      <c r="A76" s="81" t="s">
        <v>3</v>
      </c>
      <c r="B76" s="42" t="s">
        <v>39</v>
      </c>
      <c r="C76" s="42" t="s">
        <v>111</v>
      </c>
      <c r="D76" s="42" t="s">
        <v>264</v>
      </c>
      <c r="E76" s="44">
        <v>-6343636</v>
      </c>
      <c r="F76" s="44">
        <f>E76/'Reporting Hebdo'!$E$3</f>
      </c>
      <c r="G76" s="81" t="s">
        <v>215</v>
      </c>
    </row>
    <row r="77" spans="1:7" x14ac:dyDescent="0.25">
      <c r="A77" s="81" t="s">
        <v>3</v>
      </c>
      <c r="B77" s="42" t="s">
        <v>39</v>
      </c>
      <c r="C77" s="42" t="s">
        <v>111</v>
      </c>
      <c r="D77" s="42" t="s">
        <v>264</v>
      </c>
      <c r="E77" s="44">
        <v>-6343636</v>
      </c>
      <c r="F77" s="44">
        <f>E77/'Reporting Hebdo'!$E$3</f>
      </c>
      <c r="G77" s="81" t="s">
        <v>215</v>
      </c>
    </row>
    <row r="78" spans="1:7" x14ac:dyDescent="0.25">
      <c r="A78" s="81" t="s">
        <v>3</v>
      </c>
      <c r="B78" s="42" t="s">
        <v>39</v>
      </c>
      <c r="C78" s="42" t="s">
        <v>111</v>
      </c>
      <c r="D78" s="42" t="s">
        <v>265</v>
      </c>
      <c r="E78" s="44">
        <v>-11597990</v>
      </c>
      <c r="F78" s="44">
        <f>E78/'Reporting Hebdo'!$E$3</f>
      </c>
      <c r="G78" s="81" t="s">
        <v>215</v>
      </c>
    </row>
    <row r="79" spans="1:7" x14ac:dyDescent="0.25">
      <c r="A79" s="81" t="s">
        <v>3</v>
      </c>
      <c r="B79" s="42" t="s">
        <v>39</v>
      </c>
      <c r="C79" s="42" t="s">
        <v>112</v>
      </c>
      <c r="D79" s="42" t="s">
        <v>266</v>
      </c>
      <c r="E79" s="44">
        <v>-15000000</v>
      </c>
      <c r="F79" s="44">
        <f>E79/'Reporting Hebdo'!$E$3</f>
      </c>
      <c r="G79" s="81" t="s">
        <v>215</v>
      </c>
    </row>
    <row r="80" spans="1:7" x14ac:dyDescent="0.25">
      <c r="A80" s="81" t="s">
        <v>3</v>
      </c>
      <c r="B80" s="42" t="s">
        <v>39</v>
      </c>
      <c r="C80" s="42" t="s">
        <v>113</v>
      </c>
      <c r="D80" s="42" t="s">
        <v>267</v>
      </c>
      <c r="E80" s="44">
        <v>3600000</v>
      </c>
      <c r="F80" s="44">
        <f>E80/'Reporting Hebdo'!$E$3</f>
      </c>
      <c r="G80" s="81" t="s">
        <v>215</v>
      </c>
    </row>
    <row r="81" spans="1:7" x14ac:dyDescent="0.25">
      <c r="A81" s="81" t="s">
        <v>3</v>
      </c>
      <c r="B81" s="42" t="s">
        <v>46</v>
      </c>
      <c r="C81" s="42" t="s">
        <v>107</v>
      </c>
      <c r="D81" s="42" t="s">
        <v>268</v>
      </c>
      <c r="E81" s="44">
        <v>-21000</v>
      </c>
      <c r="F81" s="44">
        <f>E81/'Reporting Hebdo'!$E$3</f>
      </c>
      <c r="G81" s="81" t="s">
        <v>215</v>
      </c>
    </row>
    <row r="82" spans="1:7" x14ac:dyDescent="0.25">
      <c r="A82" s="81" t="s">
        <v>3</v>
      </c>
      <c r="B82" s="42" t="s">
        <v>46</v>
      </c>
      <c r="C82" s="42" t="s">
        <v>107</v>
      </c>
      <c r="D82" s="42" t="s">
        <v>214</v>
      </c>
      <c r="E82" s="44">
        <v>-872957</v>
      </c>
      <c r="F82" s="44">
        <f>E82/'Reporting Hebdo'!$E$3</f>
      </c>
      <c r="G82" s="81" t="s">
        <v>215</v>
      </c>
    </row>
    <row r="83" spans="1:7" x14ac:dyDescent="0.25">
      <c r="A83" s="81" t="s">
        <v>3</v>
      </c>
      <c r="B83" s="42" t="s">
        <v>46</v>
      </c>
      <c r="C83" s="42" t="s">
        <v>107</v>
      </c>
      <c r="D83" s="42" t="s">
        <v>214</v>
      </c>
      <c r="E83" s="44">
        <v>-442184</v>
      </c>
      <c r="F83" s="44">
        <f>E83/'Reporting Hebdo'!$E$3</f>
      </c>
      <c r="G83" s="81" t="s">
        <v>215</v>
      </c>
    </row>
    <row r="84" spans="1:7" x14ac:dyDescent="0.25">
      <c r="A84" s="81" t="s">
        <v>3</v>
      </c>
      <c r="B84" s="42" t="s">
        <v>46</v>
      </c>
      <c r="C84" s="42" t="s">
        <v>107</v>
      </c>
      <c r="D84" s="42" t="s">
        <v>269</v>
      </c>
      <c r="E84" s="44">
        <v>-236000</v>
      </c>
      <c r="F84" s="44">
        <f>E84/'Reporting Hebdo'!$E$3</f>
      </c>
      <c r="G84" s="81" t="s">
        <v>215</v>
      </c>
    </row>
    <row r="85" spans="1:7" x14ac:dyDescent="0.25">
      <c r="A85" s="81" t="s">
        <v>3</v>
      </c>
      <c r="B85" s="42" t="s">
        <v>46</v>
      </c>
      <c r="C85" s="42" t="s">
        <v>107</v>
      </c>
      <c r="D85" s="42" t="s">
        <v>269</v>
      </c>
      <c r="E85" s="44">
        <v>-649000</v>
      </c>
      <c r="F85" s="44">
        <f>E85/'Reporting Hebdo'!$E$3</f>
      </c>
      <c r="G85" s="81" t="s">
        <v>215</v>
      </c>
    </row>
    <row r="86" spans="1:7" x14ac:dyDescent="0.25">
      <c r="A86" s="81" t="s">
        <v>3</v>
      </c>
      <c r="B86" s="42" t="s">
        <v>46</v>
      </c>
      <c r="C86" s="42" t="s">
        <v>107</v>
      </c>
      <c r="D86" s="42" t="s">
        <v>270</v>
      </c>
      <c r="E86" s="44">
        <v>-50000</v>
      </c>
      <c r="F86" s="44">
        <f>E86/'Reporting Hebdo'!$E$3</f>
      </c>
      <c r="G86" s="81" t="s">
        <v>215</v>
      </c>
    </row>
    <row r="87" spans="1:7" x14ac:dyDescent="0.25">
      <c r="A87" s="81" t="s">
        <v>3</v>
      </c>
      <c r="B87" s="42" t="s">
        <v>46</v>
      </c>
      <c r="C87" s="42" t="s">
        <v>107</v>
      </c>
      <c r="D87" s="42" t="s">
        <v>271</v>
      </c>
      <c r="E87" s="44">
        <v>-10745020</v>
      </c>
      <c r="F87" s="44">
        <f>E87/'Reporting Hebdo'!$E$3</f>
      </c>
      <c r="G87" s="81" t="s">
        <v>215</v>
      </c>
    </row>
    <row r="88" spans="1:7" x14ac:dyDescent="0.25">
      <c r="A88" s="81" t="s">
        <v>3</v>
      </c>
      <c r="B88" s="42" t="s">
        <v>46</v>
      </c>
      <c r="C88" s="42" t="s">
        <v>107</v>
      </c>
      <c r="D88" s="42" t="s">
        <v>271</v>
      </c>
      <c r="E88" s="44">
        <v>-401978</v>
      </c>
      <c r="F88" s="44">
        <f>E88/'Reporting Hebdo'!$E$3</f>
      </c>
      <c r="G88" s="81" t="s">
        <v>215</v>
      </c>
    </row>
    <row r="89" spans="1:7" x14ac:dyDescent="0.25">
      <c r="A89" s="81" t="s">
        <v>3</v>
      </c>
      <c r="B89" s="42" t="s">
        <v>46</v>
      </c>
      <c r="C89" s="42" t="s">
        <v>107</v>
      </c>
      <c r="D89" s="42" t="s">
        <v>272</v>
      </c>
      <c r="E89" s="44">
        <v>-324500</v>
      </c>
      <c r="F89" s="44">
        <f>E89/'Reporting Hebdo'!$E$3</f>
      </c>
      <c r="G89" s="81" t="s">
        <v>215</v>
      </c>
    </row>
    <row r="90" spans="1:7" x14ac:dyDescent="0.25">
      <c r="A90" s="81" t="s">
        <v>3</v>
      </c>
      <c r="B90" s="42" t="s">
        <v>46</v>
      </c>
      <c r="C90" s="42" t="s">
        <v>107</v>
      </c>
      <c r="D90" s="42" t="s">
        <v>272</v>
      </c>
      <c r="E90" s="44">
        <v>-649000</v>
      </c>
      <c r="F90" s="44">
        <f>E90/'Reporting Hebdo'!$E$3</f>
      </c>
      <c r="G90" s="81" t="s">
        <v>215</v>
      </c>
    </row>
    <row r="91" spans="1:7" x14ac:dyDescent="0.25">
      <c r="A91" s="81" t="s">
        <v>3</v>
      </c>
      <c r="B91" s="42" t="s">
        <v>46</v>
      </c>
      <c r="C91" s="42" t="s">
        <v>107</v>
      </c>
      <c r="D91" s="42" t="s">
        <v>273</v>
      </c>
      <c r="E91" s="44">
        <v>-895000</v>
      </c>
      <c r="F91" s="44">
        <f>E91/'Reporting Hebdo'!$E$3</f>
      </c>
      <c r="G91" s="81" t="s">
        <v>215</v>
      </c>
    </row>
    <row r="92" spans="1:7" x14ac:dyDescent="0.25">
      <c r="A92" s="81" t="s">
        <v>3</v>
      </c>
      <c r="B92" s="42" t="s">
        <v>46</v>
      </c>
      <c r="C92" s="42" t="s">
        <v>107</v>
      </c>
      <c r="D92" s="42" t="s">
        <v>224</v>
      </c>
      <c r="E92" s="44">
        <v>-10482986</v>
      </c>
      <c r="F92" s="44">
        <f>E92/'Reporting Hebdo'!$E$3</f>
      </c>
      <c r="G92" s="81" t="s">
        <v>215</v>
      </c>
    </row>
    <row r="93" spans="1:7" x14ac:dyDescent="0.25">
      <c r="A93" s="81" t="s">
        <v>3</v>
      </c>
      <c r="B93" s="42" t="s">
        <v>46</v>
      </c>
      <c r="C93" s="42" t="s">
        <v>107</v>
      </c>
      <c r="D93" s="42" t="s">
        <v>224</v>
      </c>
      <c r="E93" s="44">
        <v>-6955324</v>
      </c>
      <c r="F93" s="44">
        <f>E93/'Reporting Hebdo'!$E$3</f>
      </c>
      <c r="G93" s="81" t="s">
        <v>215</v>
      </c>
    </row>
    <row r="94" spans="1:7" x14ac:dyDescent="0.25">
      <c r="A94" s="81" t="s">
        <v>3</v>
      </c>
      <c r="B94" s="42" t="s">
        <v>46</v>
      </c>
      <c r="C94" s="42" t="s">
        <v>107</v>
      </c>
      <c r="D94" s="42" t="s">
        <v>274</v>
      </c>
      <c r="E94" s="44">
        <v>-17342250</v>
      </c>
      <c r="F94" s="44">
        <f>E94/'Reporting Hebdo'!$E$3</f>
      </c>
      <c r="G94" s="81" t="s">
        <v>215</v>
      </c>
    </row>
    <row r="95" spans="1:7" x14ac:dyDescent="0.25">
      <c r="A95" s="81" t="s">
        <v>3</v>
      </c>
      <c r="B95" s="42" t="s">
        <v>46</v>
      </c>
      <c r="C95" s="42" t="s">
        <v>107</v>
      </c>
      <c r="D95" s="42" t="s">
        <v>275</v>
      </c>
      <c r="E95" s="44">
        <v>-250002</v>
      </c>
      <c r="F95" s="44">
        <f>E95/'Reporting Hebdo'!$E$3</f>
      </c>
      <c r="G95" s="81" t="s">
        <v>215</v>
      </c>
    </row>
    <row r="96" spans="1:7" x14ac:dyDescent="0.25">
      <c r="A96" s="81" t="s">
        <v>3</v>
      </c>
      <c r="B96" s="42" t="s">
        <v>46</v>
      </c>
      <c r="C96" s="42" t="s">
        <v>107</v>
      </c>
      <c r="D96" s="42" t="s">
        <v>276</v>
      </c>
      <c r="E96" s="44">
        <v>-4598460</v>
      </c>
      <c r="F96" s="44">
        <f>E96/'Reporting Hebdo'!$E$3</f>
      </c>
      <c r="G96" s="81" t="s">
        <v>215</v>
      </c>
    </row>
    <row r="97" spans="1:7" x14ac:dyDescent="0.25">
      <c r="A97" s="81" t="s">
        <v>3</v>
      </c>
      <c r="B97" s="42" t="s">
        <v>46</v>
      </c>
      <c r="C97" s="42" t="s">
        <v>107</v>
      </c>
      <c r="D97" s="42" t="s">
        <v>276</v>
      </c>
      <c r="E97" s="44">
        <v>-1839384</v>
      </c>
      <c r="F97" s="44">
        <f>E97/'Reporting Hebdo'!$E$3</f>
      </c>
      <c r="G97" s="81" t="s">
        <v>215</v>
      </c>
    </row>
    <row r="98" spans="1:7" x14ac:dyDescent="0.25">
      <c r="A98" s="81" t="s">
        <v>3</v>
      </c>
      <c r="B98" s="42" t="s">
        <v>46</v>
      </c>
      <c r="C98" s="42" t="s">
        <v>107</v>
      </c>
      <c r="D98" s="42" t="s">
        <v>277</v>
      </c>
      <c r="E98" s="44">
        <v>-2478000</v>
      </c>
      <c r="F98" s="44">
        <f>E98/'Reporting Hebdo'!$E$3</f>
      </c>
      <c r="G98" s="81" t="s">
        <v>215</v>
      </c>
    </row>
    <row r="99" spans="1:7" x14ac:dyDescent="0.25">
      <c r="A99" s="81" t="s">
        <v>3</v>
      </c>
      <c r="B99" s="42" t="s">
        <v>46</v>
      </c>
      <c r="C99" s="42" t="s">
        <v>108</v>
      </c>
      <c r="D99" s="42" t="s">
        <v>234</v>
      </c>
      <c r="E99" s="44">
        <v>-2000000</v>
      </c>
      <c r="F99" s="44">
        <f>E99/'Reporting Hebdo'!$E$3</f>
      </c>
      <c r="G99" s="81" t="s">
        <v>215</v>
      </c>
    </row>
    <row r="100" spans="1:7" x14ac:dyDescent="0.25">
      <c r="A100" s="81" t="s">
        <v>3</v>
      </c>
      <c r="B100" s="42" t="s">
        <v>46</v>
      </c>
      <c r="C100" s="42" t="s">
        <v>108</v>
      </c>
      <c r="D100" s="42" t="s">
        <v>237</v>
      </c>
      <c r="E100" s="44">
        <v>-60980429</v>
      </c>
      <c r="F100" s="44">
        <f>E100/'Reporting Hebdo'!$E$3</f>
      </c>
      <c r="G100" s="81" t="s">
        <v>215</v>
      </c>
    </row>
    <row r="101" spans="1:7" x14ac:dyDescent="0.25">
      <c r="A101" s="81" t="s">
        <v>3</v>
      </c>
      <c r="B101" s="42" t="s">
        <v>46</v>
      </c>
      <c r="C101" s="42" t="s">
        <v>109</v>
      </c>
      <c r="D101" s="42" t="s">
        <v>240</v>
      </c>
      <c r="E101" s="44">
        <v>-3493728</v>
      </c>
      <c r="F101" s="44">
        <f>E101/'Reporting Hebdo'!$E$3</f>
      </c>
      <c r="G101" s="81" t="s">
        <v>215</v>
      </c>
    </row>
    <row r="102" spans="1:7" x14ac:dyDescent="0.25">
      <c r="A102" s="81" t="s">
        <v>3</v>
      </c>
      <c r="B102" s="42" t="s">
        <v>46</v>
      </c>
      <c r="C102" s="42" t="s">
        <v>109</v>
      </c>
      <c r="D102" s="42" t="s">
        <v>241</v>
      </c>
      <c r="E102" s="44">
        <v>-49459217</v>
      </c>
      <c r="F102" s="44">
        <f>E102/'Reporting Hebdo'!$E$3</f>
      </c>
      <c r="G102" s="81" t="s">
        <v>215</v>
      </c>
    </row>
    <row r="103" spans="1:7" x14ac:dyDescent="0.25">
      <c r="A103" s="81" t="s">
        <v>3</v>
      </c>
      <c r="B103" s="42" t="s">
        <v>50</v>
      </c>
      <c r="C103" s="42" t="s">
        <v>107</v>
      </c>
      <c r="D103" s="42" t="s">
        <v>278</v>
      </c>
      <c r="E103" s="44">
        <v>-2289000</v>
      </c>
      <c r="F103" s="44">
        <f>E103/'Reporting Hebdo'!$E$3</f>
      </c>
      <c r="G103" s="81" t="s">
        <v>215</v>
      </c>
    </row>
    <row r="104" spans="1:7" x14ac:dyDescent="0.25">
      <c r="A104" s="81" t="s">
        <v>3</v>
      </c>
      <c r="B104" s="42" t="s">
        <v>50</v>
      </c>
      <c r="C104" s="42" t="s">
        <v>107</v>
      </c>
      <c r="D104" s="42" t="s">
        <v>279</v>
      </c>
      <c r="E104" s="44">
        <v>-250000</v>
      </c>
      <c r="F104" s="44">
        <f>E104/'Reporting Hebdo'!$E$3</f>
      </c>
      <c r="G104" s="81" t="s">
        <v>215</v>
      </c>
    </row>
    <row r="105" spans="1:7" x14ac:dyDescent="0.25">
      <c r="A105" s="81" t="s">
        <v>3</v>
      </c>
      <c r="B105" s="42" t="s">
        <v>50</v>
      </c>
      <c r="C105" s="42" t="s">
        <v>108</v>
      </c>
      <c r="D105" s="42" t="s">
        <v>280</v>
      </c>
      <c r="E105" s="44">
        <v>-3750000</v>
      </c>
      <c r="F105" s="44">
        <f>E105/'Reporting Hebdo'!$E$3</f>
      </c>
      <c r="G105" s="81" t="s">
        <v>215</v>
      </c>
    </row>
    <row r="106" spans="1:7" x14ac:dyDescent="0.25">
      <c r="A106" s="81" t="s">
        <v>3</v>
      </c>
      <c r="B106" s="42" t="s">
        <v>53</v>
      </c>
      <c r="C106" s="42" t="s">
        <v>107</v>
      </c>
      <c r="D106" s="42" t="s">
        <v>281</v>
      </c>
      <c r="E106" s="44">
        <v>-310000</v>
      </c>
      <c r="F106" s="44">
        <f>E106/'Reporting Hebdo'!$E$3</f>
      </c>
      <c r="G106" s="81" t="s">
        <v>215</v>
      </c>
    </row>
    <row r="107" spans="1:7" x14ac:dyDescent="0.25">
      <c r="A107" s="81" t="s">
        <v>3</v>
      </c>
      <c r="B107" s="42" t="s">
        <v>53</v>
      </c>
      <c r="C107" s="42" t="s">
        <v>107</v>
      </c>
      <c r="D107" s="42" t="s">
        <v>282</v>
      </c>
      <c r="E107" s="44">
        <v>-463565</v>
      </c>
      <c r="F107" s="44">
        <f>E107/'Reporting Hebdo'!$E$3</f>
      </c>
      <c r="G107" s="81" t="s">
        <v>215</v>
      </c>
    </row>
    <row r="108" spans="1:7" x14ac:dyDescent="0.25">
      <c r="A108" s="81" t="s">
        <v>3</v>
      </c>
      <c r="B108" s="42" t="s">
        <v>53</v>
      </c>
      <c r="C108" s="42" t="s">
        <v>107</v>
      </c>
      <c r="D108" s="42" t="s">
        <v>282</v>
      </c>
      <c r="E108" s="44">
        <v>-2926224</v>
      </c>
      <c r="F108" s="44">
        <f>E108/'Reporting Hebdo'!$E$3</f>
      </c>
      <c r="G108" s="81" t="s">
        <v>215</v>
      </c>
    </row>
    <row r="109" spans="1:7" x14ac:dyDescent="0.25">
      <c r="A109" s="81" t="s">
        <v>3</v>
      </c>
      <c r="B109" s="42" t="s">
        <v>53</v>
      </c>
      <c r="C109" s="42" t="s">
        <v>107</v>
      </c>
      <c r="D109" s="42" t="s">
        <v>269</v>
      </c>
      <c r="E109" s="44">
        <v>-1014800</v>
      </c>
      <c r="F109" s="44">
        <f>E109/'Reporting Hebdo'!$E$3</f>
      </c>
      <c r="G109" s="81" t="s">
        <v>215</v>
      </c>
    </row>
    <row r="110" spans="1:7" x14ac:dyDescent="0.25">
      <c r="A110" s="81" t="s">
        <v>3</v>
      </c>
      <c r="B110" s="42" t="s">
        <v>53</v>
      </c>
      <c r="C110" s="42" t="s">
        <v>107</v>
      </c>
      <c r="D110" s="42" t="s">
        <v>269</v>
      </c>
      <c r="E110" s="44">
        <v>-118000</v>
      </c>
      <c r="F110" s="44">
        <f>E110/'Reporting Hebdo'!$E$3</f>
      </c>
      <c r="G110" s="81" t="s">
        <v>215</v>
      </c>
    </row>
    <row r="111" spans="1:7" x14ac:dyDescent="0.25">
      <c r="A111" s="81" t="s">
        <v>3</v>
      </c>
      <c r="B111" s="42" t="s">
        <v>53</v>
      </c>
      <c r="C111" s="42" t="s">
        <v>107</v>
      </c>
      <c r="D111" s="42" t="s">
        <v>245</v>
      </c>
      <c r="E111" s="44">
        <v>-1340000</v>
      </c>
      <c r="F111" s="44">
        <f>E111/'Reporting Hebdo'!$E$3</f>
      </c>
      <c r="G111" s="81" t="s">
        <v>215</v>
      </c>
    </row>
    <row r="112" spans="1:7" x14ac:dyDescent="0.25">
      <c r="A112" s="81" t="s">
        <v>3</v>
      </c>
      <c r="B112" s="42" t="s">
        <v>53</v>
      </c>
      <c r="C112" s="42" t="s">
        <v>107</v>
      </c>
      <c r="D112" s="42" t="s">
        <v>283</v>
      </c>
      <c r="E112" s="44">
        <v>-73160</v>
      </c>
      <c r="F112" s="44">
        <f>E112/'Reporting Hebdo'!$E$3</f>
      </c>
      <c r="G112" s="81" t="s">
        <v>215</v>
      </c>
    </row>
    <row r="113" spans="1:7" x14ac:dyDescent="0.25">
      <c r="A113" s="81" t="s">
        <v>3</v>
      </c>
      <c r="B113" s="42" t="s">
        <v>53</v>
      </c>
      <c r="C113" s="42" t="s">
        <v>108</v>
      </c>
      <c r="D113" s="42" t="s">
        <v>235</v>
      </c>
      <c r="E113" s="44">
        <v>-3818322</v>
      </c>
      <c r="F113" s="44">
        <f>E113/'Reporting Hebdo'!$E$3</f>
      </c>
      <c r="G113" s="81" t="s">
        <v>215</v>
      </c>
    </row>
    <row r="114" spans="1:7" x14ac:dyDescent="0.25">
      <c r="A114" s="81" t="s">
        <v>3</v>
      </c>
      <c r="B114" s="42" t="s">
        <v>53</v>
      </c>
      <c r="C114" s="42" t="s">
        <v>108</v>
      </c>
      <c r="D114" s="42" t="s">
        <v>284</v>
      </c>
      <c r="E114" s="44">
        <v>-5313251</v>
      </c>
      <c r="F114" s="44">
        <f>E114/'Reporting Hebdo'!$E$3</f>
      </c>
      <c r="G114" s="81" t="s">
        <v>215</v>
      </c>
    </row>
    <row r="115" spans="1:7" x14ac:dyDescent="0.25">
      <c r="A115" s="81" t="s">
        <v>3</v>
      </c>
      <c r="B115" s="42" t="s">
        <v>53</v>
      </c>
      <c r="C115" s="42" t="s">
        <v>109</v>
      </c>
      <c r="D115" s="42" t="s">
        <v>240</v>
      </c>
      <c r="E115" s="44">
        <v>-1130000</v>
      </c>
      <c r="F115" s="44">
        <f>E115/'Reporting Hebdo'!$E$3</f>
      </c>
      <c r="G115" s="81" t="s">
        <v>215</v>
      </c>
    </row>
    <row r="116" spans="1:7" x14ac:dyDescent="0.25">
      <c r="A116" s="81" t="s">
        <v>3</v>
      </c>
      <c r="B116" s="42" t="s">
        <v>53</v>
      </c>
      <c r="C116" s="42" t="s">
        <v>109</v>
      </c>
      <c r="D116" s="42" t="s">
        <v>241</v>
      </c>
      <c r="E116" s="44">
        <v>-20811016</v>
      </c>
      <c r="F116" s="44">
        <f>E116/'Reporting Hebdo'!$E$3</f>
      </c>
      <c r="G116" s="81" t="s">
        <v>215</v>
      </c>
    </row>
    <row r="117" spans="1:7" x14ac:dyDescent="0.25">
      <c r="A117" s="81" t="s">
        <v>3</v>
      </c>
      <c r="B117" s="42" t="s">
        <v>59</v>
      </c>
      <c r="C117" s="42" t="s">
        <v>107</v>
      </c>
      <c r="D117" s="42" t="s">
        <v>269</v>
      </c>
      <c r="E117" s="44">
        <v>-1239000</v>
      </c>
      <c r="F117" s="44">
        <f>E117/'Reporting Hebdo'!$E$3</f>
      </c>
      <c r="G117" s="81" t="s">
        <v>215</v>
      </c>
    </row>
    <row r="118" spans="1:7" x14ac:dyDescent="0.25">
      <c r="A118" s="81" t="s">
        <v>3</v>
      </c>
      <c r="B118" s="42" t="s">
        <v>59</v>
      </c>
      <c r="C118" s="42" t="s">
        <v>107</v>
      </c>
      <c r="D118" s="42" t="s">
        <v>285</v>
      </c>
      <c r="E118" s="44">
        <v>-336100</v>
      </c>
      <c r="F118" s="44">
        <f>E118/'Reporting Hebdo'!$E$3</f>
      </c>
      <c r="G118" s="81" t="s">
        <v>215</v>
      </c>
    </row>
    <row r="119" spans="1:7" x14ac:dyDescent="0.25">
      <c r="A119" s="81" t="s">
        <v>3</v>
      </c>
      <c r="B119" s="42" t="s">
        <v>59</v>
      </c>
      <c r="C119" s="42" t="s">
        <v>108</v>
      </c>
      <c r="D119" s="42" t="s">
        <v>234</v>
      </c>
      <c r="E119" s="44">
        <v>-8000000</v>
      </c>
      <c r="F119" s="44">
        <f>E119/'Reporting Hebdo'!$E$3</f>
      </c>
      <c r="G119" s="81" t="s">
        <v>215</v>
      </c>
    </row>
    <row r="120" spans="1:7" x14ac:dyDescent="0.25">
      <c r="A120" s="81" t="s">
        <v>3</v>
      </c>
      <c r="B120" s="42" t="s">
        <v>61</v>
      </c>
      <c r="C120" s="42" t="s">
        <v>108</v>
      </c>
      <c r="D120" s="42" t="s">
        <v>237</v>
      </c>
      <c r="E120" s="44">
        <v>-30693516</v>
      </c>
      <c r="F120" s="44">
        <f>E120/'Reporting Hebdo'!$E$3</f>
      </c>
      <c r="G120" s="81" t="s">
        <v>215</v>
      </c>
    </row>
    <row r="121" spans="1:7" x14ac:dyDescent="0.25">
      <c r="A121" s="81" t="s">
        <v>3</v>
      </c>
      <c r="B121" s="42" t="s">
        <v>61</v>
      </c>
      <c r="C121" s="42" t="s">
        <v>108</v>
      </c>
      <c r="D121" s="42" t="s">
        <v>239</v>
      </c>
      <c r="E121" s="44">
        <v>-5211826</v>
      </c>
      <c r="F121" s="44">
        <f>E121/'Reporting Hebdo'!$E$3</f>
      </c>
      <c r="G121" s="81" t="s">
        <v>215</v>
      </c>
    </row>
    <row r="122" spans="1:7" x14ac:dyDescent="0.25">
      <c r="A122" s="81" t="s">
        <v>3</v>
      </c>
      <c r="B122" s="42" t="s">
        <v>61</v>
      </c>
      <c r="C122" s="42" t="s">
        <v>109</v>
      </c>
      <c r="D122" s="42" t="s">
        <v>240</v>
      </c>
      <c r="E122" s="44">
        <v>-79000</v>
      </c>
      <c r="F122" s="44">
        <f>E122/'Reporting Hebdo'!$E$3</f>
      </c>
      <c r="G122" s="81" t="s">
        <v>215</v>
      </c>
    </row>
    <row r="123" spans="1:7" x14ac:dyDescent="0.25">
      <c r="A123" s="81" t="s">
        <v>3</v>
      </c>
      <c r="B123" s="42" t="s">
        <v>61</v>
      </c>
      <c r="C123" s="42" t="s">
        <v>109</v>
      </c>
      <c r="D123" s="42" t="s">
        <v>241</v>
      </c>
      <c r="E123" s="44">
        <v>-9102192</v>
      </c>
      <c r="F123" s="44">
        <f>E123/'Reporting Hebdo'!$E$3</f>
      </c>
      <c r="G123" s="81" t="s">
        <v>215</v>
      </c>
    </row>
    <row r="124" spans="1:7" x14ac:dyDescent="0.25">
      <c r="A124" s="81" t="s">
        <v>4</v>
      </c>
      <c r="B124" s="42" t="s">
        <v>22</v>
      </c>
      <c r="C124" s="42" t="s">
        <v>108</v>
      </c>
      <c r="D124" s="42" t="s">
        <v>237</v>
      </c>
      <c r="E124" s="44">
        <v>-6300000</v>
      </c>
      <c r="F124" s="44">
        <f>E124/'Reporting Hebdo'!$E$3</f>
      </c>
      <c r="G124" s="81" t="s">
        <v>215</v>
      </c>
    </row>
    <row r="125" spans="1:7" x14ac:dyDescent="0.25">
      <c r="A125" s="81" t="s">
        <v>4</v>
      </c>
      <c r="B125" s="42" t="s">
        <v>22</v>
      </c>
      <c r="C125" s="42" t="s">
        <v>109</v>
      </c>
      <c r="D125" s="42" t="s">
        <v>240</v>
      </c>
      <c r="E125" s="44">
        <v>-40000</v>
      </c>
      <c r="F125" s="44">
        <f>E125/'Reporting Hebdo'!$E$3</f>
      </c>
      <c r="G125" s="81" t="s">
        <v>215</v>
      </c>
    </row>
    <row r="126" spans="1:7" x14ac:dyDescent="0.25">
      <c r="A126" s="81" t="s">
        <v>4</v>
      </c>
      <c r="B126" s="42" t="s">
        <v>22</v>
      </c>
      <c r="C126" s="42" t="s">
        <v>109</v>
      </c>
      <c r="D126" s="42" t="s">
        <v>241</v>
      </c>
      <c r="E126" s="44">
        <v>-3000000</v>
      </c>
      <c r="F126" s="44">
        <f>E126/'Reporting Hebdo'!$E$3</f>
      </c>
      <c r="G126" s="81" t="s">
        <v>215</v>
      </c>
    </row>
    <row r="127" spans="1:7" x14ac:dyDescent="0.25">
      <c r="A127" s="81" t="s">
        <v>4</v>
      </c>
      <c r="B127" s="42" t="s">
        <v>29</v>
      </c>
      <c r="C127" s="42" t="s">
        <v>107</v>
      </c>
      <c r="D127" s="42" t="s">
        <v>286</v>
      </c>
      <c r="E127" s="44">
        <v>-354000</v>
      </c>
      <c r="F127" s="44">
        <f>E127/'Reporting Hebdo'!$E$3</f>
      </c>
      <c r="G127" s="81" t="s">
        <v>215</v>
      </c>
    </row>
    <row r="128" spans="1:7" x14ac:dyDescent="0.25">
      <c r="A128" s="81" t="s">
        <v>4</v>
      </c>
      <c r="B128" s="42" t="s">
        <v>29</v>
      </c>
      <c r="C128" s="42" t="s">
        <v>107</v>
      </c>
      <c r="D128" s="42" t="s">
        <v>287</v>
      </c>
      <c r="E128" s="44">
        <v>-987840</v>
      </c>
      <c r="F128" s="44">
        <f>E128/'Reporting Hebdo'!$E$3</f>
      </c>
      <c r="G128" s="81" t="s">
        <v>215</v>
      </c>
    </row>
    <row r="129" spans="1:7" x14ac:dyDescent="0.25">
      <c r="A129" s="81" t="s">
        <v>4</v>
      </c>
      <c r="B129" s="42" t="s">
        <v>29</v>
      </c>
      <c r="C129" s="42" t="s">
        <v>107</v>
      </c>
      <c r="D129" s="42" t="s">
        <v>288</v>
      </c>
      <c r="E129" s="44">
        <v>-448160</v>
      </c>
      <c r="F129" s="44">
        <f>E129/'Reporting Hebdo'!$E$3</f>
      </c>
      <c r="G129" s="81" t="s">
        <v>215</v>
      </c>
    </row>
    <row r="130" spans="1:7" x14ac:dyDescent="0.25">
      <c r="A130" s="81" t="s">
        <v>4</v>
      </c>
      <c r="B130" s="42" t="s">
        <v>29</v>
      </c>
      <c r="C130" s="42" t="s">
        <v>107</v>
      </c>
      <c r="D130" s="42" t="s">
        <v>289</v>
      </c>
      <c r="E130" s="44">
        <v>-4287294</v>
      </c>
      <c r="F130" s="44">
        <f>E130/'Reporting Hebdo'!$E$3</f>
      </c>
      <c r="G130" s="81" t="s">
        <v>215</v>
      </c>
    </row>
    <row r="131" spans="1:7" x14ac:dyDescent="0.25">
      <c r="A131" s="81" t="s">
        <v>4</v>
      </c>
      <c r="B131" s="42" t="s">
        <v>29</v>
      </c>
      <c r="C131" s="42" t="s">
        <v>107</v>
      </c>
      <c r="D131" s="42" t="s">
        <v>290</v>
      </c>
      <c r="E131" s="44">
        <v>-725700</v>
      </c>
      <c r="F131" s="44">
        <f>E131/'Reporting Hebdo'!$E$3</f>
      </c>
      <c r="G131" s="81" t="s">
        <v>215</v>
      </c>
    </row>
    <row r="132" spans="1:7" x14ac:dyDescent="0.25">
      <c r="A132" s="81" t="s">
        <v>4</v>
      </c>
      <c r="B132" s="42" t="s">
        <v>29</v>
      </c>
      <c r="C132" s="42" t="s">
        <v>107</v>
      </c>
      <c r="D132" s="42" t="s">
        <v>291</v>
      </c>
      <c r="E132" s="44">
        <v>-894657</v>
      </c>
      <c r="F132" s="44">
        <f>E132/'Reporting Hebdo'!$E$3</f>
      </c>
      <c r="G132" s="81" t="s">
        <v>215</v>
      </c>
    </row>
    <row r="133" spans="1:7" x14ac:dyDescent="0.25">
      <c r="A133" s="81" t="s">
        <v>4</v>
      </c>
      <c r="B133" s="42" t="s">
        <v>29</v>
      </c>
      <c r="C133" s="42" t="s">
        <v>107</v>
      </c>
      <c r="D133" s="42" t="s">
        <v>250</v>
      </c>
      <c r="E133" s="44">
        <v>-3441667</v>
      </c>
      <c r="F133" s="44">
        <f>E133/'Reporting Hebdo'!$E$3</f>
      </c>
      <c r="G133" s="81" t="s">
        <v>215</v>
      </c>
    </row>
    <row r="134" spans="1:7" x14ac:dyDescent="0.25">
      <c r="A134" s="81" t="s">
        <v>4</v>
      </c>
      <c r="B134" s="42" t="s">
        <v>29</v>
      </c>
      <c r="C134" s="42" t="s">
        <v>107</v>
      </c>
      <c r="D134" s="42" t="s">
        <v>292</v>
      </c>
      <c r="E134" s="44">
        <v>-17700000</v>
      </c>
      <c r="F134" s="44">
        <f>E134/'Reporting Hebdo'!$E$3</f>
      </c>
      <c r="G134" s="81" t="s">
        <v>215</v>
      </c>
    </row>
    <row r="135" spans="1:7" x14ac:dyDescent="0.25">
      <c r="A135" s="81" t="s">
        <v>4</v>
      </c>
      <c r="B135" s="42" t="s">
        <v>36</v>
      </c>
      <c r="C135" s="42" t="s">
        <v>108</v>
      </c>
      <c r="D135" s="42" t="s">
        <v>237</v>
      </c>
      <c r="E135" s="44">
        <v>-70000</v>
      </c>
      <c r="F135" s="44">
        <f>E135/'Reporting Hebdo'!$E$3</f>
      </c>
      <c r="G135" s="81" t="s">
        <v>215</v>
      </c>
    </row>
    <row r="136" spans="1:7" x14ac:dyDescent="0.25">
      <c r="A136" s="81" t="s">
        <v>4</v>
      </c>
      <c r="B136" s="42" t="s">
        <v>36</v>
      </c>
      <c r="C136" s="42" t="s">
        <v>109</v>
      </c>
      <c r="D136" s="42" t="s">
        <v>240</v>
      </c>
      <c r="E136" s="44">
        <v>-1000</v>
      </c>
      <c r="F136" s="44">
        <f>E136/'Reporting Hebdo'!$E$3</f>
      </c>
      <c r="G136" s="81" t="s">
        <v>215</v>
      </c>
    </row>
    <row r="137" spans="1:7" x14ac:dyDescent="0.25">
      <c r="A137" s="81" t="s">
        <v>4</v>
      </c>
      <c r="B137" s="42" t="s">
        <v>36</v>
      </c>
      <c r="C137" s="42" t="s">
        <v>109</v>
      </c>
      <c r="D137" s="42" t="s">
        <v>241</v>
      </c>
      <c r="E137" s="44">
        <v>-90000</v>
      </c>
      <c r="F137" s="44">
        <f>E137/'Reporting Hebdo'!$E$3</f>
      </c>
      <c r="G137" s="81" t="s">
        <v>215</v>
      </c>
    </row>
    <row r="138" spans="1:7" x14ac:dyDescent="0.25">
      <c r="A138" s="81" t="s">
        <v>4</v>
      </c>
      <c r="B138" s="42" t="s">
        <v>46</v>
      </c>
      <c r="C138" s="42" t="s">
        <v>108</v>
      </c>
      <c r="D138" s="42" t="s">
        <v>237</v>
      </c>
      <c r="E138" s="44">
        <v>-12000000</v>
      </c>
      <c r="F138" s="44">
        <f>E138/'Reporting Hebdo'!$E$3</f>
      </c>
      <c r="G138" s="81" t="s">
        <v>215</v>
      </c>
    </row>
    <row r="139" spans="1:7" x14ac:dyDescent="0.25">
      <c r="A139" s="81" t="s">
        <v>4</v>
      </c>
      <c r="B139" s="42" t="s">
        <v>46</v>
      </c>
      <c r="C139" s="42" t="s">
        <v>109</v>
      </c>
      <c r="D139" s="42" t="s">
        <v>240</v>
      </c>
      <c r="E139" s="44">
        <v>-60000</v>
      </c>
      <c r="F139" s="44">
        <f>E139/'Reporting Hebdo'!$E$3</f>
      </c>
      <c r="G139" s="81" t="s">
        <v>215</v>
      </c>
    </row>
    <row r="140" spans="1:7" x14ac:dyDescent="0.25">
      <c r="A140" s="81" t="s">
        <v>4</v>
      </c>
      <c r="B140" s="42" t="s">
        <v>46</v>
      </c>
      <c r="C140" s="42" t="s">
        <v>109</v>
      </c>
      <c r="D140" s="42" t="s">
        <v>241</v>
      </c>
      <c r="E140" s="44">
        <v>-4000000</v>
      </c>
      <c r="F140" s="44">
        <f>E140/'Reporting Hebdo'!$E$3</f>
      </c>
      <c r="G140" s="81" t="s">
        <v>215</v>
      </c>
    </row>
    <row r="141" spans="1:7" x14ac:dyDescent="0.25">
      <c r="A141" s="81" t="s">
        <v>4</v>
      </c>
      <c r="B141" s="42" t="s">
        <v>53</v>
      </c>
      <c r="C141" s="42" t="s">
        <v>108</v>
      </c>
      <c r="D141" s="42" t="s">
        <v>237</v>
      </c>
      <c r="E141" s="44">
        <v>-8000000</v>
      </c>
      <c r="F141" s="44">
        <f>E141/'Reporting Hebdo'!$E$3</f>
      </c>
      <c r="G141" s="81" t="s">
        <v>215</v>
      </c>
    </row>
    <row r="142" spans="1:7" x14ac:dyDescent="0.25">
      <c r="A142" s="81" t="s">
        <v>4</v>
      </c>
      <c r="B142" s="42" t="s">
        <v>53</v>
      </c>
      <c r="C142" s="42" t="s">
        <v>109</v>
      </c>
      <c r="D142" s="42" t="s">
        <v>240</v>
      </c>
      <c r="E142" s="44">
        <v>-30000</v>
      </c>
      <c r="F142" s="44">
        <f>E142/'Reporting Hebdo'!$E$3</f>
      </c>
      <c r="G142" s="81" t="s">
        <v>215</v>
      </c>
    </row>
    <row r="143" spans="1:7" x14ac:dyDescent="0.25">
      <c r="A143" s="81" t="s">
        <v>4</v>
      </c>
      <c r="B143" s="42" t="s">
        <v>53</v>
      </c>
      <c r="C143" s="42" t="s">
        <v>109</v>
      </c>
      <c r="D143" s="42" t="s">
        <v>241</v>
      </c>
      <c r="E143" s="44">
        <v>-3200000</v>
      </c>
      <c r="F143" s="44">
        <f>E143/'Reporting Hebdo'!$E$3</f>
      </c>
      <c r="G143" s="81" t="s">
        <v>215</v>
      </c>
    </row>
    <row r="144" spans="1:7" x14ac:dyDescent="0.25">
      <c r="A144" s="81" t="s">
        <v>4</v>
      </c>
      <c r="B144" s="42" t="s">
        <v>61</v>
      </c>
      <c r="C144" s="42" t="s">
        <v>108</v>
      </c>
      <c r="D144" s="42" t="s">
        <v>237</v>
      </c>
      <c r="E144" s="44">
        <v>-3000000</v>
      </c>
      <c r="F144" s="44">
        <f>E144/'Reporting Hebdo'!$E$3</f>
      </c>
      <c r="G144" s="81" t="s">
        <v>215</v>
      </c>
    </row>
    <row r="145" spans="1:7" x14ac:dyDescent="0.25">
      <c r="A145" s="81" t="s">
        <v>4</v>
      </c>
      <c r="B145" s="42" t="s">
        <v>61</v>
      </c>
      <c r="C145" s="42" t="s">
        <v>109</v>
      </c>
      <c r="D145" s="42" t="s">
        <v>240</v>
      </c>
      <c r="E145" s="44">
        <v>-8000</v>
      </c>
      <c r="F145" s="44">
        <f>E145/'Reporting Hebdo'!$E$3</f>
      </c>
      <c r="G145" s="81" t="s">
        <v>215</v>
      </c>
    </row>
    <row r="146" spans="1:7" x14ac:dyDescent="0.25">
      <c r="A146" s="81" t="s">
        <v>4</v>
      </c>
      <c r="B146" s="42" t="s">
        <v>61</v>
      </c>
      <c r="C146" s="42" t="s">
        <v>109</v>
      </c>
      <c r="D146" s="42" t="s">
        <v>241</v>
      </c>
      <c r="E146" s="44">
        <v>-960000</v>
      </c>
      <c r="F146" s="44">
        <f>E146/'Reporting Hebdo'!$E$3</f>
      </c>
      <c r="G146" s="81" t="s">
        <v>215</v>
      </c>
    </row>
    <row r="147" spans="1:7" x14ac:dyDescent="0.25">
      <c r="A147" s="81" t="s">
        <v>5</v>
      </c>
      <c r="B147" s="42" t="s">
        <v>22</v>
      </c>
      <c r="C147" s="42" t="s">
        <v>109</v>
      </c>
      <c r="D147" s="42" t="s">
        <v>240</v>
      </c>
      <c r="E147" s="44">
        <v>-40000</v>
      </c>
      <c r="F147" s="44">
        <f>E147/'Reporting Hebdo'!$E$3</f>
      </c>
      <c r="G147" s="81" t="s">
        <v>215</v>
      </c>
    </row>
    <row r="148" spans="1:7" x14ac:dyDescent="0.25">
      <c r="A148" s="81" t="s">
        <v>5</v>
      </c>
      <c r="B148" s="42" t="s">
        <v>22</v>
      </c>
      <c r="C148" s="42" t="s">
        <v>109</v>
      </c>
      <c r="D148" s="42" t="s">
        <v>241</v>
      </c>
      <c r="E148" s="44">
        <v>-3000000</v>
      </c>
      <c r="F148" s="44">
        <f>E148/'Reporting Hebdo'!$E$3</f>
      </c>
      <c r="G148" s="81" t="s">
        <v>215</v>
      </c>
    </row>
    <row r="149" spans="1:7" x14ac:dyDescent="0.25">
      <c r="A149" s="81" t="s">
        <v>5</v>
      </c>
      <c r="B149" s="42" t="s">
        <v>22</v>
      </c>
      <c r="C149" s="42" t="s">
        <v>111</v>
      </c>
      <c r="D149" s="42" t="s">
        <v>293</v>
      </c>
      <c r="E149" s="44">
        <v>-21311647</v>
      </c>
      <c r="F149" s="44">
        <f>E149/'Reporting Hebdo'!$E$3</f>
      </c>
      <c r="G149" s="81" t="s">
        <v>215</v>
      </c>
    </row>
    <row r="150" spans="1:7" x14ac:dyDescent="0.25">
      <c r="A150" s="81" t="s">
        <v>5</v>
      </c>
      <c r="B150" s="42" t="s">
        <v>36</v>
      </c>
      <c r="C150" s="42" t="s">
        <v>109</v>
      </c>
      <c r="D150" s="42" t="s">
        <v>240</v>
      </c>
      <c r="E150" s="44">
        <v>-1000</v>
      </c>
      <c r="F150" s="44">
        <f>E150/'Reporting Hebdo'!$E$3</f>
      </c>
      <c r="G150" s="81" t="s">
        <v>215</v>
      </c>
    </row>
    <row r="151" spans="1:7" x14ac:dyDescent="0.25">
      <c r="A151" s="81" t="s">
        <v>5</v>
      </c>
      <c r="B151" s="42" t="s">
        <v>36</v>
      </c>
      <c r="C151" s="42" t="s">
        <v>109</v>
      </c>
      <c r="D151" s="42" t="s">
        <v>241</v>
      </c>
      <c r="E151" s="44">
        <v>-90000</v>
      </c>
      <c r="F151" s="44">
        <f>E151/'Reporting Hebdo'!$E$3</f>
      </c>
      <c r="G151" s="81" t="s">
        <v>215</v>
      </c>
    </row>
    <row r="152" spans="1:7" x14ac:dyDescent="0.25">
      <c r="A152" s="81" t="s">
        <v>5</v>
      </c>
      <c r="B152" s="42" t="s">
        <v>46</v>
      </c>
      <c r="C152" s="42" t="s">
        <v>109</v>
      </c>
      <c r="D152" s="42" t="s">
        <v>240</v>
      </c>
      <c r="E152" s="44">
        <v>-60000</v>
      </c>
      <c r="F152" s="44">
        <f>E152/'Reporting Hebdo'!$E$3</f>
      </c>
      <c r="G152" s="81" t="s">
        <v>215</v>
      </c>
    </row>
    <row r="153" spans="1:7" x14ac:dyDescent="0.25">
      <c r="A153" s="81" t="s">
        <v>5</v>
      </c>
      <c r="B153" s="42" t="s">
        <v>46</v>
      </c>
      <c r="C153" s="42" t="s">
        <v>109</v>
      </c>
      <c r="D153" s="42" t="s">
        <v>241</v>
      </c>
      <c r="E153" s="44">
        <v>-4000000</v>
      </c>
      <c r="F153" s="44">
        <f>E153/'Reporting Hebdo'!$E$3</f>
      </c>
      <c r="G153" s="81" t="s">
        <v>215</v>
      </c>
    </row>
    <row r="154" spans="1:7" x14ac:dyDescent="0.25">
      <c r="A154" s="81" t="s">
        <v>5</v>
      </c>
      <c r="B154" s="42" t="s">
        <v>46</v>
      </c>
      <c r="C154" s="42" t="s">
        <v>111</v>
      </c>
      <c r="D154" s="42" t="s">
        <v>293</v>
      </c>
      <c r="E154" s="44">
        <v>-38477044</v>
      </c>
      <c r="F154" s="44">
        <f>E154/'Reporting Hebdo'!$E$3</f>
      </c>
      <c r="G154" s="81" t="s">
        <v>215</v>
      </c>
    </row>
    <row r="155" spans="1:7" x14ac:dyDescent="0.25">
      <c r="A155" s="81" t="s">
        <v>5</v>
      </c>
      <c r="B155" s="42" t="s">
        <v>53</v>
      </c>
      <c r="C155" s="42" t="s">
        <v>109</v>
      </c>
      <c r="D155" s="42" t="s">
        <v>240</v>
      </c>
      <c r="E155" s="44">
        <v>-30000</v>
      </c>
      <c r="F155" s="44">
        <f>E155/'Reporting Hebdo'!$E$3</f>
      </c>
      <c r="G155" s="81" t="s">
        <v>215</v>
      </c>
    </row>
    <row r="156" spans="1:7" x14ac:dyDescent="0.25">
      <c r="A156" s="81" t="s">
        <v>5</v>
      </c>
      <c r="B156" s="42" t="s">
        <v>53</v>
      </c>
      <c r="C156" s="42" t="s">
        <v>109</v>
      </c>
      <c r="D156" s="42" t="s">
        <v>241</v>
      </c>
      <c r="E156" s="44">
        <v>-3200000</v>
      </c>
      <c r="F156" s="44">
        <f>E156/'Reporting Hebdo'!$E$3</f>
      </c>
      <c r="G156" s="81" t="s">
        <v>215</v>
      </c>
    </row>
    <row r="157" spans="1:7" x14ac:dyDescent="0.25">
      <c r="A157" s="81" t="s">
        <v>5</v>
      </c>
      <c r="B157" s="42" t="s">
        <v>53</v>
      </c>
      <c r="C157" s="42" t="s">
        <v>111</v>
      </c>
      <c r="D157" s="42" t="s">
        <v>293</v>
      </c>
      <c r="E157" s="44">
        <v>-26000000</v>
      </c>
      <c r="F157" s="44">
        <f>E157/'Reporting Hebdo'!$E$3</f>
      </c>
      <c r="G157" s="81" t="s">
        <v>215</v>
      </c>
    </row>
    <row r="158" spans="1:7" x14ac:dyDescent="0.25">
      <c r="A158" s="81" t="s">
        <v>5</v>
      </c>
      <c r="B158" s="42" t="s">
        <v>61</v>
      </c>
      <c r="C158" s="42" t="s">
        <v>109</v>
      </c>
      <c r="D158" s="42" t="s">
        <v>240</v>
      </c>
      <c r="E158" s="44">
        <v>-8000</v>
      </c>
      <c r="F158" s="44">
        <f>E158/'Reporting Hebdo'!$E$3</f>
      </c>
      <c r="G158" s="81" t="s">
        <v>215</v>
      </c>
    </row>
    <row r="159" spans="1:7" x14ac:dyDescent="0.25">
      <c r="A159" s="81" t="s">
        <v>5</v>
      </c>
      <c r="B159" s="42" t="s">
        <v>61</v>
      </c>
      <c r="C159" s="42" t="s">
        <v>109</v>
      </c>
      <c r="D159" s="42" t="s">
        <v>241</v>
      </c>
      <c r="E159" s="44">
        <v>-960000</v>
      </c>
      <c r="F159" s="44">
        <f>E159/'Reporting Hebdo'!$E$3</f>
      </c>
      <c r="G159" s="81" t="s">
        <v>215</v>
      </c>
    </row>
    <row r="160" spans="1:7" x14ac:dyDescent="0.25">
      <c r="A160" s="82" t="s">
        <v>3</v>
      </c>
      <c r="B160" s="83" t="s">
        <v>22</v>
      </c>
      <c r="C160" s="83" t="s">
        <v>107</v>
      </c>
      <c r="D160" s="83" t="s">
        <v>294</v>
      </c>
      <c r="E160" s="84">
        <v>-6540976</v>
      </c>
      <c r="F160" s="84">
        <f>E160/'Reporting Hebdo'!$E$3</f>
      </c>
      <c r="G160" s="82" t="s">
        <v>295</v>
      </c>
    </row>
    <row r="161" spans="1:7" x14ac:dyDescent="0.25">
      <c r="A161" s="82" t="s">
        <v>3</v>
      </c>
      <c r="B161" s="83" t="s">
        <v>22</v>
      </c>
      <c r="C161" s="83" t="s">
        <v>107</v>
      </c>
      <c r="D161" s="83" t="s">
        <v>296</v>
      </c>
      <c r="E161" s="84">
        <v>-761565</v>
      </c>
      <c r="F161" s="84">
        <f>E161/'Reporting Hebdo'!$E$3</f>
      </c>
      <c r="G161" s="82" t="s">
        <v>295</v>
      </c>
    </row>
    <row r="162" spans="1:7" x14ac:dyDescent="0.25">
      <c r="A162" s="82" t="s">
        <v>3</v>
      </c>
      <c r="B162" s="83" t="s">
        <v>22</v>
      </c>
      <c r="C162" s="83" t="s">
        <v>107</v>
      </c>
      <c r="D162" s="83" t="s">
        <v>297</v>
      </c>
      <c r="E162" s="84">
        <v>-26238280</v>
      </c>
      <c r="F162" s="84">
        <f>E162/'Reporting Hebdo'!$E$3</f>
      </c>
      <c r="G162" s="82" t="s">
        <v>295</v>
      </c>
    </row>
    <row r="163" spans="1:7" x14ac:dyDescent="0.25">
      <c r="A163" s="82" t="s">
        <v>3</v>
      </c>
      <c r="B163" s="83" t="s">
        <v>22</v>
      </c>
      <c r="C163" s="83" t="s">
        <v>107</v>
      </c>
      <c r="D163" s="83" t="s">
        <v>298</v>
      </c>
      <c r="E163" s="84">
        <v>-910000</v>
      </c>
      <c r="F163" s="84">
        <f>E163/'Reporting Hebdo'!$E$3</f>
      </c>
      <c r="G163" s="82" t="s">
        <v>295</v>
      </c>
    </row>
    <row r="164" spans="1:7" x14ac:dyDescent="0.25">
      <c r="A164" s="82" t="s">
        <v>3</v>
      </c>
      <c r="B164" s="83" t="s">
        <v>22</v>
      </c>
      <c r="C164" s="83" t="s">
        <v>107</v>
      </c>
      <c r="D164" s="83" t="s">
        <v>299</v>
      </c>
      <c r="E164" s="84">
        <v>-1318473</v>
      </c>
      <c r="F164" s="84">
        <f>E164/'Reporting Hebdo'!$E$3</f>
      </c>
      <c r="G164" s="82" t="s">
        <v>295</v>
      </c>
    </row>
    <row r="165" spans="1:7" x14ac:dyDescent="0.25">
      <c r="A165" s="82" t="s">
        <v>3</v>
      </c>
      <c r="B165" s="83" t="s">
        <v>22</v>
      </c>
      <c r="C165" s="83" t="s">
        <v>107</v>
      </c>
      <c r="D165" s="83" t="s">
        <v>300</v>
      </c>
      <c r="E165" s="84">
        <v>-62745367</v>
      </c>
      <c r="F165" s="84">
        <f>E165/'Reporting Hebdo'!$E$3</f>
      </c>
      <c r="G165" s="82" t="s">
        <v>295</v>
      </c>
    </row>
    <row r="166" spans="1:7" x14ac:dyDescent="0.25">
      <c r="A166" s="82" t="s">
        <v>3</v>
      </c>
      <c r="B166" s="83" t="s">
        <v>22</v>
      </c>
      <c r="C166" s="83" t="s">
        <v>164</v>
      </c>
      <c r="D166" s="83" t="s">
        <v>301</v>
      </c>
      <c r="E166" s="84">
        <v>-15365000</v>
      </c>
      <c r="F166" s="84">
        <f>E166/'Reporting Hebdo'!$E$3</f>
      </c>
      <c r="G166" s="82" t="s">
        <v>295</v>
      </c>
    </row>
    <row r="167" spans="1:7" x14ac:dyDescent="0.25">
      <c r="A167" s="82" t="s">
        <v>3</v>
      </c>
      <c r="B167" s="83" t="s">
        <v>29</v>
      </c>
      <c r="C167" s="83" t="s">
        <v>107</v>
      </c>
      <c r="D167" s="83" t="s">
        <v>302</v>
      </c>
      <c r="E167" s="84">
        <v>-3679785</v>
      </c>
      <c r="F167" s="84">
        <f>E167/'Reporting Hebdo'!$E$3</f>
      </c>
      <c r="G167" s="82" t="s">
        <v>295</v>
      </c>
    </row>
    <row r="168" spans="1:7" x14ac:dyDescent="0.25">
      <c r="A168" s="82" t="s">
        <v>3</v>
      </c>
      <c r="B168" s="83" t="s">
        <v>33</v>
      </c>
      <c r="C168" s="83" t="s">
        <v>107</v>
      </c>
      <c r="D168" s="83" t="s">
        <v>303</v>
      </c>
      <c r="E168" s="84">
        <v>-283242233</v>
      </c>
      <c r="F168" s="84">
        <f>E168/'Reporting Hebdo'!$E$3</f>
      </c>
      <c r="G168" s="82" t="s">
        <v>295</v>
      </c>
    </row>
    <row r="169" spans="1:7" x14ac:dyDescent="0.25">
      <c r="A169" s="82" t="s">
        <v>3</v>
      </c>
      <c r="B169" s="83" t="s">
        <v>33</v>
      </c>
      <c r="C169" s="83" t="s">
        <v>107</v>
      </c>
      <c r="D169" s="83" t="s">
        <v>304</v>
      </c>
      <c r="E169" s="84">
        <v>-8594077952</v>
      </c>
      <c r="F169" s="84">
        <f>E169/'Reporting Hebdo'!$E$3</f>
      </c>
      <c r="G169" s="82" t="s">
        <v>295</v>
      </c>
    </row>
    <row r="170" spans="1:7" x14ac:dyDescent="0.25">
      <c r="A170" s="82" t="s">
        <v>3</v>
      </c>
      <c r="B170" s="83" t="s">
        <v>33</v>
      </c>
      <c r="C170" s="83" t="s">
        <v>164</v>
      </c>
      <c r="D170" s="83" t="s">
        <v>301</v>
      </c>
      <c r="E170" s="84">
        <v>-860588775</v>
      </c>
      <c r="F170" s="84">
        <f>E170/'Reporting Hebdo'!$E$3</f>
      </c>
      <c r="G170" s="82" t="s">
        <v>295</v>
      </c>
    </row>
    <row r="171" spans="1:7" x14ac:dyDescent="0.25">
      <c r="A171" s="82" t="s">
        <v>3</v>
      </c>
      <c r="B171" s="83" t="s">
        <v>36</v>
      </c>
      <c r="C171" s="83" t="s">
        <v>107</v>
      </c>
      <c r="D171" s="83" t="s">
        <v>305</v>
      </c>
      <c r="E171" s="84">
        <v>-3728238700</v>
      </c>
      <c r="F171" s="84">
        <f>E171/'Reporting Hebdo'!$E$3</f>
      </c>
      <c r="G171" s="82" t="s">
        <v>295</v>
      </c>
    </row>
    <row r="172" spans="1:7" x14ac:dyDescent="0.25">
      <c r="A172" s="82" t="s">
        <v>3</v>
      </c>
      <c r="B172" s="83" t="s">
        <v>36</v>
      </c>
      <c r="C172" s="83" t="s">
        <v>107</v>
      </c>
      <c r="D172" s="83" t="s">
        <v>303</v>
      </c>
      <c r="E172" s="84">
        <v>-405477195</v>
      </c>
      <c r="F172" s="84">
        <f>E172/'Reporting Hebdo'!$E$3</f>
      </c>
      <c r="G172" s="82" t="s">
        <v>295</v>
      </c>
    </row>
    <row r="173" spans="1:7" x14ac:dyDescent="0.25">
      <c r="A173" s="82" t="s">
        <v>3</v>
      </c>
      <c r="B173" s="83" t="s">
        <v>36</v>
      </c>
      <c r="C173" s="83" t="s">
        <v>164</v>
      </c>
      <c r="D173" s="83" t="s">
        <v>301</v>
      </c>
      <c r="E173" s="84">
        <v>-810588775</v>
      </c>
      <c r="F173" s="84">
        <f>E173/'Reporting Hebdo'!$E$3</f>
      </c>
      <c r="G173" s="82" t="s">
        <v>295</v>
      </c>
    </row>
    <row r="174" spans="1:7" x14ac:dyDescent="0.25">
      <c r="A174" s="82" t="s">
        <v>3</v>
      </c>
      <c r="B174" s="83" t="s">
        <v>46</v>
      </c>
      <c r="C174" s="83" t="s">
        <v>107</v>
      </c>
      <c r="D174" s="83" t="s">
        <v>306</v>
      </c>
      <c r="E174" s="84">
        <v>-906277</v>
      </c>
      <c r="F174" s="84">
        <f>E174/'Reporting Hebdo'!$E$3</f>
      </c>
      <c r="G174" s="82" t="s">
        <v>295</v>
      </c>
    </row>
    <row r="175" spans="1:7" x14ac:dyDescent="0.25">
      <c r="A175" s="82" t="s">
        <v>3</v>
      </c>
      <c r="B175" s="83" t="s">
        <v>46</v>
      </c>
      <c r="C175" s="83" t="s">
        <v>107</v>
      </c>
      <c r="D175" s="83" t="s">
        <v>304</v>
      </c>
      <c r="E175" s="84">
        <v>-15231224</v>
      </c>
      <c r="F175" s="84">
        <f>E175/'Reporting Hebdo'!$E$3</f>
      </c>
      <c r="G175" s="82" t="s">
        <v>295</v>
      </c>
    </row>
    <row r="176" spans="1:7" x14ac:dyDescent="0.25">
      <c r="A176" s="82" t="s">
        <v>3</v>
      </c>
      <c r="B176" s="83" t="s">
        <v>46</v>
      </c>
      <c r="C176" s="83" t="s">
        <v>107</v>
      </c>
      <c r="D176" s="83" t="s">
        <v>300</v>
      </c>
      <c r="E176" s="84">
        <v>-109014663</v>
      </c>
      <c r="F176" s="84">
        <f>E176/'Reporting Hebdo'!$E$3</f>
      </c>
      <c r="G176" s="82" t="s">
        <v>295</v>
      </c>
    </row>
    <row r="177" spans="1:7" x14ac:dyDescent="0.25">
      <c r="A177" s="82" t="s">
        <v>3</v>
      </c>
      <c r="B177" s="83" t="s">
        <v>50</v>
      </c>
      <c r="C177" s="83" t="s">
        <v>164</v>
      </c>
      <c r="D177" s="83" t="s">
        <v>301</v>
      </c>
      <c r="E177" s="84">
        <v>-14400000</v>
      </c>
      <c r="F177" s="84">
        <f>E177/'Reporting Hebdo'!$E$3</f>
      </c>
      <c r="G177" s="82" t="s">
        <v>295</v>
      </c>
    </row>
    <row r="178" spans="1:7" x14ac:dyDescent="0.25">
      <c r="A178" s="82" t="s">
        <v>3</v>
      </c>
      <c r="B178" s="83" t="s">
        <v>53</v>
      </c>
      <c r="C178" s="83" t="s">
        <v>107</v>
      </c>
      <c r="D178" s="83" t="s">
        <v>307</v>
      </c>
      <c r="E178" s="84">
        <v>-13000000</v>
      </c>
      <c r="F178" s="84">
        <f>E178/'Reporting Hebdo'!$E$3</f>
      </c>
      <c r="G178" s="82" t="s">
        <v>295</v>
      </c>
    </row>
    <row r="179" spans="1:7" x14ac:dyDescent="0.25">
      <c r="A179" s="82" t="s">
        <v>3</v>
      </c>
      <c r="B179" s="83" t="s">
        <v>53</v>
      </c>
      <c r="C179" s="83" t="s">
        <v>164</v>
      </c>
      <c r="D179" s="83" t="s">
        <v>301</v>
      </c>
      <c r="E179" s="84">
        <v>-14400000</v>
      </c>
      <c r="F179" s="84">
        <f>E179/'Reporting Hebdo'!$E$3</f>
      </c>
      <c r="G179" s="82" t="s">
        <v>295</v>
      </c>
    </row>
    <row r="180" spans="1:7" x14ac:dyDescent="0.25">
      <c r="A180" s="82" t="s">
        <v>3</v>
      </c>
      <c r="B180" s="83" t="s">
        <v>59</v>
      </c>
      <c r="C180" s="83" t="s">
        <v>107</v>
      </c>
      <c r="D180" s="83" t="s">
        <v>308</v>
      </c>
      <c r="E180" s="84">
        <v>-1115127</v>
      </c>
      <c r="F180" s="84">
        <f>E180/'Reporting Hebdo'!$E$3</f>
      </c>
      <c r="G180" s="82" t="s">
        <v>295</v>
      </c>
    </row>
    <row r="181" spans="1:7" x14ac:dyDescent="0.25">
      <c r="A181" s="82" t="s">
        <v>3</v>
      </c>
      <c r="B181" s="83" t="s">
        <v>59</v>
      </c>
      <c r="C181" s="83" t="s">
        <v>107</v>
      </c>
      <c r="D181" s="83" t="s">
        <v>309</v>
      </c>
      <c r="E181" s="84">
        <v>-1705487</v>
      </c>
      <c r="F181" s="84">
        <f>E181/'Reporting Hebdo'!$E$3</f>
      </c>
      <c r="G181" s="82" t="s">
        <v>295</v>
      </c>
    </row>
  </sheetData>
  <autoFilter ref="A4:G18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7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</cols>
  <sheetData>
    <row r="1" spans="1:1" x14ac:dyDescent="0.25">
      <c r="A1" s="1" t="s">
        <v>310</v>
      </c>
    </row>
    <row r="4" spans="1:10" x14ac:dyDescent="0.25">
      <c r="A4" s="80" t="s">
        <v>2</v>
      </c>
      <c r="B4" s="80" t="s">
        <v>311</v>
      </c>
      <c r="C4" s="80" t="s">
        <v>97</v>
      </c>
      <c r="D4" s="80" t="s">
        <v>210</v>
      </c>
      <c r="E4" s="80" t="s">
        <v>312</v>
      </c>
      <c r="F4" s="80" t="s">
        <v>313</v>
      </c>
      <c r="G4" s="80" t="s">
        <v>314</v>
      </c>
      <c r="H4" s="80" t="s">
        <v>315</v>
      </c>
      <c r="I4" s="80" t="s">
        <v>175</v>
      </c>
      <c r="J4" s="80" t="s">
        <v>213</v>
      </c>
    </row>
    <row r="5" spans="1:10" x14ac:dyDescent="0.25">
      <c r="A5" s="81" t="s">
        <v>3</v>
      </c>
      <c r="B5" s="42" t="s">
        <v>64</v>
      </c>
      <c r="C5" s="42" t="s">
        <v>29</v>
      </c>
      <c r="D5" s="42" t="s">
        <v>124</v>
      </c>
      <c r="E5" s="42" t="s">
        <v>18</v>
      </c>
      <c r="F5" s="42" t="s">
        <v>316</v>
      </c>
      <c r="G5" s="42" t="s">
        <v>18</v>
      </c>
      <c r="H5" s="44">
        <f>I5/'Reporting Hebdo'!$E$3</f>
      </c>
      <c r="I5" s="44">
        <v>-239724319</v>
      </c>
      <c r="J5" s="81" t="s">
        <v>215</v>
      </c>
    </row>
    <row r="6" spans="1:10" x14ac:dyDescent="0.25">
      <c r="A6" s="81" t="s">
        <v>3</v>
      </c>
      <c r="B6" s="42" t="s">
        <v>64</v>
      </c>
      <c r="C6" s="42" t="s">
        <v>29</v>
      </c>
      <c r="D6" s="42" t="s">
        <v>124</v>
      </c>
      <c r="E6" s="42" t="s">
        <v>18</v>
      </c>
      <c r="F6" s="42" t="s">
        <v>317</v>
      </c>
      <c r="G6" s="42" t="s">
        <v>18</v>
      </c>
      <c r="H6" s="44">
        <f>I6/'Reporting Hebdo'!$E$3</f>
      </c>
      <c r="I6" s="44">
        <v>-104205329</v>
      </c>
      <c r="J6" s="81" t="s">
        <v>215</v>
      </c>
    </row>
    <row r="7" spans="1:10" x14ac:dyDescent="0.25">
      <c r="A7" s="81" t="s">
        <v>3</v>
      </c>
      <c r="B7" s="42" t="s">
        <v>80</v>
      </c>
      <c r="C7" s="42" t="s">
        <v>33</v>
      </c>
      <c r="D7" s="42" t="s">
        <v>125</v>
      </c>
      <c r="E7" s="42" t="s">
        <v>318</v>
      </c>
      <c r="F7" s="42" t="s">
        <v>319</v>
      </c>
      <c r="G7" s="42" t="s">
        <v>320</v>
      </c>
      <c r="H7" s="44">
        <v>-5802</v>
      </c>
      <c r="I7" s="44">
        <f>H7*'Reporting Hebdo'!$E$3</f>
      </c>
      <c r="J7" s="81" t="s">
        <v>215</v>
      </c>
    </row>
    <row r="8" spans="1:10" x14ac:dyDescent="0.25">
      <c r="A8" s="81" t="s">
        <v>3</v>
      </c>
      <c r="B8" s="42" t="s">
        <v>80</v>
      </c>
      <c r="C8" s="42" t="s">
        <v>33</v>
      </c>
      <c r="D8" s="42" t="s">
        <v>126</v>
      </c>
      <c r="E8" s="42" t="s">
        <v>18</v>
      </c>
      <c r="F8" s="42" t="s">
        <v>321</v>
      </c>
      <c r="G8" s="42" t="s">
        <v>18</v>
      </c>
      <c r="H8" s="44">
        <v>-86158.96</v>
      </c>
      <c r="I8" s="44">
        <f>H8*'Reporting Hebdo'!$E$3</f>
      </c>
      <c r="J8" s="81" t="s">
        <v>215</v>
      </c>
    </row>
    <row r="9" spans="1:10" x14ac:dyDescent="0.25">
      <c r="A9" s="81" t="s">
        <v>3</v>
      </c>
      <c r="B9" s="42" t="s">
        <v>80</v>
      </c>
      <c r="C9" s="42" t="s">
        <v>33</v>
      </c>
      <c r="D9" s="42" t="s">
        <v>126</v>
      </c>
      <c r="E9" s="42" t="s">
        <v>322</v>
      </c>
      <c r="F9" s="42" t="s">
        <v>323</v>
      </c>
      <c r="G9" s="42" t="s">
        <v>18</v>
      </c>
      <c r="H9" s="44">
        <v>-12500</v>
      </c>
      <c r="I9" s="44">
        <f>H9*'Reporting Hebdo'!$E$3</f>
      </c>
      <c r="J9" s="81" t="s">
        <v>215</v>
      </c>
    </row>
    <row r="10" spans="1:10" x14ac:dyDescent="0.25">
      <c r="A10" s="81" t="s">
        <v>3</v>
      </c>
      <c r="B10" s="42" t="s">
        <v>80</v>
      </c>
      <c r="C10" s="42" t="s">
        <v>33</v>
      </c>
      <c r="D10" s="42" t="s">
        <v>126</v>
      </c>
      <c r="E10" s="42" t="s">
        <v>324</v>
      </c>
      <c r="F10" s="42" t="s">
        <v>325</v>
      </c>
      <c r="G10" s="42" t="s">
        <v>18</v>
      </c>
      <c r="H10" s="44">
        <v>-598630.99</v>
      </c>
      <c r="I10" s="44">
        <f>H10*'Reporting Hebdo'!$E$3</f>
      </c>
      <c r="J10" s="81" t="s">
        <v>215</v>
      </c>
    </row>
    <row r="11" spans="1:10" x14ac:dyDescent="0.25">
      <c r="A11" s="81" t="s">
        <v>3</v>
      </c>
      <c r="B11" s="42" t="s">
        <v>80</v>
      </c>
      <c r="C11" s="42" t="s">
        <v>33</v>
      </c>
      <c r="D11" s="42" t="s">
        <v>126</v>
      </c>
      <c r="E11" s="42" t="s">
        <v>326</v>
      </c>
      <c r="F11" s="42" t="s">
        <v>327</v>
      </c>
      <c r="G11" s="42" t="s">
        <v>18</v>
      </c>
      <c r="H11" s="44">
        <v>-164209.05</v>
      </c>
      <c r="I11" s="44">
        <f>H11*'Reporting Hebdo'!$E$3</f>
      </c>
      <c r="J11" s="81" t="s">
        <v>215</v>
      </c>
    </row>
    <row r="12" spans="1:10" x14ac:dyDescent="0.25">
      <c r="A12" s="81" t="s">
        <v>3</v>
      </c>
      <c r="B12" s="42" t="s">
        <v>80</v>
      </c>
      <c r="C12" s="42" t="s">
        <v>33</v>
      </c>
      <c r="D12" s="42" t="s">
        <v>126</v>
      </c>
      <c r="E12" s="42" t="s">
        <v>328</v>
      </c>
      <c r="F12" s="42" t="s">
        <v>329</v>
      </c>
      <c r="G12" s="42" t="s">
        <v>18</v>
      </c>
      <c r="H12" s="44">
        <v>-224940.6</v>
      </c>
      <c r="I12" s="44">
        <f>H12*'Reporting Hebdo'!$E$3</f>
      </c>
      <c r="J12" s="81" t="s">
        <v>215</v>
      </c>
    </row>
    <row r="13" spans="1:10" x14ac:dyDescent="0.25">
      <c r="A13" s="81" t="s">
        <v>3</v>
      </c>
      <c r="B13" s="42" t="s">
        <v>80</v>
      </c>
      <c r="C13" s="42" t="s">
        <v>33</v>
      </c>
      <c r="D13" s="42" t="s">
        <v>126</v>
      </c>
      <c r="E13" s="42" t="s">
        <v>330</v>
      </c>
      <c r="F13" s="42" t="s">
        <v>331</v>
      </c>
      <c r="G13" s="42" t="s">
        <v>18</v>
      </c>
      <c r="H13" s="44">
        <v>-338435.85</v>
      </c>
      <c r="I13" s="44">
        <f>H13*'Reporting Hebdo'!$E$3</f>
      </c>
      <c r="J13" s="81" t="s">
        <v>215</v>
      </c>
    </row>
    <row r="14" spans="1:10" x14ac:dyDescent="0.25">
      <c r="A14" s="81" t="s">
        <v>3</v>
      </c>
      <c r="B14" s="42" t="s">
        <v>80</v>
      </c>
      <c r="C14" s="42" t="s">
        <v>33</v>
      </c>
      <c r="D14" s="42" t="s">
        <v>127</v>
      </c>
      <c r="E14" s="42" t="s">
        <v>332</v>
      </c>
      <c r="F14" s="42" t="s">
        <v>333</v>
      </c>
      <c r="G14" s="42" t="s">
        <v>334</v>
      </c>
      <c r="H14" s="44">
        <v>-54903</v>
      </c>
      <c r="I14" s="44">
        <f>H14*'Reporting Hebdo'!$E$3</f>
      </c>
      <c r="J14" s="81" t="s">
        <v>215</v>
      </c>
    </row>
    <row r="15" spans="1:10" x14ac:dyDescent="0.25">
      <c r="A15" s="81" t="s">
        <v>3</v>
      </c>
      <c r="B15" s="42" t="s">
        <v>80</v>
      </c>
      <c r="C15" s="42" t="s">
        <v>33</v>
      </c>
      <c r="D15" s="42" t="s">
        <v>127</v>
      </c>
      <c r="E15" s="42" t="s">
        <v>332</v>
      </c>
      <c r="F15" s="42" t="s">
        <v>333</v>
      </c>
      <c r="G15" s="42" t="s">
        <v>334</v>
      </c>
      <c r="H15" s="44">
        <v>-6577</v>
      </c>
      <c r="I15" s="44">
        <f>H15*'Reporting Hebdo'!$E$3</f>
      </c>
      <c r="J15" s="81" t="s">
        <v>215</v>
      </c>
    </row>
    <row r="16" spans="1:10" x14ac:dyDescent="0.25">
      <c r="A16" s="81" t="s">
        <v>3</v>
      </c>
      <c r="B16" s="42" t="s">
        <v>80</v>
      </c>
      <c r="C16" s="42" t="s">
        <v>33</v>
      </c>
      <c r="D16" s="42" t="s">
        <v>127</v>
      </c>
      <c r="E16" s="42" t="s">
        <v>335</v>
      </c>
      <c r="F16" s="42" t="s">
        <v>336</v>
      </c>
      <c r="G16" s="42" t="s">
        <v>337</v>
      </c>
      <c r="H16" s="44">
        <v>-82323.18</v>
      </c>
      <c r="I16" s="44">
        <f>H16*'Reporting Hebdo'!$E$3</f>
      </c>
      <c r="J16" s="81" t="s">
        <v>215</v>
      </c>
    </row>
    <row r="17" spans="1:10" x14ac:dyDescent="0.25">
      <c r="A17" s="81" t="s">
        <v>3</v>
      </c>
      <c r="B17" s="42" t="s">
        <v>80</v>
      </c>
      <c r="C17" s="42" t="s">
        <v>33</v>
      </c>
      <c r="D17" s="42" t="s">
        <v>127</v>
      </c>
      <c r="E17" s="42" t="s">
        <v>338</v>
      </c>
      <c r="F17" s="42" t="s">
        <v>339</v>
      </c>
      <c r="G17" s="42" t="s">
        <v>340</v>
      </c>
      <c r="H17" s="44">
        <v>-8415.19</v>
      </c>
      <c r="I17" s="44">
        <f>H17*'Reporting Hebdo'!$E$3</f>
      </c>
      <c r="J17" s="81" t="s">
        <v>215</v>
      </c>
    </row>
    <row r="18" spans="1:10" x14ac:dyDescent="0.25">
      <c r="A18" s="81" t="s">
        <v>3</v>
      </c>
      <c r="B18" s="42" t="s">
        <v>80</v>
      </c>
      <c r="C18" s="42" t="s">
        <v>33</v>
      </c>
      <c r="D18" s="42" t="s">
        <v>127</v>
      </c>
      <c r="E18" s="42" t="s">
        <v>341</v>
      </c>
      <c r="F18" s="42" t="s">
        <v>342</v>
      </c>
      <c r="G18" s="42" t="s">
        <v>343</v>
      </c>
      <c r="H18" s="44">
        <v>-6738.37</v>
      </c>
      <c r="I18" s="44">
        <f>H18*'Reporting Hebdo'!$E$3</f>
      </c>
      <c r="J18" s="81" t="s">
        <v>215</v>
      </c>
    </row>
    <row r="19" spans="1:10" x14ac:dyDescent="0.25">
      <c r="A19" s="81" t="s">
        <v>3</v>
      </c>
      <c r="B19" s="42" t="s">
        <v>80</v>
      </c>
      <c r="C19" s="42" t="s">
        <v>33</v>
      </c>
      <c r="D19" s="42" t="s">
        <v>127</v>
      </c>
      <c r="E19" s="42" t="s">
        <v>344</v>
      </c>
      <c r="F19" s="42" t="s">
        <v>345</v>
      </c>
      <c r="G19" s="42" t="s">
        <v>346</v>
      </c>
      <c r="H19" s="44">
        <v>-105395.81</v>
      </c>
      <c r="I19" s="44">
        <f>H19*'Reporting Hebdo'!$E$3</f>
      </c>
      <c r="J19" s="81" t="s">
        <v>215</v>
      </c>
    </row>
    <row r="20" spans="1:10" x14ac:dyDescent="0.25">
      <c r="A20" s="81" t="s">
        <v>3</v>
      </c>
      <c r="B20" s="42" t="s">
        <v>80</v>
      </c>
      <c r="C20" s="42" t="s">
        <v>33</v>
      </c>
      <c r="D20" s="42" t="s">
        <v>127</v>
      </c>
      <c r="E20" s="42" t="s">
        <v>347</v>
      </c>
      <c r="F20" s="42" t="s">
        <v>348</v>
      </c>
      <c r="G20" s="42" t="s">
        <v>349</v>
      </c>
      <c r="H20" s="44">
        <v>-7000</v>
      </c>
      <c r="I20" s="44">
        <f>H20*'Reporting Hebdo'!$E$3</f>
      </c>
      <c r="J20" s="81" t="s">
        <v>215</v>
      </c>
    </row>
    <row r="21" spans="1:10" x14ac:dyDescent="0.25">
      <c r="A21" s="81" t="s">
        <v>3</v>
      </c>
      <c r="B21" s="42" t="s">
        <v>80</v>
      </c>
      <c r="C21" s="42" t="s">
        <v>33</v>
      </c>
      <c r="D21" s="42" t="s">
        <v>127</v>
      </c>
      <c r="E21" s="42" t="s">
        <v>350</v>
      </c>
      <c r="F21" s="42" t="s">
        <v>351</v>
      </c>
      <c r="G21" s="42" t="s">
        <v>18</v>
      </c>
      <c r="H21" s="44">
        <v>-48527.84</v>
      </c>
      <c r="I21" s="44">
        <f>H21*'Reporting Hebdo'!$E$3</f>
      </c>
      <c r="J21" s="81" t="s">
        <v>215</v>
      </c>
    </row>
    <row r="22" spans="1:10" x14ac:dyDescent="0.25">
      <c r="A22" s="81" t="s">
        <v>3</v>
      </c>
      <c r="B22" s="42" t="s">
        <v>80</v>
      </c>
      <c r="C22" s="42" t="s">
        <v>33</v>
      </c>
      <c r="D22" s="42" t="s">
        <v>128</v>
      </c>
      <c r="E22" s="42" t="s">
        <v>352</v>
      </c>
      <c r="F22" s="42" t="s">
        <v>353</v>
      </c>
      <c r="G22" s="42" t="s">
        <v>354</v>
      </c>
      <c r="H22" s="44">
        <v>-10000</v>
      </c>
      <c r="I22" s="44">
        <f>H22*'Reporting Hebdo'!$E$3</f>
      </c>
      <c r="J22" s="81" t="s">
        <v>215</v>
      </c>
    </row>
    <row r="23" spans="1:10" x14ac:dyDescent="0.25">
      <c r="A23" s="81" t="s">
        <v>3</v>
      </c>
      <c r="B23" s="42" t="s">
        <v>80</v>
      </c>
      <c r="C23" s="42" t="s">
        <v>33</v>
      </c>
      <c r="D23" s="42" t="s">
        <v>128</v>
      </c>
      <c r="E23" s="42" t="s">
        <v>355</v>
      </c>
      <c r="F23" s="42" t="s">
        <v>356</v>
      </c>
      <c r="G23" s="42" t="s">
        <v>357</v>
      </c>
      <c r="H23" s="44">
        <v>-1255555.2</v>
      </c>
      <c r="I23" s="44">
        <f>H23*'Reporting Hebdo'!$E$3</f>
      </c>
      <c r="J23" s="81" t="s">
        <v>215</v>
      </c>
    </row>
    <row r="24" spans="1:10" x14ac:dyDescent="0.25">
      <c r="A24" s="81" t="s">
        <v>3</v>
      </c>
      <c r="B24" s="42" t="s">
        <v>80</v>
      </c>
      <c r="C24" s="42" t="s">
        <v>33</v>
      </c>
      <c r="D24" s="42" t="s">
        <v>129</v>
      </c>
      <c r="E24" s="42" t="s">
        <v>358</v>
      </c>
      <c r="F24" s="42" t="s">
        <v>359</v>
      </c>
      <c r="G24" s="42" t="s">
        <v>18</v>
      </c>
      <c r="H24" s="44">
        <v>-128661.33</v>
      </c>
      <c r="I24" s="44">
        <f>H24*'Reporting Hebdo'!$E$3</f>
      </c>
      <c r="J24" s="81" t="s">
        <v>215</v>
      </c>
    </row>
    <row r="25" spans="1:10" x14ac:dyDescent="0.25">
      <c r="A25" s="81" t="s">
        <v>3</v>
      </c>
      <c r="B25" s="42" t="s">
        <v>80</v>
      </c>
      <c r="C25" s="42" t="s">
        <v>33</v>
      </c>
      <c r="D25" s="42" t="s">
        <v>129</v>
      </c>
      <c r="E25" s="42" t="s">
        <v>360</v>
      </c>
      <c r="F25" s="42" t="s">
        <v>361</v>
      </c>
      <c r="G25" s="42" t="s">
        <v>18</v>
      </c>
      <c r="H25" s="44">
        <v>-212269.89</v>
      </c>
      <c r="I25" s="44">
        <f>H25*'Reporting Hebdo'!$E$3</f>
      </c>
      <c r="J25" s="81" t="s">
        <v>215</v>
      </c>
    </row>
    <row r="26" spans="1:10" x14ac:dyDescent="0.25">
      <c r="A26" s="81" t="s">
        <v>3</v>
      </c>
      <c r="B26" s="42" t="s">
        <v>77</v>
      </c>
      <c r="C26" s="42" t="s">
        <v>36</v>
      </c>
      <c r="D26" s="42" t="s">
        <v>125</v>
      </c>
      <c r="E26" s="42" t="s">
        <v>318</v>
      </c>
      <c r="F26" s="42" t="s">
        <v>319</v>
      </c>
      <c r="G26" s="42" t="s">
        <v>362</v>
      </c>
      <c r="H26" s="44">
        <v>-2000</v>
      </c>
      <c r="I26" s="44">
        <f>H26*'Reporting Hebdo'!$E$3</f>
      </c>
      <c r="J26" s="81" t="s">
        <v>215</v>
      </c>
    </row>
    <row r="27" spans="1:10" x14ac:dyDescent="0.25">
      <c r="A27" s="81" t="s">
        <v>3</v>
      </c>
      <c r="B27" s="42" t="s">
        <v>77</v>
      </c>
      <c r="C27" s="42" t="s">
        <v>36</v>
      </c>
      <c r="D27" s="42" t="s">
        <v>125</v>
      </c>
      <c r="E27" s="42" t="s">
        <v>363</v>
      </c>
      <c r="F27" s="42" t="s">
        <v>364</v>
      </c>
      <c r="G27" s="42" t="s">
        <v>365</v>
      </c>
      <c r="H27" s="44">
        <v>-6532.01</v>
      </c>
      <c r="I27" s="44">
        <f>H27*'Reporting Hebdo'!$E$3</f>
      </c>
      <c r="J27" s="81" t="s">
        <v>215</v>
      </c>
    </row>
    <row r="28" spans="1:10" x14ac:dyDescent="0.25">
      <c r="A28" s="81" t="s">
        <v>3</v>
      </c>
      <c r="B28" s="42" t="s">
        <v>77</v>
      </c>
      <c r="C28" s="42" t="s">
        <v>36</v>
      </c>
      <c r="D28" s="42" t="s">
        <v>125</v>
      </c>
      <c r="E28" s="42" t="s">
        <v>366</v>
      </c>
      <c r="F28" s="42" t="s">
        <v>367</v>
      </c>
      <c r="G28" s="42" t="s">
        <v>232</v>
      </c>
      <c r="H28" s="44">
        <v>-9643.65</v>
      </c>
      <c r="I28" s="44">
        <f>H28*'Reporting Hebdo'!$E$3</f>
      </c>
      <c r="J28" s="81" t="s">
        <v>215</v>
      </c>
    </row>
    <row r="29" spans="1:10" x14ac:dyDescent="0.25">
      <c r="A29" s="81" t="s">
        <v>3</v>
      </c>
      <c r="B29" s="42" t="s">
        <v>77</v>
      </c>
      <c r="C29" s="42" t="s">
        <v>36</v>
      </c>
      <c r="D29" s="42" t="s">
        <v>126</v>
      </c>
      <c r="E29" s="42" t="s">
        <v>368</v>
      </c>
      <c r="F29" s="42" t="s">
        <v>369</v>
      </c>
      <c r="G29" s="42" t="s">
        <v>18</v>
      </c>
      <c r="H29" s="44">
        <v>-35324</v>
      </c>
      <c r="I29" s="44">
        <f>H29*'Reporting Hebdo'!$E$3</f>
      </c>
      <c r="J29" s="81" t="s">
        <v>215</v>
      </c>
    </row>
    <row r="30" spans="1:10" x14ac:dyDescent="0.25">
      <c r="A30" s="81" t="s">
        <v>3</v>
      </c>
      <c r="B30" s="42" t="s">
        <v>77</v>
      </c>
      <c r="C30" s="42" t="s">
        <v>36</v>
      </c>
      <c r="D30" s="42" t="s">
        <v>126</v>
      </c>
      <c r="E30" s="42" t="s">
        <v>370</v>
      </c>
      <c r="F30" s="42" t="s">
        <v>371</v>
      </c>
      <c r="G30" s="42" t="s">
        <v>18</v>
      </c>
      <c r="H30" s="44">
        <v>-153276</v>
      </c>
      <c r="I30" s="44">
        <f>H30*'Reporting Hebdo'!$E$3</f>
      </c>
      <c r="J30" s="81" t="s">
        <v>215</v>
      </c>
    </row>
    <row r="31" spans="1:10" x14ac:dyDescent="0.25">
      <c r="A31" s="81" t="s">
        <v>3</v>
      </c>
      <c r="B31" s="42" t="s">
        <v>77</v>
      </c>
      <c r="C31" s="42" t="s">
        <v>36</v>
      </c>
      <c r="D31" s="42" t="s">
        <v>126</v>
      </c>
      <c r="E31" s="42" t="s">
        <v>372</v>
      </c>
      <c r="F31" s="42" t="s">
        <v>373</v>
      </c>
      <c r="G31" s="42" t="s">
        <v>374</v>
      </c>
      <c r="H31" s="44">
        <v>-318222.84</v>
      </c>
      <c r="I31" s="44">
        <f>H31*'Reporting Hebdo'!$E$3</f>
      </c>
      <c r="J31" s="81" t="s">
        <v>215</v>
      </c>
    </row>
    <row r="32" spans="1:10" x14ac:dyDescent="0.25">
      <c r="A32" s="81" t="s">
        <v>3</v>
      </c>
      <c r="B32" s="42" t="s">
        <v>77</v>
      </c>
      <c r="C32" s="42" t="s">
        <v>36</v>
      </c>
      <c r="D32" s="42" t="s">
        <v>126</v>
      </c>
      <c r="E32" s="42" t="s">
        <v>375</v>
      </c>
      <c r="F32" s="42" t="s">
        <v>376</v>
      </c>
      <c r="G32" s="42" t="s">
        <v>18</v>
      </c>
      <c r="H32" s="44">
        <v>-1078767.18</v>
      </c>
      <c r="I32" s="44">
        <f>H32*'Reporting Hebdo'!$E$3</f>
      </c>
      <c r="J32" s="81" t="s">
        <v>215</v>
      </c>
    </row>
    <row r="33" spans="1:10" x14ac:dyDescent="0.25">
      <c r="A33" s="81" t="s">
        <v>3</v>
      </c>
      <c r="B33" s="42" t="s">
        <v>77</v>
      </c>
      <c r="C33" s="42" t="s">
        <v>36</v>
      </c>
      <c r="D33" s="42" t="s">
        <v>126</v>
      </c>
      <c r="E33" s="42" t="s">
        <v>377</v>
      </c>
      <c r="F33" s="42" t="s">
        <v>378</v>
      </c>
      <c r="G33" s="42" t="s">
        <v>18</v>
      </c>
      <c r="H33" s="44">
        <v>-114194.59</v>
      </c>
      <c r="I33" s="44">
        <f>H33*'Reporting Hebdo'!$E$3</f>
      </c>
      <c r="J33" s="81" t="s">
        <v>215</v>
      </c>
    </row>
    <row r="34" spans="1:10" x14ac:dyDescent="0.25">
      <c r="A34" s="81" t="s">
        <v>3</v>
      </c>
      <c r="B34" s="42" t="s">
        <v>77</v>
      </c>
      <c r="C34" s="42" t="s">
        <v>36</v>
      </c>
      <c r="D34" s="42" t="s">
        <v>126</v>
      </c>
      <c r="E34" s="42" t="s">
        <v>379</v>
      </c>
      <c r="F34" s="42" t="s">
        <v>380</v>
      </c>
      <c r="G34" s="42" t="s">
        <v>18</v>
      </c>
      <c r="H34" s="44">
        <v>-420171.15</v>
      </c>
      <c r="I34" s="44">
        <f>H34*'Reporting Hebdo'!$E$3</f>
      </c>
      <c r="J34" s="81" t="s">
        <v>215</v>
      </c>
    </row>
    <row r="35" spans="1:10" x14ac:dyDescent="0.25">
      <c r="A35" s="81" t="s">
        <v>3</v>
      </c>
      <c r="B35" s="42" t="s">
        <v>77</v>
      </c>
      <c r="C35" s="42" t="s">
        <v>36</v>
      </c>
      <c r="D35" s="42" t="s">
        <v>126</v>
      </c>
      <c r="E35" s="42" t="s">
        <v>324</v>
      </c>
      <c r="F35" s="42" t="s">
        <v>381</v>
      </c>
      <c r="G35" s="42" t="s">
        <v>18</v>
      </c>
      <c r="H35" s="44">
        <v>-215577.47</v>
      </c>
      <c r="I35" s="44">
        <f>H35*'Reporting Hebdo'!$E$3</f>
      </c>
      <c r="J35" s="81" t="s">
        <v>215</v>
      </c>
    </row>
    <row r="36" spans="1:10" x14ac:dyDescent="0.25">
      <c r="A36" s="81" t="s">
        <v>3</v>
      </c>
      <c r="B36" s="42" t="s">
        <v>77</v>
      </c>
      <c r="C36" s="42" t="s">
        <v>36</v>
      </c>
      <c r="D36" s="42" t="s">
        <v>126</v>
      </c>
      <c r="E36" s="42" t="s">
        <v>382</v>
      </c>
      <c r="F36" s="42" t="s">
        <v>383</v>
      </c>
      <c r="G36" s="42" t="s">
        <v>18</v>
      </c>
      <c r="H36" s="44">
        <v>-74507.76</v>
      </c>
      <c r="I36" s="44">
        <f>H36*'Reporting Hebdo'!$E$3</f>
      </c>
      <c r="J36" s="81" t="s">
        <v>215</v>
      </c>
    </row>
    <row r="37" spans="1:10" x14ac:dyDescent="0.25">
      <c r="A37" s="81" t="s">
        <v>3</v>
      </c>
      <c r="B37" s="42" t="s">
        <v>77</v>
      </c>
      <c r="C37" s="42" t="s">
        <v>36</v>
      </c>
      <c r="D37" s="42" t="s">
        <v>126</v>
      </c>
      <c r="E37" s="42" t="s">
        <v>384</v>
      </c>
      <c r="F37" s="42" t="s">
        <v>385</v>
      </c>
      <c r="G37" s="42" t="s">
        <v>18</v>
      </c>
      <c r="H37" s="44">
        <v>-92662.98</v>
      </c>
      <c r="I37" s="44">
        <f>H37*'Reporting Hebdo'!$E$3</f>
      </c>
      <c r="J37" s="81" t="s">
        <v>215</v>
      </c>
    </row>
    <row r="38" spans="1:10" x14ac:dyDescent="0.25">
      <c r="A38" s="81" t="s">
        <v>3</v>
      </c>
      <c r="B38" s="42" t="s">
        <v>77</v>
      </c>
      <c r="C38" s="42" t="s">
        <v>36</v>
      </c>
      <c r="D38" s="42" t="s">
        <v>127</v>
      </c>
      <c r="E38" s="42" t="s">
        <v>332</v>
      </c>
      <c r="F38" s="42" t="s">
        <v>333</v>
      </c>
      <c r="G38" s="42" t="s">
        <v>386</v>
      </c>
      <c r="H38" s="44">
        <v>-59066.62</v>
      </c>
      <c r="I38" s="44">
        <f>H38*'Reporting Hebdo'!$E$3</f>
      </c>
      <c r="J38" s="81" t="s">
        <v>215</v>
      </c>
    </row>
    <row r="39" spans="1:10" x14ac:dyDescent="0.25">
      <c r="A39" s="81" t="s">
        <v>3</v>
      </c>
      <c r="B39" s="42" t="s">
        <v>77</v>
      </c>
      <c r="C39" s="42" t="s">
        <v>36</v>
      </c>
      <c r="D39" s="42" t="s">
        <v>127</v>
      </c>
      <c r="E39" s="42" t="s">
        <v>332</v>
      </c>
      <c r="F39" s="42" t="s">
        <v>333</v>
      </c>
      <c r="G39" s="42" t="s">
        <v>386</v>
      </c>
      <c r="H39" s="44">
        <v>-18066.62</v>
      </c>
      <c r="I39" s="44">
        <f>H39*'Reporting Hebdo'!$E$3</f>
      </c>
      <c r="J39" s="81" t="s">
        <v>215</v>
      </c>
    </row>
    <row r="40" spans="1:10" x14ac:dyDescent="0.25">
      <c r="A40" s="81" t="s">
        <v>3</v>
      </c>
      <c r="B40" s="42" t="s">
        <v>77</v>
      </c>
      <c r="C40" s="42" t="s">
        <v>36</v>
      </c>
      <c r="D40" s="42" t="s">
        <v>127</v>
      </c>
      <c r="E40" s="42" t="s">
        <v>335</v>
      </c>
      <c r="F40" s="42" t="s">
        <v>336</v>
      </c>
      <c r="G40" s="42" t="s">
        <v>337</v>
      </c>
      <c r="H40" s="44">
        <v>-41399.65</v>
      </c>
      <c r="I40" s="44">
        <f>H40*'Reporting Hebdo'!$E$3</f>
      </c>
      <c r="J40" s="81" t="s">
        <v>215</v>
      </c>
    </row>
    <row r="41" spans="1:10" x14ac:dyDescent="0.25">
      <c r="A41" s="81" t="s">
        <v>3</v>
      </c>
      <c r="B41" s="42" t="s">
        <v>77</v>
      </c>
      <c r="C41" s="42" t="s">
        <v>36</v>
      </c>
      <c r="D41" s="42" t="s">
        <v>127</v>
      </c>
      <c r="E41" s="42" t="s">
        <v>338</v>
      </c>
      <c r="F41" s="42" t="s">
        <v>339</v>
      </c>
      <c r="G41" s="42" t="s">
        <v>343</v>
      </c>
      <c r="H41" s="44">
        <v>-10236.62</v>
      </c>
      <c r="I41" s="44">
        <f>H41*'Reporting Hebdo'!$E$3</f>
      </c>
      <c r="J41" s="81" t="s">
        <v>215</v>
      </c>
    </row>
    <row r="42" spans="1:10" x14ac:dyDescent="0.25">
      <c r="A42" s="81" t="s">
        <v>3</v>
      </c>
      <c r="B42" s="42" t="s">
        <v>77</v>
      </c>
      <c r="C42" s="42" t="s">
        <v>36</v>
      </c>
      <c r="D42" s="42" t="s">
        <v>127</v>
      </c>
      <c r="E42" s="42" t="s">
        <v>341</v>
      </c>
      <c r="F42" s="42" t="s">
        <v>342</v>
      </c>
      <c r="G42" s="42" t="s">
        <v>343</v>
      </c>
      <c r="H42" s="44">
        <v>-4428</v>
      </c>
      <c r="I42" s="44">
        <f>H42*'Reporting Hebdo'!$E$3</f>
      </c>
      <c r="J42" s="81" t="s">
        <v>215</v>
      </c>
    </row>
    <row r="43" spans="1:10" x14ac:dyDescent="0.25">
      <c r="A43" s="81" t="s">
        <v>3</v>
      </c>
      <c r="B43" s="42" t="s">
        <v>77</v>
      </c>
      <c r="C43" s="42" t="s">
        <v>36</v>
      </c>
      <c r="D43" s="42" t="s">
        <v>127</v>
      </c>
      <c r="E43" s="42" t="s">
        <v>344</v>
      </c>
      <c r="F43" s="42" t="s">
        <v>345</v>
      </c>
      <c r="G43" s="42" t="s">
        <v>387</v>
      </c>
      <c r="H43" s="44">
        <v>-13438.33</v>
      </c>
      <c r="I43" s="44">
        <f>H43*'Reporting Hebdo'!$E$3</f>
      </c>
      <c r="J43" s="81" t="s">
        <v>215</v>
      </c>
    </row>
    <row r="44" spans="1:10" x14ac:dyDescent="0.25">
      <c r="A44" s="81" t="s">
        <v>3</v>
      </c>
      <c r="B44" s="42" t="s">
        <v>77</v>
      </c>
      <c r="C44" s="42" t="s">
        <v>36</v>
      </c>
      <c r="D44" s="42" t="s">
        <v>127</v>
      </c>
      <c r="E44" s="42" t="s">
        <v>388</v>
      </c>
      <c r="F44" s="42" t="s">
        <v>389</v>
      </c>
      <c r="G44" s="42" t="s">
        <v>18</v>
      </c>
      <c r="H44" s="44">
        <v>-9818</v>
      </c>
      <c r="I44" s="44">
        <f>H44*'Reporting Hebdo'!$E$3</f>
      </c>
      <c r="J44" s="81" t="s">
        <v>215</v>
      </c>
    </row>
    <row r="45" spans="1:10" x14ac:dyDescent="0.25">
      <c r="A45" s="81" t="s">
        <v>3</v>
      </c>
      <c r="B45" s="42" t="s">
        <v>77</v>
      </c>
      <c r="C45" s="42" t="s">
        <v>36</v>
      </c>
      <c r="D45" s="42" t="s">
        <v>127</v>
      </c>
      <c r="E45" s="42" t="s">
        <v>347</v>
      </c>
      <c r="F45" s="42" t="s">
        <v>348</v>
      </c>
      <c r="G45" s="42" t="s">
        <v>390</v>
      </c>
      <c r="H45" s="44">
        <v>-8000</v>
      </c>
      <c r="I45" s="44">
        <f>H45*'Reporting Hebdo'!$E$3</f>
      </c>
      <c r="J45" s="81" t="s">
        <v>215</v>
      </c>
    </row>
    <row r="46" spans="1:10" x14ac:dyDescent="0.25">
      <c r="A46" s="81" t="s">
        <v>3</v>
      </c>
      <c r="B46" s="42" t="s">
        <v>77</v>
      </c>
      <c r="C46" s="42" t="s">
        <v>36</v>
      </c>
      <c r="D46" s="42" t="s">
        <v>127</v>
      </c>
      <c r="E46" s="42" t="s">
        <v>350</v>
      </c>
      <c r="F46" s="42" t="s">
        <v>351</v>
      </c>
      <c r="G46" s="42" t="s">
        <v>18</v>
      </c>
      <c r="H46" s="44">
        <v>-53450.46</v>
      </c>
      <c r="I46" s="44">
        <f>H46*'Reporting Hebdo'!$E$3</f>
      </c>
      <c r="J46" s="81" t="s">
        <v>215</v>
      </c>
    </row>
    <row r="47" spans="1:10" x14ac:dyDescent="0.25">
      <c r="A47" s="81" t="s">
        <v>3</v>
      </c>
      <c r="B47" s="42" t="s">
        <v>77</v>
      </c>
      <c r="C47" s="42" t="s">
        <v>36</v>
      </c>
      <c r="D47" s="42" t="s">
        <v>128</v>
      </c>
      <c r="E47" s="42" t="s">
        <v>391</v>
      </c>
      <c r="F47" s="42" t="s">
        <v>392</v>
      </c>
      <c r="G47" s="42" t="s">
        <v>393</v>
      </c>
      <c r="H47" s="44">
        <v>-7000</v>
      </c>
      <c r="I47" s="44">
        <f>H47*'Reporting Hebdo'!$E$3</f>
      </c>
      <c r="J47" s="81" t="s">
        <v>215</v>
      </c>
    </row>
    <row r="48" spans="1:10" x14ac:dyDescent="0.25">
      <c r="A48" s="81" t="s">
        <v>3</v>
      </c>
      <c r="B48" s="42" t="s">
        <v>77</v>
      </c>
      <c r="C48" s="42" t="s">
        <v>36</v>
      </c>
      <c r="D48" s="42" t="s">
        <v>129</v>
      </c>
      <c r="E48" s="42" t="s">
        <v>358</v>
      </c>
      <c r="F48" s="42" t="s">
        <v>359</v>
      </c>
      <c r="G48" s="42" t="s">
        <v>18</v>
      </c>
      <c r="H48" s="44">
        <v>-214443.77</v>
      </c>
      <c r="I48" s="44">
        <f>H48*'Reporting Hebdo'!$E$3</f>
      </c>
      <c r="J48" s="81" t="s">
        <v>215</v>
      </c>
    </row>
    <row r="49" spans="1:10" x14ac:dyDescent="0.25">
      <c r="A49" s="81" t="s">
        <v>3</v>
      </c>
      <c r="B49" s="42" t="s">
        <v>77</v>
      </c>
      <c r="C49" s="42" t="s">
        <v>36</v>
      </c>
      <c r="D49" s="42" t="s">
        <v>129</v>
      </c>
      <c r="E49" s="42" t="s">
        <v>394</v>
      </c>
      <c r="F49" s="42" t="s">
        <v>395</v>
      </c>
      <c r="G49" s="42" t="s">
        <v>18</v>
      </c>
      <c r="H49" s="44">
        <v>75303.63</v>
      </c>
      <c r="I49" s="44">
        <f>H49*'Reporting Hebdo'!$E$3</f>
      </c>
      <c r="J49" s="81" t="s">
        <v>215</v>
      </c>
    </row>
    <row r="50" spans="1:10" x14ac:dyDescent="0.25">
      <c r="A50" s="81" t="s">
        <v>3</v>
      </c>
      <c r="B50" s="42" t="s">
        <v>77</v>
      </c>
      <c r="C50" s="42" t="s">
        <v>36</v>
      </c>
      <c r="D50" s="42" t="s">
        <v>129</v>
      </c>
      <c r="E50" s="42" t="s">
        <v>360</v>
      </c>
      <c r="F50" s="42" t="s">
        <v>361</v>
      </c>
      <c r="G50" s="42" t="s">
        <v>18</v>
      </c>
      <c r="H50" s="44">
        <v>-146427.09</v>
      </c>
      <c r="I50" s="44">
        <f>H50*'Reporting Hebdo'!$E$3</f>
      </c>
      <c r="J50" s="81" t="s">
        <v>215</v>
      </c>
    </row>
    <row r="51" spans="1:10" x14ac:dyDescent="0.25">
      <c r="A51" s="81" t="s">
        <v>4</v>
      </c>
      <c r="B51" s="42" t="s">
        <v>64</v>
      </c>
      <c r="C51" s="42" t="s">
        <v>29</v>
      </c>
      <c r="D51" s="42" t="s">
        <v>130</v>
      </c>
      <c r="E51" s="42" t="s">
        <v>18</v>
      </c>
      <c r="F51" s="42" t="s">
        <v>396</v>
      </c>
      <c r="G51" s="42" t="s">
        <v>397</v>
      </c>
      <c r="H51" s="44">
        <f>I51/'Reporting Hebdo'!$E$3</f>
      </c>
      <c r="I51" s="44">
        <v>6859578</v>
      </c>
      <c r="J51" s="81" t="s">
        <v>215</v>
      </c>
    </row>
    <row r="52" spans="1:10" x14ac:dyDescent="0.25">
      <c r="A52" s="81" t="s">
        <v>4</v>
      </c>
      <c r="B52" s="42" t="s">
        <v>64</v>
      </c>
      <c r="C52" s="42" t="s">
        <v>29</v>
      </c>
      <c r="D52" s="42" t="s">
        <v>130</v>
      </c>
      <c r="E52" s="42" t="s">
        <v>18</v>
      </c>
      <c r="F52" s="42" t="s">
        <v>398</v>
      </c>
      <c r="G52" s="42" t="s">
        <v>399</v>
      </c>
      <c r="H52" s="44">
        <f>I52/'Reporting Hebdo'!$E$3</f>
      </c>
      <c r="I52" s="44">
        <v>20000000</v>
      </c>
      <c r="J52" s="81" t="s">
        <v>215</v>
      </c>
    </row>
    <row r="53" spans="1:10" x14ac:dyDescent="0.25">
      <c r="A53" s="81" t="s">
        <v>4</v>
      </c>
      <c r="B53" s="42" t="s">
        <v>64</v>
      </c>
      <c r="C53" s="42" t="s">
        <v>29</v>
      </c>
      <c r="D53" s="42" t="s">
        <v>130</v>
      </c>
      <c r="E53" s="42" t="s">
        <v>18</v>
      </c>
      <c r="F53" s="42" t="s">
        <v>400</v>
      </c>
      <c r="G53" s="42" t="s">
        <v>401</v>
      </c>
      <c r="H53" s="44">
        <f>I53/'Reporting Hebdo'!$E$3</f>
      </c>
      <c r="I53" s="44">
        <v>6007639</v>
      </c>
      <c r="J53" s="81" t="s">
        <v>215</v>
      </c>
    </row>
    <row r="54" spans="1:10" x14ac:dyDescent="0.25">
      <c r="A54" s="81" t="s">
        <v>4</v>
      </c>
      <c r="B54" s="42" t="s">
        <v>64</v>
      </c>
      <c r="C54" s="42" t="s">
        <v>29</v>
      </c>
      <c r="D54" s="42" t="s">
        <v>130</v>
      </c>
      <c r="E54" s="42" t="s">
        <v>18</v>
      </c>
      <c r="F54" s="42" t="s">
        <v>402</v>
      </c>
      <c r="G54" s="42" t="s">
        <v>403</v>
      </c>
      <c r="H54" s="44">
        <f>I54/'Reporting Hebdo'!$E$3</f>
      </c>
      <c r="I54" s="44">
        <v>18879177</v>
      </c>
      <c r="J54" s="81" t="s">
        <v>215</v>
      </c>
    </row>
    <row r="55" spans="1:10" x14ac:dyDescent="0.25">
      <c r="A55" s="81" t="s">
        <v>4</v>
      </c>
      <c r="B55" s="42" t="s">
        <v>64</v>
      </c>
      <c r="C55" s="42" t="s">
        <v>29</v>
      </c>
      <c r="D55" s="42" t="s">
        <v>130</v>
      </c>
      <c r="E55" s="42" t="s">
        <v>18</v>
      </c>
      <c r="F55" s="42" t="s">
        <v>404</v>
      </c>
      <c r="G55" s="42" t="s">
        <v>405</v>
      </c>
      <c r="H55" s="44">
        <f>I55/'Reporting Hebdo'!$E$3</f>
      </c>
      <c r="I55" s="44">
        <v>37713779</v>
      </c>
      <c r="J55" s="81" t="s">
        <v>215</v>
      </c>
    </row>
    <row r="56" spans="1:10" x14ac:dyDescent="0.25">
      <c r="A56" s="81" t="s">
        <v>4</v>
      </c>
      <c r="B56" s="42" t="s">
        <v>64</v>
      </c>
      <c r="C56" s="42" t="s">
        <v>29</v>
      </c>
      <c r="D56" s="42" t="s">
        <v>130</v>
      </c>
      <c r="E56" s="42" t="s">
        <v>18</v>
      </c>
      <c r="F56" s="42" t="s">
        <v>406</v>
      </c>
      <c r="G56" s="42" t="s">
        <v>407</v>
      </c>
      <c r="H56" s="44">
        <f>I56/'Reporting Hebdo'!$E$3</f>
      </c>
      <c r="I56" s="44">
        <v>40108091</v>
      </c>
      <c r="J56" s="81" t="s">
        <v>215</v>
      </c>
    </row>
    <row r="57" spans="1:10" x14ac:dyDescent="0.25">
      <c r="A57" s="81" t="s">
        <v>4</v>
      </c>
      <c r="B57" s="42" t="s">
        <v>80</v>
      </c>
      <c r="C57" s="42" t="s">
        <v>33</v>
      </c>
      <c r="D57" s="42" t="s">
        <v>126</v>
      </c>
      <c r="E57" s="42" t="s">
        <v>322</v>
      </c>
      <c r="F57" s="42" t="s">
        <v>323</v>
      </c>
      <c r="G57" s="42" t="s">
        <v>18</v>
      </c>
      <c r="H57" s="44">
        <v>-12500</v>
      </c>
      <c r="I57" s="44">
        <f>H57*'Reporting Hebdo'!$E$3</f>
      </c>
      <c r="J57" s="81" t="s">
        <v>215</v>
      </c>
    </row>
    <row r="58" spans="1:10" x14ac:dyDescent="0.25">
      <c r="A58" s="81" t="s">
        <v>4</v>
      </c>
      <c r="B58" s="42" t="s">
        <v>80</v>
      </c>
      <c r="C58" s="42" t="s">
        <v>33</v>
      </c>
      <c r="D58" s="42" t="s">
        <v>126</v>
      </c>
      <c r="E58" s="42" t="s">
        <v>324</v>
      </c>
      <c r="F58" s="42" t="s">
        <v>325</v>
      </c>
      <c r="G58" s="42" t="s">
        <v>18</v>
      </c>
      <c r="H58" s="44">
        <v>-579003.74</v>
      </c>
      <c r="I58" s="44">
        <f>H58*'Reporting Hebdo'!$E$3</f>
      </c>
      <c r="J58" s="81" t="s">
        <v>215</v>
      </c>
    </row>
    <row r="59" spans="1:10" x14ac:dyDescent="0.25">
      <c r="A59" s="81" t="s">
        <v>4</v>
      </c>
      <c r="B59" s="42" t="s">
        <v>80</v>
      </c>
      <c r="C59" s="42" t="s">
        <v>33</v>
      </c>
      <c r="D59" s="42" t="s">
        <v>126</v>
      </c>
      <c r="E59" s="42" t="s">
        <v>382</v>
      </c>
      <c r="F59" s="42" t="s">
        <v>408</v>
      </c>
      <c r="G59" s="42" t="s">
        <v>18</v>
      </c>
      <c r="H59" s="44">
        <v>-42223.48</v>
      </c>
      <c r="I59" s="44">
        <f>H59*'Reporting Hebdo'!$E$3</f>
      </c>
      <c r="J59" s="81" t="s">
        <v>215</v>
      </c>
    </row>
    <row r="60" spans="1:10" x14ac:dyDescent="0.25">
      <c r="A60" s="81" t="s">
        <v>4</v>
      </c>
      <c r="B60" s="42" t="s">
        <v>80</v>
      </c>
      <c r="C60" s="42" t="s">
        <v>33</v>
      </c>
      <c r="D60" s="42" t="s">
        <v>126</v>
      </c>
      <c r="E60" s="42" t="s">
        <v>409</v>
      </c>
      <c r="F60" s="42" t="s">
        <v>410</v>
      </c>
      <c r="G60" s="42" t="s">
        <v>18</v>
      </c>
      <c r="H60" s="44">
        <v>-58400</v>
      </c>
      <c r="I60" s="44">
        <f>H60*'Reporting Hebdo'!$E$3</f>
      </c>
      <c r="J60" s="81" t="s">
        <v>215</v>
      </c>
    </row>
    <row r="61" spans="1:10" x14ac:dyDescent="0.25">
      <c r="A61" s="81" t="s">
        <v>4</v>
      </c>
      <c r="B61" s="42" t="s">
        <v>80</v>
      </c>
      <c r="C61" s="42" t="s">
        <v>33</v>
      </c>
      <c r="D61" s="42" t="s">
        <v>127</v>
      </c>
      <c r="E61" s="42" t="s">
        <v>344</v>
      </c>
      <c r="F61" s="42" t="s">
        <v>345</v>
      </c>
      <c r="G61" s="42" t="s">
        <v>346</v>
      </c>
      <c r="H61" s="44">
        <v>-4827.48</v>
      </c>
      <c r="I61" s="44">
        <f>H61*'Reporting Hebdo'!$E$3</f>
      </c>
      <c r="J61" s="81" t="s">
        <v>215</v>
      </c>
    </row>
    <row r="62" spans="1:10" x14ac:dyDescent="0.25">
      <c r="A62" s="81" t="s">
        <v>4</v>
      </c>
      <c r="B62" s="42" t="s">
        <v>80</v>
      </c>
      <c r="C62" s="42" t="s">
        <v>33</v>
      </c>
      <c r="D62" s="42" t="s">
        <v>127</v>
      </c>
      <c r="E62" s="42" t="s">
        <v>347</v>
      </c>
      <c r="F62" s="42" t="s">
        <v>348</v>
      </c>
      <c r="G62" s="42" t="s">
        <v>349</v>
      </c>
      <c r="H62" s="44">
        <v>-8253</v>
      </c>
      <c r="I62" s="44">
        <f>H62*'Reporting Hebdo'!$E$3</f>
      </c>
      <c r="J62" s="81" t="s">
        <v>215</v>
      </c>
    </row>
    <row r="63" spans="1:10" x14ac:dyDescent="0.25">
      <c r="A63" s="81" t="s">
        <v>4</v>
      </c>
      <c r="B63" s="42" t="s">
        <v>80</v>
      </c>
      <c r="C63" s="42" t="s">
        <v>33</v>
      </c>
      <c r="D63" s="42" t="s">
        <v>127</v>
      </c>
      <c r="E63" s="42" t="s">
        <v>350</v>
      </c>
      <c r="F63" s="42" t="s">
        <v>351</v>
      </c>
      <c r="G63" s="42" t="s">
        <v>18</v>
      </c>
      <c r="H63" s="44">
        <v>-4731</v>
      </c>
      <c r="I63" s="44">
        <f>H63*'Reporting Hebdo'!$E$3</f>
      </c>
      <c r="J63" s="81" t="s">
        <v>215</v>
      </c>
    </row>
    <row r="64" spans="1:10" x14ac:dyDescent="0.25">
      <c r="A64" s="81" t="s">
        <v>4</v>
      </c>
      <c r="B64" s="42" t="s">
        <v>80</v>
      </c>
      <c r="C64" s="42" t="s">
        <v>33</v>
      </c>
      <c r="D64" s="42" t="s">
        <v>128</v>
      </c>
      <c r="E64" s="42" t="s">
        <v>391</v>
      </c>
      <c r="F64" s="42" t="s">
        <v>392</v>
      </c>
      <c r="G64" s="42" t="s">
        <v>231</v>
      </c>
      <c r="H64" s="44">
        <v>-10000</v>
      </c>
      <c r="I64" s="44">
        <f>H64*'Reporting Hebdo'!$E$3</f>
      </c>
      <c r="J64" s="81" t="s">
        <v>215</v>
      </c>
    </row>
    <row r="65" spans="1:10" x14ac:dyDescent="0.25">
      <c r="A65" s="81" t="s">
        <v>4</v>
      </c>
      <c r="B65" s="42" t="s">
        <v>77</v>
      </c>
      <c r="C65" s="42" t="s">
        <v>36</v>
      </c>
      <c r="D65" s="42" t="s">
        <v>125</v>
      </c>
      <c r="E65" s="42" t="s">
        <v>411</v>
      </c>
      <c r="F65" s="42" t="s">
        <v>412</v>
      </c>
      <c r="G65" s="42" t="s">
        <v>413</v>
      </c>
      <c r="H65" s="44">
        <v>-22400</v>
      </c>
      <c r="I65" s="44">
        <f>H65*'Reporting Hebdo'!$E$3</f>
      </c>
      <c r="J65" s="81" t="s">
        <v>215</v>
      </c>
    </row>
    <row r="66" spans="1:10" x14ac:dyDescent="0.25">
      <c r="A66" s="81" t="s">
        <v>4</v>
      </c>
      <c r="B66" s="42" t="s">
        <v>77</v>
      </c>
      <c r="C66" s="42" t="s">
        <v>36</v>
      </c>
      <c r="D66" s="42" t="s">
        <v>126</v>
      </c>
      <c r="E66" s="42" t="s">
        <v>372</v>
      </c>
      <c r="F66" s="42" t="s">
        <v>373</v>
      </c>
      <c r="G66" s="42" t="s">
        <v>374</v>
      </c>
      <c r="H66" s="44">
        <v>-64093.98</v>
      </c>
      <c r="I66" s="44">
        <f>H66*'Reporting Hebdo'!$E$3</f>
      </c>
      <c r="J66" s="81" t="s">
        <v>215</v>
      </c>
    </row>
    <row r="67" spans="1:10" x14ac:dyDescent="0.25">
      <c r="A67" s="81" t="s">
        <v>4</v>
      </c>
      <c r="B67" s="42" t="s">
        <v>77</v>
      </c>
      <c r="C67" s="42" t="s">
        <v>36</v>
      </c>
      <c r="D67" s="42" t="s">
        <v>126</v>
      </c>
      <c r="E67" s="42" t="s">
        <v>375</v>
      </c>
      <c r="F67" s="42" t="s">
        <v>376</v>
      </c>
      <c r="G67" s="42" t="s">
        <v>18</v>
      </c>
      <c r="H67" s="44">
        <v>-495269.11</v>
      </c>
      <c r="I67" s="44">
        <f>H67*'Reporting Hebdo'!$E$3</f>
      </c>
      <c r="J67" s="81" t="s">
        <v>215</v>
      </c>
    </row>
    <row r="68" spans="1:10" x14ac:dyDescent="0.25">
      <c r="A68" s="81" t="s">
        <v>4</v>
      </c>
      <c r="B68" s="42" t="s">
        <v>77</v>
      </c>
      <c r="C68" s="42" t="s">
        <v>36</v>
      </c>
      <c r="D68" s="42" t="s">
        <v>126</v>
      </c>
      <c r="E68" s="42" t="s">
        <v>375</v>
      </c>
      <c r="F68" s="42" t="s">
        <v>414</v>
      </c>
      <c r="G68" s="42" t="s">
        <v>18</v>
      </c>
      <c r="H68" s="44">
        <v>-333541.25</v>
      </c>
      <c r="I68" s="44">
        <f>H68*'Reporting Hebdo'!$E$3</f>
      </c>
      <c r="J68" s="81" t="s">
        <v>215</v>
      </c>
    </row>
    <row r="69" spans="1:10" x14ac:dyDescent="0.25">
      <c r="A69" s="81" t="s">
        <v>4</v>
      </c>
      <c r="B69" s="42" t="s">
        <v>77</v>
      </c>
      <c r="C69" s="42" t="s">
        <v>36</v>
      </c>
      <c r="D69" s="42" t="s">
        <v>126</v>
      </c>
      <c r="E69" s="42" t="s">
        <v>377</v>
      </c>
      <c r="F69" s="42" t="s">
        <v>415</v>
      </c>
      <c r="G69" s="42" t="s">
        <v>18</v>
      </c>
      <c r="H69" s="44">
        <v>-54877.41</v>
      </c>
      <c r="I69" s="44">
        <f>H69*'Reporting Hebdo'!$E$3</f>
      </c>
      <c r="J69" s="81" t="s">
        <v>215</v>
      </c>
    </row>
    <row r="70" spans="1:10" x14ac:dyDescent="0.25">
      <c r="A70" s="81" t="s">
        <v>4</v>
      </c>
      <c r="B70" s="42" t="s">
        <v>77</v>
      </c>
      <c r="C70" s="42" t="s">
        <v>36</v>
      </c>
      <c r="D70" s="42" t="s">
        <v>126</v>
      </c>
      <c r="E70" s="42" t="s">
        <v>379</v>
      </c>
      <c r="F70" s="42" t="s">
        <v>416</v>
      </c>
      <c r="G70" s="42" t="s">
        <v>18</v>
      </c>
      <c r="H70" s="44">
        <v>-141680.23</v>
      </c>
      <c r="I70" s="44">
        <f>H70*'Reporting Hebdo'!$E$3</f>
      </c>
      <c r="J70" s="81" t="s">
        <v>215</v>
      </c>
    </row>
    <row r="71" spans="1:10" x14ac:dyDescent="0.25">
      <c r="A71" s="81" t="s">
        <v>4</v>
      </c>
      <c r="B71" s="42" t="s">
        <v>77</v>
      </c>
      <c r="C71" s="42" t="s">
        <v>36</v>
      </c>
      <c r="D71" s="42" t="s">
        <v>126</v>
      </c>
      <c r="E71" s="42" t="s">
        <v>324</v>
      </c>
      <c r="F71" s="42" t="s">
        <v>417</v>
      </c>
      <c r="G71" s="42" t="s">
        <v>18</v>
      </c>
      <c r="H71" s="44">
        <v>-207907.04</v>
      </c>
      <c r="I71" s="44">
        <f>H71*'Reporting Hebdo'!$E$3</f>
      </c>
      <c r="J71" s="81" t="s">
        <v>215</v>
      </c>
    </row>
    <row r="72" spans="1:10" x14ac:dyDescent="0.25">
      <c r="A72" s="81" t="s">
        <v>4</v>
      </c>
      <c r="B72" s="42" t="s">
        <v>77</v>
      </c>
      <c r="C72" s="42" t="s">
        <v>36</v>
      </c>
      <c r="D72" s="42" t="s">
        <v>127</v>
      </c>
      <c r="E72" s="42" t="s">
        <v>344</v>
      </c>
      <c r="F72" s="42" t="s">
        <v>345</v>
      </c>
      <c r="G72" s="42" t="s">
        <v>387</v>
      </c>
      <c r="H72" s="44">
        <v>-6719.33</v>
      </c>
      <c r="I72" s="44">
        <f>H72*'Reporting Hebdo'!$E$3</f>
      </c>
      <c r="J72" s="81" t="s">
        <v>215</v>
      </c>
    </row>
    <row r="73" spans="1:10" x14ac:dyDescent="0.25">
      <c r="A73" s="81" t="s">
        <v>4</v>
      </c>
      <c r="B73" s="42" t="s">
        <v>77</v>
      </c>
      <c r="C73" s="42" t="s">
        <v>36</v>
      </c>
      <c r="D73" s="42" t="s">
        <v>127</v>
      </c>
      <c r="E73" s="42" t="s">
        <v>350</v>
      </c>
      <c r="F73" s="42" t="s">
        <v>351</v>
      </c>
      <c r="G73" s="42" t="s">
        <v>18</v>
      </c>
      <c r="H73" s="44">
        <v>-4100.35</v>
      </c>
      <c r="I73" s="44">
        <f>H73*'Reporting Hebdo'!$E$3</f>
      </c>
      <c r="J73" s="81" t="s">
        <v>215</v>
      </c>
    </row>
    <row r="74" spans="1:10" x14ac:dyDescent="0.25">
      <c r="A74" s="81" t="s">
        <v>4</v>
      </c>
      <c r="B74" s="42" t="s">
        <v>77</v>
      </c>
      <c r="C74" s="42" t="s">
        <v>36</v>
      </c>
      <c r="D74" s="42" t="s">
        <v>128</v>
      </c>
      <c r="E74" s="42" t="s">
        <v>352</v>
      </c>
      <c r="F74" s="42" t="s">
        <v>353</v>
      </c>
      <c r="G74" s="42" t="s">
        <v>418</v>
      </c>
      <c r="H74" s="44">
        <v>-11683</v>
      </c>
      <c r="I74" s="44">
        <f>H74*'Reporting Hebdo'!$E$3</f>
      </c>
      <c r="J74" s="81" t="s">
        <v>215</v>
      </c>
    </row>
    <row r="75" spans="1:10" x14ac:dyDescent="0.25">
      <c r="A75" s="81" t="s">
        <v>4</v>
      </c>
      <c r="B75" s="42" t="s">
        <v>77</v>
      </c>
      <c r="C75" s="42" t="s">
        <v>36</v>
      </c>
      <c r="D75" s="42" t="s">
        <v>128</v>
      </c>
      <c r="E75" s="42" t="s">
        <v>391</v>
      </c>
      <c r="F75" s="42" t="s">
        <v>392</v>
      </c>
      <c r="G75" s="42" t="s">
        <v>393</v>
      </c>
      <c r="H75" s="44">
        <v>-3000</v>
      </c>
      <c r="I75" s="44">
        <f>H75*'Reporting Hebdo'!$E$3</f>
      </c>
      <c r="J75" s="81" t="s">
        <v>215</v>
      </c>
    </row>
    <row r="76" spans="1:10" x14ac:dyDescent="0.25">
      <c r="A76" s="81" t="s">
        <v>4</v>
      </c>
      <c r="B76" s="42" t="s">
        <v>77</v>
      </c>
      <c r="C76" s="42" t="s">
        <v>36</v>
      </c>
      <c r="D76" s="42" t="s">
        <v>128</v>
      </c>
      <c r="E76" s="42" t="s">
        <v>419</v>
      </c>
      <c r="F76" s="42" t="s">
        <v>420</v>
      </c>
      <c r="G76" s="42" t="s">
        <v>421</v>
      </c>
      <c r="H76" s="44">
        <v>-35480</v>
      </c>
      <c r="I76" s="44">
        <f>H76*'Reporting Hebdo'!$E$3</f>
      </c>
      <c r="J76" s="81" t="s">
        <v>215</v>
      </c>
    </row>
    <row r="77" spans="1:10" x14ac:dyDescent="0.25">
      <c r="A77" s="81" t="s">
        <v>4</v>
      </c>
      <c r="B77" s="42" t="s">
        <v>77</v>
      </c>
      <c r="C77" s="42" t="s">
        <v>36</v>
      </c>
      <c r="D77" s="42" t="s">
        <v>129</v>
      </c>
      <c r="E77" s="42" t="s">
        <v>422</v>
      </c>
      <c r="F77" s="42" t="s">
        <v>423</v>
      </c>
      <c r="G77" s="42" t="s">
        <v>18</v>
      </c>
      <c r="H77" s="44">
        <v>-504987.37</v>
      </c>
      <c r="I77" s="44">
        <f>H77*'Reporting Hebdo'!$E$3</f>
      </c>
      <c r="J77" s="81" t="s">
        <v>215</v>
      </c>
    </row>
    <row r="78" spans="1:10" x14ac:dyDescent="0.25">
      <c r="A78" s="81" t="s">
        <v>4</v>
      </c>
      <c r="B78" s="42" t="s">
        <v>77</v>
      </c>
      <c r="C78" s="42" t="s">
        <v>36</v>
      </c>
      <c r="D78" s="42" t="s">
        <v>129</v>
      </c>
      <c r="E78" s="42" t="s">
        <v>424</v>
      </c>
      <c r="F78" s="42" t="s">
        <v>425</v>
      </c>
      <c r="G78" s="42" t="s">
        <v>18</v>
      </c>
      <c r="H78" s="44">
        <v>-8404.26</v>
      </c>
      <c r="I78" s="44">
        <f>H78*'Reporting Hebdo'!$E$3</f>
      </c>
      <c r="J78" s="81" t="s">
        <v>215</v>
      </c>
    </row>
    <row r="79" spans="1:10" x14ac:dyDescent="0.25">
      <c r="A79" s="81" t="s">
        <v>5</v>
      </c>
      <c r="B79" s="42" t="s">
        <v>64</v>
      </c>
      <c r="C79" s="42" t="s">
        <v>29</v>
      </c>
      <c r="D79" s="42" t="s">
        <v>124</v>
      </c>
      <c r="E79" s="42" t="s">
        <v>18</v>
      </c>
      <c r="F79" s="42" t="s">
        <v>317</v>
      </c>
      <c r="G79" s="42" t="s">
        <v>18</v>
      </c>
      <c r="H79" s="44">
        <f>I79/'Reporting Hebdo'!$E$3</f>
      </c>
      <c r="I79" s="44">
        <v>-104205329</v>
      </c>
      <c r="J79" s="81" t="s">
        <v>215</v>
      </c>
    </row>
    <row r="80" spans="1:10" x14ac:dyDescent="0.25">
      <c r="A80" s="81" t="s">
        <v>6</v>
      </c>
      <c r="B80" s="42" t="s">
        <v>80</v>
      </c>
      <c r="C80" s="42" t="s">
        <v>33</v>
      </c>
      <c r="D80" s="42" t="s">
        <v>127</v>
      </c>
      <c r="E80" s="42" t="s">
        <v>335</v>
      </c>
      <c r="F80" s="42" t="s">
        <v>336</v>
      </c>
      <c r="G80" s="42" t="s">
        <v>337</v>
      </c>
      <c r="H80" s="44">
        <v>-20580.8</v>
      </c>
      <c r="I80" s="44">
        <f>H80*'Reporting Hebdo'!$E$3</f>
      </c>
      <c r="J80" s="81" t="s">
        <v>215</v>
      </c>
    </row>
    <row r="81" spans="1:10" x14ac:dyDescent="0.25">
      <c r="A81" s="81" t="s">
        <v>6</v>
      </c>
      <c r="B81" s="42" t="s">
        <v>77</v>
      </c>
      <c r="C81" s="42" t="s">
        <v>36</v>
      </c>
      <c r="D81" s="42" t="s">
        <v>127</v>
      </c>
      <c r="E81" s="42" t="s">
        <v>335</v>
      </c>
      <c r="F81" s="42" t="s">
        <v>336</v>
      </c>
      <c r="G81" s="42" t="s">
        <v>337</v>
      </c>
      <c r="H81" s="44">
        <v>-20699.65</v>
      </c>
      <c r="I81" s="44">
        <f>H81*'Reporting Hebdo'!$E$3</f>
      </c>
      <c r="J81" s="81" t="s">
        <v>215</v>
      </c>
    </row>
    <row r="82" spans="1:10" x14ac:dyDescent="0.25">
      <c r="A82" s="82" t="s">
        <v>426</v>
      </c>
      <c r="B82" s="83" t="s">
        <v>80</v>
      </c>
      <c r="C82" s="83" t="s">
        <v>33</v>
      </c>
      <c r="D82" s="83" t="s">
        <v>126</v>
      </c>
      <c r="E82" s="83" t="s">
        <v>427</v>
      </c>
      <c r="F82" s="83" t="s">
        <v>428</v>
      </c>
      <c r="G82" s="83" t="s">
        <v>18</v>
      </c>
      <c r="H82" s="84">
        <v>-11750</v>
      </c>
      <c r="I82" s="84">
        <f>H82*'Reporting Hebdo'!$E$3</f>
      </c>
      <c r="J82" s="82" t="s">
        <v>215</v>
      </c>
    </row>
    <row r="83" spans="1:10" x14ac:dyDescent="0.25">
      <c r="A83" s="82" t="s">
        <v>426</v>
      </c>
      <c r="B83" s="83" t="s">
        <v>80</v>
      </c>
      <c r="C83" s="83" t="s">
        <v>33</v>
      </c>
      <c r="D83" s="83" t="s">
        <v>126</v>
      </c>
      <c r="E83" s="83" t="s">
        <v>322</v>
      </c>
      <c r="F83" s="83" t="s">
        <v>323</v>
      </c>
      <c r="G83" s="83" t="s">
        <v>18</v>
      </c>
      <c r="H83" s="84">
        <v>-12500</v>
      </c>
      <c r="I83" s="84">
        <f>H83*'Reporting Hebdo'!$E$3</f>
      </c>
      <c r="J83" s="82" t="s">
        <v>215</v>
      </c>
    </row>
    <row r="84" spans="1:10" x14ac:dyDescent="0.25">
      <c r="A84" s="82" t="s">
        <v>426</v>
      </c>
      <c r="B84" s="83" t="s">
        <v>80</v>
      </c>
      <c r="C84" s="83" t="s">
        <v>33</v>
      </c>
      <c r="D84" s="83" t="s">
        <v>126</v>
      </c>
      <c r="E84" s="83" t="s">
        <v>324</v>
      </c>
      <c r="F84" s="83" t="s">
        <v>325</v>
      </c>
      <c r="G84" s="83" t="s">
        <v>18</v>
      </c>
      <c r="H84" s="84">
        <v>-598630.99</v>
      </c>
      <c r="I84" s="84">
        <f>H84*'Reporting Hebdo'!$E$3</f>
      </c>
      <c r="J84" s="82" t="s">
        <v>215</v>
      </c>
    </row>
    <row r="85" spans="1:10" x14ac:dyDescent="0.25">
      <c r="A85" s="82" t="s">
        <v>426</v>
      </c>
      <c r="B85" s="83" t="s">
        <v>80</v>
      </c>
      <c r="C85" s="83" t="s">
        <v>33</v>
      </c>
      <c r="D85" s="83" t="s">
        <v>126</v>
      </c>
      <c r="E85" s="83" t="s">
        <v>382</v>
      </c>
      <c r="F85" s="83" t="s">
        <v>408</v>
      </c>
      <c r="G85" s="83" t="s">
        <v>18</v>
      </c>
      <c r="H85" s="84">
        <v>-52358.11</v>
      </c>
      <c r="I85" s="84">
        <f>H85*'Reporting Hebdo'!$E$3</f>
      </c>
      <c r="J85" s="82" t="s">
        <v>215</v>
      </c>
    </row>
    <row r="86" spans="1:10" x14ac:dyDescent="0.25">
      <c r="A86" s="82" t="s">
        <v>426</v>
      </c>
      <c r="B86" s="83" t="s">
        <v>80</v>
      </c>
      <c r="C86" s="83" t="s">
        <v>33</v>
      </c>
      <c r="D86" s="83" t="s">
        <v>126</v>
      </c>
      <c r="E86" s="83" t="s">
        <v>429</v>
      </c>
      <c r="F86" s="83" t="s">
        <v>430</v>
      </c>
      <c r="G86" s="83" t="s">
        <v>18</v>
      </c>
      <c r="H86" s="84">
        <v>-20266.96</v>
      </c>
      <c r="I86" s="84">
        <f>H86*'Reporting Hebdo'!$E$3</f>
      </c>
      <c r="J86" s="82" t="s">
        <v>215</v>
      </c>
    </row>
    <row r="87" spans="1:10" x14ac:dyDescent="0.25">
      <c r="A87" s="82" t="s">
        <v>426</v>
      </c>
      <c r="B87" s="83" t="s">
        <v>80</v>
      </c>
      <c r="C87" s="83" t="s">
        <v>33</v>
      </c>
      <c r="D87" s="83" t="s">
        <v>126</v>
      </c>
      <c r="E87" s="83" t="s">
        <v>431</v>
      </c>
      <c r="F87" s="83" t="s">
        <v>432</v>
      </c>
      <c r="G87" s="83" t="s">
        <v>18</v>
      </c>
      <c r="H87" s="84">
        <v>-5391.59</v>
      </c>
      <c r="I87" s="84">
        <f>H87*'Reporting Hebdo'!$E$3</f>
      </c>
      <c r="J87" s="82" t="s">
        <v>215</v>
      </c>
    </row>
    <row r="88" spans="1:10" x14ac:dyDescent="0.25">
      <c r="A88" s="82" t="s">
        <v>426</v>
      </c>
      <c r="B88" s="83" t="s">
        <v>80</v>
      </c>
      <c r="C88" s="83" t="s">
        <v>33</v>
      </c>
      <c r="D88" s="83" t="s">
        <v>126</v>
      </c>
      <c r="E88" s="83" t="s">
        <v>433</v>
      </c>
      <c r="F88" s="83" t="s">
        <v>434</v>
      </c>
      <c r="G88" s="83" t="s">
        <v>18</v>
      </c>
      <c r="H88" s="84">
        <v>-2149.39</v>
      </c>
      <c r="I88" s="84">
        <f>H88*'Reporting Hebdo'!$E$3</f>
      </c>
      <c r="J88" s="82" t="s">
        <v>215</v>
      </c>
    </row>
    <row r="89" spans="1:10" x14ac:dyDescent="0.25">
      <c r="A89" s="82" t="s">
        <v>426</v>
      </c>
      <c r="B89" s="83" t="s">
        <v>80</v>
      </c>
      <c r="C89" s="83" t="s">
        <v>33</v>
      </c>
      <c r="D89" s="83" t="s">
        <v>126</v>
      </c>
      <c r="E89" s="83" t="s">
        <v>435</v>
      </c>
      <c r="F89" s="83" t="s">
        <v>436</v>
      </c>
      <c r="G89" s="83" t="s">
        <v>18</v>
      </c>
      <c r="H89" s="84">
        <v>-21726.3</v>
      </c>
      <c r="I89" s="84">
        <f>H89*'Reporting Hebdo'!$E$3</f>
      </c>
      <c r="J89" s="82" t="s">
        <v>215</v>
      </c>
    </row>
    <row r="90" spans="1:10" x14ac:dyDescent="0.25">
      <c r="A90" s="82" t="s">
        <v>426</v>
      </c>
      <c r="B90" s="83" t="s">
        <v>80</v>
      </c>
      <c r="C90" s="83" t="s">
        <v>33</v>
      </c>
      <c r="D90" s="83" t="s">
        <v>126</v>
      </c>
      <c r="E90" s="83" t="s">
        <v>437</v>
      </c>
      <c r="F90" s="83" t="s">
        <v>438</v>
      </c>
      <c r="G90" s="83" t="s">
        <v>18</v>
      </c>
      <c r="H90" s="84">
        <v>-13508.13</v>
      </c>
      <c r="I90" s="84">
        <f>H90*'Reporting Hebdo'!$E$3</f>
      </c>
      <c r="J90" s="82" t="s">
        <v>215</v>
      </c>
    </row>
    <row r="91" spans="1:10" x14ac:dyDescent="0.25">
      <c r="A91" s="82" t="s">
        <v>426</v>
      </c>
      <c r="B91" s="83" t="s">
        <v>80</v>
      </c>
      <c r="C91" s="83" t="s">
        <v>33</v>
      </c>
      <c r="D91" s="83" t="s">
        <v>126</v>
      </c>
      <c r="E91" s="83" t="s">
        <v>409</v>
      </c>
      <c r="F91" s="83" t="s">
        <v>410</v>
      </c>
      <c r="G91" s="83" t="s">
        <v>18</v>
      </c>
      <c r="H91" s="84">
        <v>-58400</v>
      </c>
      <c r="I91" s="84">
        <f>H91*'Reporting Hebdo'!$E$3</f>
      </c>
      <c r="J91" s="82" t="s">
        <v>215</v>
      </c>
    </row>
    <row r="92" spans="1:10" x14ac:dyDescent="0.25">
      <c r="A92" s="82" t="s">
        <v>426</v>
      </c>
      <c r="B92" s="83" t="s">
        <v>80</v>
      </c>
      <c r="C92" s="83" t="s">
        <v>33</v>
      </c>
      <c r="D92" s="83" t="s">
        <v>127</v>
      </c>
      <c r="E92" s="83" t="s">
        <v>332</v>
      </c>
      <c r="F92" s="83" t="s">
        <v>333</v>
      </c>
      <c r="G92" s="83" t="s">
        <v>334</v>
      </c>
      <c r="H92" s="84">
        <v>-6577</v>
      </c>
      <c r="I92" s="84">
        <f>H92*'Reporting Hebdo'!$E$3</f>
      </c>
      <c r="J92" s="82" t="s">
        <v>215</v>
      </c>
    </row>
    <row r="93" spans="1:10" x14ac:dyDescent="0.25">
      <c r="A93" s="82" t="s">
        <v>426</v>
      </c>
      <c r="B93" s="83" t="s">
        <v>80</v>
      </c>
      <c r="C93" s="83" t="s">
        <v>33</v>
      </c>
      <c r="D93" s="83" t="s">
        <v>127</v>
      </c>
      <c r="E93" s="83" t="s">
        <v>335</v>
      </c>
      <c r="F93" s="83" t="s">
        <v>336</v>
      </c>
      <c r="G93" s="83" t="s">
        <v>337</v>
      </c>
      <c r="H93" s="84">
        <v>-20580.8</v>
      </c>
      <c r="I93" s="84">
        <f>H93*'Reporting Hebdo'!$E$3</f>
      </c>
      <c r="J93" s="82" t="s">
        <v>215</v>
      </c>
    </row>
    <row r="94" spans="1:10" x14ac:dyDescent="0.25">
      <c r="A94" s="82" t="s">
        <v>426</v>
      </c>
      <c r="B94" s="83" t="s">
        <v>80</v>
      </c>
      <c r="C94" s="83" t="s">
        <v>33</v>
      </c>
      <c r="D94" s="83" t="s">
        <v>127</v>
      </c>
      <c r="E94" s="83" t="s">
        <v>341</v>
      </c>
      <c r="F94" s="83" t="s">
        <v>342</v>
      </c>
      <c r="G94" s="83" t="s">
        <v>343</v>
      </c>
      <c r="H94" s="84">
        <v>-4878.37</v>
      </c>
      <c r="I94" s="84">
        <f>H94*'Reporting Hebdo'!$E$3</f>
      </c>
      <c r="J94" s="82" t="s">
        <v>215</v>
      </c>
    </row>
    <row r="95" spans="1:10" x14ac:dyDescent="0.25">
      <c r="A95" s="82" t="s">
        <v>426</v>
      </c>
      <c r="B95" s="83" t="s">
        <v>80</v>
      </c>
      <c r="C95" s="83" t="s">
        <v>33</v>
      </c>
      <c r="D95" s="83" t="s">
        <v>127</v>
      </c>
      <c r="E95" s="83" t="s">
        <v>344</v>
      </c>
      <c r="F95" s="83" t="s">
        <v>345</v>
      </c>
      <c r="G95" s="83" t="s">
        <v>346</v>
      </c>
      <c r="H95" s="84">
        <v>-4827.48</v>
      </c>
      <c r="I95" s="84">
        <f>H95*'Reporting Hebdo'!$E$3</f>
      </c>
      <c r="J95" s="82" t="s">
        <v>215</v>
      </c>
    </row>
    <row r="96" spans="1:10" x14ac:dyDescent="0.25">
      <c r="A96" s="82" t="s">
        <v>426</v>
      </c>
      <c r="B96" s="83" t="s">
        <v>80</v>
      </c>
      <c r="C96" s="83" t="s">
        <v>33</v>
      </c>
      <c r="D96" s="83" t="s">
        <v>127</v>
      </c>
      <c r="E96" s="83" t="s">
        <v>350</v>
      </c>
      <c r="F96" s="83" t="s">
        <v>351</v>
      </c>
      <c r="G96" s="83" t="s">
        <v>18</v>
      </c>
      <c r="H96" s="84">
        <v>-566.74</v>
      </c>
      <c r="I96" s="84">
        <f>H96*'Reporting Hebdo'!$E$3</f>
      </c>
      <c r="J96" s="82" t="s">
        <v>215</v>
      </c>
    </row>
    <row r="97" spans="1:10" x14ac:dyDescent="0.25">
      <c r="A97" s="82" t="s">
        <v>426</v>
      </c>
      <c r="B97" s="83" t="s">
        <v>80</v>
      </c>
      <c r="C97" s="83" t="s">
        <v>33</v>
      </c>
      <c r="D97" s="83" t="s">
        <v>128</v>
      </c>
      <c r="E97" s="83" t="s">
        <v>391</v>
      </c>
      <c r="F97" s="83" t="s">
        <v>392</v>
      </c>
      <c r="G97" s="83" t="s">
        <v>231</v>
      </c>
      <c r="H97" s="84">
        <v>-5000</v>
      </c>
      <c r="I97" s="84">
        <f>H97*'Reporting Hebdo'!$E$3</f>
      </c>
      <c r="J97" s="82" t="s">
        <v>215</v>
      </c>
    </row>
    <row r="98" spans="1:10" x14ac:dyDescent="0.25">
      <c r="A98" s="82" t="s">
        <v>426</v>
      </c>
      <c r="B98" s="83" t="s">
        <v>80</v>
      </c>
      <c r="C98" s="83" t="s">
        <v>33</v>
      </c>
      <c r="D98" s="83" t="s">
        <v>128</v>
      </c>
      <c r="E98" s="83" t="s">
        <v>419</v>
      </c>
      <c r="F98" s="83" t="s">
        <v>420</v>
      </c>
      <c r="G98" s="83" t="s">
        <v>439</v>
      </c>
      <c r="H98" s="84">
        <v>-42996.69</v>
      </c>
      <c r="I98" s="84">
        <f>H98*'Reporting Hebdo'!$E$3</f>
      </c>
      <c r="J98" s="82" t="s">
        <v>215</v>
      </c>
    </row>
    <row r="99" spans="1:10" x14ac:dyDescent="0.25">
      <c r="A99" s="82" t="s">
        <v>426</v>
      </c>
      <c r="B99" s="83" t="s">
        <v>80</v>
      </c>
      <c r="C99" s="83" t="s">
        <v>33</v>
      </c>
      <c r="D99" s="83" t="s">
        <v>440</v>
      </c>
      <c r="E99" s="83" t="s">
        <v>441</v>
      </c>
      <c r="F99" s="83" t="s">
        <v>442</v>
      </c>
      <c r="G99" s="83" t="s">
        <v>18</v>
      </c>
      <c r="H99" s="84">
        <v>-313500</v>
      </c>
      <c r="I99" s="84">
        <f>H99*'Reporting Hebdo'!$E$3</f>
      </c>
      <c r="J99" s="82" t="s">
        <v>215</v>
      </c>
    </row>
    <row r="100" spans="1:10" x14ac:dyDescent="0.25">
      <c r="A100" s="82" t="s">
        <v>426</v>
      </c>
      <c r="B100" s="83" t="s">
        <v>80</v>
      </c>
      <c r="C100" s="83" t="s">
        <v>33</v>
      </c>
      <c r="D100" s="83" t="s">
        <v>440</v>
      </c>
      <c r="E100" s="83" t="s">
        <v>443</v>
      </c>
      <c r="F100" s="83" t="s">
        <v>444</v>
      </c>
      <c r="G100" s="83" t="s">
        <v>18</v>
      </c>
      <c r="H100" s="84">
        <v>-358671</v>
      </c>
      <c r="I100" s="84">
        <f>H100*'Reporting Hebdo'!$E$3</f>
      </c>
      <c r="J100" s="82" t="s">
        <v>215</v>
      </c>
    </row>
    <row r="101" spans="1:10" x14ac:dyDescent="0.25">
      <c r="A101" s="82" t="s">
        <v>426</v>
      </c>
      <c r="B101" s="83" t="s">
        <v>80</v>
      </c>
      <c r="C101" s="83" t="s">
        <v>33</v>
      </c>
      <c r="D101" s="83" t="s">
        <v>129</v>
      </c>
      <c r="E101" s="83" t="s">
        <v>422</v>
      </c>
      <c r="F101" s="83" t="s">
        <v>423</v>
      </c>
      <c r="G101" s="83" t="s">
        <v>445</v>
      </c>
      <c r="H101" s="84">
        <v>-289547.42</v>
      </c>
      <c r="I101" s="84">
        <f>H101*'Reporting Hebdo'!$E$3</f>
      </c>
      <c r="J101" s="82" t="s">
        <v>215</v>
      </c>
    </row>
    <row r="102" spans="1:10" x14ac:dyDescent="0.25">
      <c r="A102" s="82" t="s">
        <v>426</v>
      </c>
      <c r="B102" s="83" t="s">
        <v>80</v>
      </c>
      <c r="C102" s="83" t="s">
        <v>33</v>
      </c>
      <c r="D102" s="83" t="s">
        <v>129</v>
      </c>
      <c r="E102" s="83" t="s">
        <v>424</v>
      </c>
      <c r="F102" s="83" t="s">
        <v>425</v>
      </c>
      <c r="G102" s="83" t="s">
        <v>445</v>
      </c>
      <c r="H102" s="84">
        <v>-44236.41</v>
      </c>
      <c r="I102" s="84">
        <f>H102*'Reporting Hebdo'!$E$3</f>
      </c>
      <c r="J102" s="82" t="s">
        <v>215</v>
      </c>
    </row>
    <row r="103" spans="1:10" x14ac:dyDescent="0.25">
      <c r="A103" s="82" t="s">
        <v>426</v>
      </c>
      <c r="B103" s="83" t="s">
        <v>77</v>
      </c>
      <c r="C103" s="83" t="s">
        <v>36</v>
      </c>
      <c r="D103" s="83" t="s">
        <v>126</v>
      </c>
      <c r="E103" s="83" t="s">
        <v>446</v>
      </c>
      <c r="F103" s="83" t="s">
        <v>447</v>
      </c>
      <c r="G103" s="83" t="s">
        <v>18</v>
      </c>
      <c r="H103" s="84">
        <v>200000</v>
      </c>
      <c r="I103" s="84">
        <f>H103*'Reporting Hebdo'!$E$3</f>
      </c>
      <c r="J103" s="82" t="s">
        <v>215</v>
      </c>
    </row>
    <row r="104" spans="1:10" x14ac:dyDescent="0.25">
      <c r="A104" s="82" t="s">
        <v>426</v>
      </c>
      <c r="B104" s="83" t="s">
        <v>77</v>
      </c>
      <c r="C104" s="83" t="s">
        <v>36</v>
      </c>
      <c r="D104" s="83" t="s">
        <v>126</v>
      </c>
      <c r="E104" s="83" t="s">
        <v>372</v>
      </c>
      <c r="F104" s="83" t="s">
        <v>373</v>
      </c>
      <c r="G104" s="83" t="s">
        <v>374</v>
      </c>
      <c r="H104" s="84">
        <v>-87897.35</v>
      </c>
      <c r="I104" s="84">
        <f>H104*'Reporting Hebdo'!$E$3</f>
      </c>
      <c r="J104" s="82" t="s">
        <v>215</v>
      </c>
    </row>
    <row r="105" spans="1:10" x14ac:dyDescent="0.25">
      <c r="A105" s="82" t="s">
        <v>426</v>
      </c>
      <c r="B105" s="83" t="s">
        <v>77</v>
      </c>
      <c r="C105" s="83" t="s">
        <v>36</v>
      </c>
      <c r="D105" s="83" t="s">
        <v>126</v>
      </c>
      <c r="E105" s="83" t="s">
        <v>375</v>
      </c>
      <c r="F105" s="83" t="s">
        <v>376</v>
      </c>
      <c r="G105" s="83" t="s">
        <v>18</v>
      </c>
      <c r="H105" s="84">
        <v>-645447.27</v>
      </c>
      <c r="I105" s="84">
        <f>H105*'Reporting Hebdo'!$E$3</f>
      </c>
      <c r="J105" s="82" t="s">
        <v>215</v>
      </c>
    </row>
    <row r="106" spans="1:10" x14ac:dyDescent="0.25">
      <c r="A106" s="82" t="s">
        <v>426</v>
      </c>
      <c r="B106" s="83" t="s">
        <v>77</v>
      </c>
      <c r="C106" s="83" t="s">
        <v>36</v>
      </c>
      <c r="D106" s="83" t="s">
        <v>126</v>
      </c>
      <c r="E106" s="83" t="s">
        <v>379</v>
      </c>
      <c r="F106" s="83" t="s">
        <v>380</v>
      </c>
      <c r="G106" s="83" t="s">
        <v>18</v>
      </c>
      <c r="H106" s="84">
        <v>-76680.35</v>
      </c>
      <c r="I106" s="84">
        <f>H106*'Reporting Hebdo'!$E$3</f>
      </c>
      <c r="J106" s="82" t="s">
        <v>215</v>
      </c>
    </row>
    <row r="107" spans="1:10" x14ac:dyDescent="0.25">
      <c r="A107" s="82" t="s">
        <v>426</v>
      </c>
      <c r="B107" s="83" t="s">
        <v>77</v>
      </c>
      <c r="C107" s="83" t="s">
        <v>36</v>
      </c>
      <c r="D107" s="83" t="s">
        <v>127</v>
      </c>
      <c r="E107" s="83" t="s">
        <v>332</v>
      </c>
      <c r="F107" s="83" t="s">
        <v>333</v>
      </c>
      <c r="G107" s="83" t="s">
        <v>386</v>
      </c>
      <c r="H107" s="84">
        <v>-18066.62</v>
      </c>
      <c r="I107" s="84">
        <f>H107*'Reporting Hebdo'!$E$3</f>
      </c>
      <c r="J107" s="82" t="s">
        <v>215</v>
      </c>
    </row>
    <row r="108" spans="1:10" x14ac:dyDescent="0.25">
      <c r="A108" s="82" t="s">
        <v>426</v>
      </c>
      <c r="B108" s="83" t="s">
        <v>77</v>
      </c>
      <c r="C108" s="83" t="s">
        <v>36</v>
      </c>
      <c r="D108" s="83" t="s">
        <v>127</v>
      </c>
      <c r="E108" s="83" t="s">
        <v>335</v>
      </c>
      <c r="F108" s="83" t="s">
        <v>336</v>
      </c>
      <c r="G108" s="83" t="s">
        <v>337</v>
      </c>
      <c r="H108" s="84">
        <v>-20699.65</v>
      </c>
      <c r="I108" s="84">
        <f>H108*'Reporting Hebdo'!$E$3</f>
      </c>
      <c r="J108" s="82" t="s">
        <v>215</v>
      </c>
    </row>
    <row r="109" spans="1:10" x14ac:dyDescent="0.25">
      <c r="A109" s="82" t="s">
        <v>426</v>
      </c>
      <c r="B109" s="83" t="s">
        <v>77</v>
      </c>
      <c r="C109" s="83" t="s">
        <v>36</v>
      </c>
      <c r="D109" s="83" t="s">
        <v>127</v>
      </c>
      <c r="E109" s="83" t="s">
        <v>344</v>
      </c>
      <c r="F109" s="83" t="s">
        <v>345</v>
      </c>
      <c r="G109" s="83" t="s">
        <v>387</v>
      </c>
      <c r="H109" s="84">
        <v>-6719.33</v>
      </c>
      <c r="I109" s="84">
        <f>H109*'Reporting Hebdo'!$E$3</f>
      </c>
      <c r="J109" s="82" t="s">
        <v>215</v>
      </c>
    </row>
    <row r="110" spans="1:10" x14ac:dyDescent="0.25">
      <c r="A110" s="82" t="s">
        <v>426</v>
      </c>
      <c r="B110" s="83" t="s">
        <v>77</v>
      </c>
      <c r="C110" s="83" t="s">
        <v>36</v>
      </c>
      <c r="D110" s="83" t="s">
        <v>127</v>
      </c>
      <c r="E110" s="83" t="s">
        <v>347</v>
      </c>
      <c r="F110" s="83" t="s">
        <v>348</v>
      </c>
      <c r="G110" s="83" t="s">
        <v>390</v>
      </c>
      <c r="H110" s="84">
        <v>-10000</v>
      </c>
      <c r="I110" s="84">
        <f>H110*'Reporting Hebdo'!$E$3</f>
      </c>
      <c r="J110" s="82" t="s">
        <v>215</v>
      </c>
    </row>
    <row r="111" spans="1:10" x14ac:dyDescent="0.25">
      <c r="A111" s="82" t="s">
        <v>426</v>
      </c>
      <c r="B111" s="83" t="s">
        <v>77</v>
      </c>
      <c r="C111" s="83" t="s">
        <v>36</v>
      </c>
      <c r="D111" s="83" t="s">
        <v>127</v>
      </c>
      <c r="E111" s="83" t="s">
        <v>350</v>
      </c>
      <c r="F111" s="83" t="s">
        <v>351</v>
      </c>
      <c r="G111" s="83" t="s">
        <v>18</v>
      </c>
      <c r="H111" s="84">
        <v>-1254.17</v>
      </c>
      <c r="I111" s="84">
        <f>H111*'Reporting Hebdo'!$E$3</f>
      </c>
      <c r="J111" s="82" t="s">
        <v>215</v>
      </c>
    </row>
    <row r="112" spans="1:10" x14ac:dyDescent="0.25">
      <c r="A112" s="82" t="s">
        <v>426</v>
      </c>
      <c r="B112" s="83" t="s">
        <v>77</v>
      </c>
      <c r="C112" s="83" t="s">
        <v>36</v>
      </c>
      <c r="D112" s="83" t="s">
        <v>128</v>
      </c>
      <c r="E112" s="83" t="s">
        <v>448</v>
      </c>
      <c r="F112" s="83" t="s">
        <v>449</v>
      </c>
      <c r="G112" s="83" t="s">
        <v>450</v>
      </c>
      <c r="H112" s="84">
        <v>-8600</v>
      </c>
      <c r="I112" s="84">
        <f>H112*'Reporting Hebdo'!$E$3</f>
      </c>
      <c r="J112" s="82" t="s">
        <v>215</v>
      </c>
    </row>
    <row r="113" spans="1:10" x14ac:dyDescent="0.25">
      <c r="A113" s="82" t="s">
        <v>426</v>
      </c>
      <c r="B113" s="83" t="s">
        <v>77</v>
      </c>
      <c r="C113" s="83" t="s">
        <v>36</v>
      </c>
      <c r="D113" s="83" t="s">
        <v>128</v>
      </c>
      <c r="E113" s="83" t="s">
        <v>352</v>
      </c>
      <c r="F113" s="83" t="s">
        <v>353</v>
      </c>
      <c r="G113" s="83" t="s">
        <v>418</v>
      </c>
      <c r="H113" s="84">
        <v>-10394.35</v>
      </c>
      <c r="I113" s="84">
        <f>H113*'Reporting Hebdo'!$E$3</f>
      </c>
      <c r="J113" s="82" t="s">
        <v>215</v>
      </c>
    </row>
    <row r="114" spans="1:10" x14ac:dyDescent="0.25">
      <c r="A114" s="82" t="s">
        <v>426</v>
      </c>
      <c r="B114" s="83" t="s">
        <v>77</v>
      </c>
      <c r="C114" s="83" t="s">
        <v>36</v>
      </c>
      <c r="D114" s="83" t="s">
        <v>128</v>
      </c>
      <c r="E114" s="83" t="s">
        <v>391</v>
      </c>
      <c r="F114" s="83" t="s">
        <v>392</v>
      </c>
      <c r="G114" s="83" t="s">
        <v>393</v>
      </c>
      <c r="H114" s="84">
        <v>-8000</v>
      </c>
      <c r="I114" s="84">
        <f>H114*'Reporting Hebdo'!$E$3</f>
      </c>
      <c r="J114" s="82" t="s">
        <v>215</v>
      </c>
    </row>
    <row r="115" spans="1:10" x14ac:dyDescent="0.25">
      <c r="A115" s="82" t="s">
        <v>3</v>
      </c>
      <c r="B115" s="83" t="s">
        <v>80</v>
      </c>
      <c r="C115" s="83" t="s">
        <v>33</v>
      </c>
      <c r="D115" s="83" t="s">
        <v>124</v>
      </c>
      <c r="E115" s="83" t="s">
        <v>18</v>
      </c>
      <c r="F115" s="83" t="s">
        <v>451</v>
      </c>
      <c r="G115" s="83" t="s">
        <v>18</v>
      </c>
      <c r="H115" s="84">
        <f>I115/'Reporting Hebdo'!$E$3</f>
      </c>
      <c r="I115" s="84">
        <v>-32902934</v>
      </c>
      <c r="J115" s="82" t="s">
        <v>295</v>
      </c>
    </row>
    <row r="116" spans="1:10" x14ac:dyDescent="0.25">
      <c r="A116" s="82" t="s">
        <v>4</v>
      </c>
      <c r="B116" s="83" t="s">
        <v>64</v>
      </c>
      <c r="C116" s="83" t="s">
        <v>29</v>
      </c>
      <c r="D116" s="83" t="s">
        <v>130</v>
      </c>
      <c r="E116" s="83" t="s">
        <v>18</v>
      </c>
      <c r="F116" s="83" t="s">
        <v>452</v>
      </c>
      <c r="G116" s="83" t="s">
        <v>453</v>
      </c>
      <c r="H116" s="84">
        <f>I116/'Reporting Hebdo'!$E$3</f>
      </c>
      <c r="I116" s="84">
        <v>6113285</v>
      </c>
      <c r="J116" s="82" t="s">
        <v>295</v>
      </c>
    </row>
    <row r="117" spans="1:10" x14ac:dyDescent="0.25">
      <c r="A117" s="82" t="s">
        <v>5</v>
      </c>
      <c r="B117" s="83" t="s">
        <v>77</v>
      </c>
      <c r="C117" s="83" t="s">
        <v>36</v>
      </c>
      <c r="D117" s="83" t="s">
        <v>124</v>
      </c>
      <c r="E117" s="83" t="s">
        <v>18</v>
      </c>
      <c r="F117" s="83" t="s">
        <v>454</v>
      </c>
      <c r="G117" s="83" t="s">
        <v>18</v>
      </c>
      <c r="H117" s="84">
        <f>I117/'Reporting Hebdo'!$E$3</f>
      </c>
      <c r="I117" s="84">
        <v>-187500000</v>
      </c>
      <c r="J117" s="82" t="s">
        <v>295</v>
      </c>
    </row>
  </sheetData>
  <autoFilter ref="A4:J11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</cols>
  <sheetData>
    <row r="1" spans="1:1" x14ac:dyDescent="0.25">
      <c r="A1" s="1" t="s">
        <v>455</v>
      </c>
    </row>
    <row r="4" spans="1:9" x14ac:dyDescent="0.25">
      <c r="A4" s="80" t="s">
        <v>97</v>
      </c>
      <c r="B4" s="80" t="s">
        <v>456</v>
      </c>
      <c r="C4" s="80" t="s">
        <v>457</v>
      </c>
      <c r="D4" s="80" t="s">
        <v>16</v>
      </c>
      <c r="E4" s="80" t="s">
        <v>458</v>
      </c>
      <c r="F4" s="80" t="s">
        <v>459</v>
      </c>
      <c r="G4" s="80" t="s">
        <v>460</v>
      </c>
      <c r="H4" s="80" t="s">
        <v>461</v>
      </c>
      <c r="I4" s="80" t="s">
        <v>462</v>
      </c>
    </row>
    <row r="5" spans="1:9" x14ac:dyDescent="0.25">
      <c r="A5" s="42" t="s">
        <v>22</v>
      </c>
      <c r="B5" s="42" t="s">
        <v>463</v>
      </c>
      <c r="C5" s="42" t="s">
        <v>464</v>
      </c>
      <c r="D5" s="42" t="s">
        <v>25</v>
      </c>
      <c r="E5" s="42" t="s">
        <v>465</v>
      </c>
      <c r="F5" s="44">
        <v>3580753</v>
      </c>
      <c r="G5" s="44">
        <f>F5/'Reporting Hebdo'!$E$3</f>
      </c>
      <c r="H5" s="42" t="s">
        <v>22</v>
      </c>
      <c r="I5" s="42" t="s">
        <v>466</v>
      </c>
    </row>
    <row r="6" spans="1:9" x14ac:dyDescent="0.25">
      <c r="A6" s="42" t="s">
        <v>22</v>
      </c>
      <c r="B6" s="42" t="s">
        <v>467</v>
      </c>
      <c r="C6" s="42" t="s">
        <v>468</v>
      </c>
      <c r="D6" s="42" t="s">
        <v>27</v>
      </c>
      <c r="E6" s="42" t="s">
        <v>465</v>
      </c>
      <c r="F6" s="44">
        <v>24751125</v>
      </c>
      <c r="G6" s="44">
        <f>F6/'Reporting Hebdo'!$E$3</f>
      </c>
      <c r="H6" s="42" t="s">
        <v>22</v>
      </c>
      <c r="I6" s="42" t="s">
        <v>469</v>
      </c>
    </row>
    <row r="7" spans="1:9" x14ac:dyDescent="0.25">
      <c r="A7" s="42" t="s">
        <v>22</v>
      </c>
      <c r="B7" s="42" t="s">
        <v>470</v>
      </c>
      <c r="C7" s="42" t="s">
        <v>471</v>
      </c>
      <c r="D7" s="42" t="s">
        <v>27</v>
      </c>
      <c r="E7" s="42" t="s">
        <v>465</v>
      </c>
      <c r="F7" s="44">
        <v>368235073</v>
      </c>
      <c r="G7" s="44">
        <f>F7/'Reporting Hebdo'!$E$3</f>
      </c>
      <c r="H7" s="42" t="s">
        <v>22</v>
      </c>
      <c r="I7" s="42" t="s">
        <v>472</v>
      </c>
    </row>
    <row r="8" spans="1:9" x14ac:dyDescent="0.25">
      <c r="A8" s="42" t="s">
        <v>29</v>
      </c>
      <c r="B8" s="42" t="s">
        <v>463</v>
      </c>
      <c r="C8" s="42" t="s">
        <v>473</v>
      </c>
      <c r="D8" s="42" t="s">
        <v>27</v>
      </c>
      <c r="E8" s="42" t="s">
        <v>465</v>
      </c>
      <c r="F8" s="44">
        <v>8429337</v>
      </c>
      <c r="G8" s="44">
        <f>F8/'Reporting Hebdo'!$E$3</f>
      </c>
      <c r="H8" s="42" t="s">
        <v>29</v>
      </c>
      <c r="I8" s="42" t="s">
        <v>474</v>
      </c>
    </row>
    <row r="9" spans="1:9" x14ac:dyDescent="0.25">
      <c r="A9" s="42" t="s">
        <v>29</v>
      </c>
      <c r="B9" s="42" t="s">
        <v>467</v>
      </c>
      <c r="C9" s="42" t="s">
        <v>475</v>
      </c>
      <c r="D9" s="42" t="s">
        <v>27</v>
      </c>
      <c r="E9" s="42" t="s">
        <v>465</v>
      </c>
      <c r="F9" s="44">
        <v>227694317</v>
      </c>
      <c r="G9" s="44">
        <f>F9/'Reporting Hebdo'!$E$3</f>
      </c>
      <c r="H9" s="42" t="s">
        <v>29</v>
      </c>
      <c r="I9" s="42" t="s">
        <v>476</v>
      </c>
    </row>
    <row r="10" spans="1:9" x14ac:dyDescent="0.25">
      <c r="A10" s="42" t="s">
        <v>29</v>
      </c>
      <c r="B10" s="42" t="s">
        <v>467</v>
      </c>
      <c r="C10" s="42" t="s">
        <v>65</v>
      </c>
      <c r="D10" s="42" t="s">
        <v>477</v>
      </c>
      <c r="E10" s="42" t="s">
        <v>478</v>
      </c>
      <c r="F10" s="44">
        <v>350727089</v>
      </c>
      <c r="G10" s="44">
        <f>F10/'Reporting Hebdo'!$E$3</f>
      </c>
      <c r="H10" s="42" t="s">
        <v>64</v>
      </c>
      <c r="I10" s="42" t="s">
        <v>479</v>
      </c>
    </row>
    <row r="11" spans="1:9" x14ac:dyDescent="0.25">
      <c r="A11" s="42" t="s">
        <v>29</v>
      </c>
      <c r="B11" s="42" t="s">
        <v>467</v>
      </c>
      <c r="C11" s="42" t="s">
        <v>68</v>
      </c>
      <c r="D11" s="42" t="s">
        <v>477</v>
      </c>
      <c r="E11" s="42" t="s">
        <v>478</v>
      </c>
      <c r="F11" s="44">
        <v>42500000</v>
      </c>
      <c r="G11" s="44">
        <f>F11/'Reporting Hebdo'!$E$3</f>
      </c>
      <c r="H11" s="42" t="s">
        <v>67</v>
      </c>
      <c r="I11" s="42" t="s">
        <v>480</v>
      </c>
    </row>
    <row r="12" spans="1:9" x14ac:dyDescent="0.25">
      <c r="A12" s="42" t="s">
        <v>29</v>
      </c>
      <c r="B12" s="42" t="s">
        <v>467</v>
      </c>
      <c r="C12" s="42" t="s">
        <v>71</v>
      </c>
      <c r="D12" s="42" t="s">
        <v>477</v>
      </c>
      <c r="E12" s="42" t="s">
        <v>478</v>
      </c>
      <c r="F12" s="44">
        <v>26289357</v>
      </c>
      <c r="G12" s="44">
        <f>F12/'Reporting Hebdo'!$E$3</f>
      </c>
      <c r="H12" s="42" t="s">
        <v>70</v>
      </c>
      <c r="I12" s="42" t="s">
        <v>481</v>
      </c>
    </row>
    <row r="13" spans="1:9" x14ac:dyDescent="0.25">
      <c r="A13" s="42" t="s">
        <v>33</v>
      </c>
      <c r="B13" s="42" t="s">
        <v>463</v>
      </c>
      <c r="C13" s="42" t="s">
        <v>482</v>
      </c>
      <c r="D13" s="42" t="s">
        <v>27</v>
      </c>
      <c r="E13" s="42" t="s">
        <v>465</v>
      </c>
      <c r="F13" s="44">
        <v>58193022</v>
      </c>
      <c r="G13" s="44">
        <f>F13/'Reporting Hebdo'!$E$3</f>
      </c>
      <c r="H13" s="42" t="s">
        <v>33</v>
      </c>
      <c r="I13" s="42" t="s">
        <v>483</v>
      </c>
    </row>
    <row r="14" spans="1:9" x14ac:dyDescent="0.25">
      <c r="A14" s="42" t="s">
        <v>33</v>
      </c>
      <c r="B14" s="42" t="s">
        <v>470</v>
      </c>
      <c r="C14" s="42" t="s">
        <v>484</v>
      </c>
      <c r="D14" s="42" t="s">
        <v>27</v>
      </c>
      <c r="E14" s="42" t="s">
        <v>465</v>
      </c>
      <c r="F14" s="44">
        <v>62000</v>
      </c>
      <c r="G14" s="44">
        <f>F14/'Reporting Hebdo'!$E$3</f>
      </c>
      <c r="H14" s="42" t="s">
        <v>33</v>
      </c>
      <c r="I14" s="42" t="s">
        <v>485</v>
      </c>
    </row>
    <row r="15" spans="1:9" x14ac:dyDescent="0.25">
      <c r="A15" s="42" t="s">
        <v>36</v>
      </c>
      <c r="B15" s="42" t="s">
        <v>463</v>
      </c>
      <c r="C15" s="42" t="s">
        <v>486</v>
      </c>
      <c r="D15" s="42" t="s">
        <v>27</v>
      </c>
      <c r="E15" s="42" t="s">
        <v>465</v>
      </c>
      <c r="F15" s="44">
        <v>1473216</v>
      </c>
      <c r="G15" s="44">
        <f>F15/'Reporting Hebdo'!$E$3</f>
      </c>
      <c r="H15" s="42" t="s">
        <v>36</v>
      </c>
      <c r="I15" s="42" t="s">
        <v>487</v>
      </c>
    </row>
    <row r="16" spans="1:9" x14ac:dyDescent="0.25">
      <c r="A16" s="42" t="s">
        <v>36</v>
      </c>
      <c r="B16" s="42" t="s">
        <v>488</v>
      </c>
      <c r="C16" s="42" t="s">
        <v>73</v>
      </c>
      <c r="D16" s="42" t="s">
        <v>489</v>
      </c>
      <c r="E16" s="42" t="s">
        <v>478</v>
      </c>
      <c r="F16" s="44">
        <v>1771977229</v>
      </c>
      <c r="G16" s="44">
        <f>F16/'Reporting Hebdo'!$E$3</f>
      </c>
      <c r="H16" s="42" t="s">
        <v>72</v>
      </c>
      <c r="I16" s="42" t="s">
        <v>490</v>
      </c>
    </row>
    <row r="17" spans="1:9" x14ac:dyDescent="0.25">
      <c r="A17" s="42" t="s">
        <v>36</v>
      </c>
      <c r="B17" s="42" t="s">
        <v>488</v>
      </c>
      <c r="C17" s="42" t="s">
        <v>76</v>
      </c>
      <c r="D17" s="42" t="s">
        <v>477</v>
      </c>
      <c r="E17" s="42" t="s">
        <v>478</v>
      </c>
      <c r="F17" s="44">
        <v>0</v>
      </c>
      <c r="G17" s="44">
        <f>F17/'Reporting Hebdo'!$E$3</f>
      </c>
      <c r="H17" s="42" t="s">
        <v>75</v>
      </c>
      <c r="I17" s="42" t="s">
        <v>491</v>
      </c>
    </row>
    <row r="18" spans="1:9" x14ac:dyDescent="0.25">
      <c r="A18" s="42" t="s">
        <v>39</v>
      </c>
      <c r="B18" s="42" t="s">
        <v>492</v>
      </c>
      <c r="C18" s="42" t="s">
        <v>493</v>
      </c>
      <c r="D18" s="42" t="s">
        <v>27</v>
      </c>
      <c r="E18" s="42" t="s">
        <v>465</v>
      </c>
      <c r="F18" s="44">
        <v>897338</v>
      </c>
      <c r="G18" s="44">
        <f>F18/'Reporting Hebdo'!$E$3</f>
      </c>
      <c r="H18" s="42" t="s">
        <v>39</v>
      </c>
      <c r="I18" s="42" t="s">
        <v>494</v>
      </c>
    </row>
    <row r="19" spans="1:9" x14ac:dyDescent="0.25">
      <c r="A19" s="42" t="s">
        <v>39</v>
      </c>
      <c r="B19" s="42" t="s">
        <v>495</v>
      </c>
      <c r="C19" s="42" t="s">
        <v>496</v>
      </c>
      <c r="D19" s="42" t="s">
        <v>27</v>
      </c>
      <c r="E19" s="42" t="s">
        <v>465</v>
      </c>
      <c r="F19" s="44">
        <v>5375161</v>
      </c>
      <c r="G19" s="44">
        <f>F19/'Reporting Hebdo'!$E$3</f>
      </c>
      <c r="H19" s="42" t="s">
        <v>39</v>
      </c>
      <c r="I19" s="42" t="s">
        <v>497</v>
      </c>
    </row>
    <row r="20" spans="1:9" x14ac:dyDescent="0.25">
      <c r="A20" s="42" t="s">
        <v>39</v>
      </c>
      <c r="B20" s="42" t="s">
        <v>495</v>
      </c>
      <c r="C20" s="42" t="s">
        <v>498</v>
      </c>
      <c r="D20" s="42" t="s">
        <v>43</v>
      </c>
      <c r="E20" s="42" t="s">
        <v>465</v>
      </c>
      <c r="F20" s="44">
        <v>22569647</v>
      </c>
      <c r="G20" s="44">
        <f>F20/'Reporting Hebdo'!$E$3</f>
      </c>
      <c r="H20" s="42" t="s">
        <v>39</v>
      </c>
      <c r="I20" s="42" t="s">
        <v>499</v>
      </c>
    </row>
    <row r="21" spans="1:9" x14ac:dyDescent="0.25">
      <c r="A21" s="42" t="s">
        <v>39</v>
      </c>
      <c r="B21" s="42" t="s">
        <v>495</v>
      </c>
      <c r="C21" s="42" t="s">
        <v>500</v>
      </c>
      <c r="D21" s="42" t="s">
        <v>43</v>
      </c>
      <c r="E21" s="42" t="s">
        <v>465</v>
      </c>
      <c r="F21" s="44">
        <v>227288</v>
      </c>
      <c r="G21" s="44">
        <f>F21/'Reporting Hebdo'!$E$3</f>
      </c>
      <c r="H21" s="42" t="s">
        <v>39</v>
      </c>
      <c r="I21" s="42" t="s">
        <v>501</v>
      </c>
    </row>
    <row r="22" spans="1:9" x14ac:dyDescent="0.25">
      <c r="A22" s="42" t="s">
        <v>39</v>
      </c>
      <c r="B22" s="42" t="s">
        <v>470</v>
      </c>
      <c r="C22" s="42" t="s">
        <v>502</v>
      </c>
      <c r="D22" s="42" t="s">
        <v>27</v>
      </c>
      <c r="E22" s="42" t="s">
        <v>465</v>
      </c>
      <c r="F22" s="44">
        <v>62000</v>
      </c>
      <c r="G22" s="44">
        <f>F22/'Reporting Hebdo'!$E$3</f>
      </c>
      <c r="H22" s="42" t="s">
        <v>39</v>
      </c>
      <c r="I22" s="42" t="s">
        <v>503</v>
      </c>
    </row>
    <row r="23" spans="1:9" x14ac:dyDescent="0.25">
      <c r="A23" s="42" t="s">
        <v>46</v>
      </c>
      <c r="B23" s="42" t="s">
        <v>463</v>
      </c>
      <c r="C23" s="42" t="s">
        <v>504</v>
      </c>
      <c r="D23" s="42" t="s">
        <v>27</v>
      </c>
      <c r="E23" s="42" t="s">
        <v>465</v>
      </c>
      <c r="F23" s="44">
        <v>35011732</v>
      </c>
      <c r="G23" s="44">
        <f>F23/'Reporting Hebdo'!$E$3</f>
      </c>
      <c r="H23" s="42" t="s">
        <v>46</v>
      </c>
      <c r="I23" s="42" t="s">
        <v>505</v>
      </c>
    </row>
    <row r="24" spans="1:9" x14ac:dyDescent="0.25">
      <c r="A24" s="42" t="s">
        <v>46</v>
      </c>
      <c r="B24" s="42" t="s">
        <v>470</v>
      </c>
      <c r="C24" s="42" t="s">
        <v>506</v>
      </c>
      <c r="D24" s="42" t="s">
        <v>27</v>
      </c>
      <c r="E24" s="42" t="s">
        <v>465</v>
      </c>
      <c r="F24" s="44">
        <v>62000</v>
      </c>
      <c r="G24" s="44">
        <f>F24/'Reporting Hebdo'!$E$3</f>
      </c>
      <c r="H24" s="42" t="s">
        <v>46</v>
      </c>
      <c r="I24" s="42" t="s">
        <v>507</v>
      </c>
    </row>
    <row r="25" spans="1:9" x14ac:dyDescent="0.25">
      <c r="A25" s="42" t="s">
        <v>50</v>
      </c>
      <c r="B25" s="42" t="s">
        <v>463</v>
      </c>
      <c r="C25" s="42" t="s">
        <v>508</v>
      </c>
      <c r="D25" s="42" t="s">
        <v>27</v>
      </c>
      <c r="E25" s="42" t="s">
        <v>465</v>
      </c>
      <c r="F25" s="44">
        <v>-74342</v>
      </c>
      <c r="G25" s="44">
        <f>F25/'Reporting Hebdo'!$E$3</f>
      </c>
      <c r="H25" s="42" t="s">
        <v>50</v>
      </c>
      <c r="I25" s="42" t="s">
        <v>509</v>
      </c>
    </row>
    <row r="26" spans="1:9" x14ac:dyDescent="0.25">
      <c r="A26" s="42" t="s">
        <v>50</v>
      </c>
      <c r="B26" s="42" t="s">
        <v>470</v>
      </c>
      <c r="C26" s="42" t="s">
        <v>510</v>
      </c>
      <c r="D26" s="42" t="s">
        <v>27</v>
      </c>
      <c r="E26" s="42" t="s">
        <v>465</v>
      </c>
      <c r="F26" s="44">
        <v>62000</v>
      </c>
      <c r="G26" s="44">
        <f>F26/'Reporting Hebdo'!$E$3</f>
      </c>
      <c r="H26" s="42" t="s">
        <v>50</v>
      </c>
      <c r="I26" s="42" t="s">
        <v>511</v>
      </c>
    </row>
    <row r="27" spans="1:9" x14ac:dyDescent="0.25">
      <c r="A27" s="42" t="s">
        <v>53</v>
      </c>
      <c r="B27" s="42" t="s">
        <v>463</v>
      </c>
      <c r="C27" s="42" t="s">
        <v>512</v>
      </c>
      <c r="D27" s="42" t="s">
        <v>27</v>
      </c>
      <c r="E27" s="42" t="s">
        <v>465</v>
      </c>
      <c r="F27" s="44">
        <v>11670561</v>
      </c>
      <c r="G27" s="44">
        <f>F27/'Reporting Hebdo'!$E$3</f>
      </c>
      <c r="H27" s="42" t="s">
        <v>53</v>
      </c>
      <c r="I27" s="42" t="s">
        <v>513</v>
      </c>
    </row>
    <row r="28" spans="1:9" x14ac:dyDescent="0.25">
      <c r="A28" s="42" t="s">
        <v>53</v>
      </c>
      <c r="B28" s="42" t="s">
        <v>470</v>
      </c>
      <c r="C28" s="42" t="s">
        <v>514</v>
      </c>
      <c r="D28" s="42" t="s">
        <v>27</v>
      </c>
      <c r="E28" s="42" t="s">
        <v>465</v>
      </c>
      <c r="F28" s="44">
        <v>36000</v>
      </c>
      <c r="G28" s="44">
        <f>F28/'Reporting Hebdo'!$E$3</f>
      </c>
      <c r="H28" s="42" t="s">
        <v>53</v>
      </c>
      <c r="I28" s="42" t="s">
        <v>515</v>
      </c>
    </row>
    <row r="29" spans="1:9" x14ac:dyDescent="0.25">
      <c r="A29" s="42" t="s">
        <v>53</v>
      </c>
      <c r="B29" s="42" t="s">
        <v>18</v>
      </c>
      <c r="C29" s="42" t="s">
        <v>150</v>
      </c>
      <c r="D29" s="42" t="s">
        <v>27</v>
      </c>
      <c r="E29" s="42" t="s">
        <v>465</v>
      </c>
      <c r="F29" s="44">
        <v>58000</v>
      </c>
      <c r="G29" s="44">
        <f>F29/'Reporting Hebdo'!$E$3</f>
      </c>
      <c r="H29" s="42" t="s">
        <v>53</v>
      </c>
      <c r="I29" s="42" t="s">
        <v>516</v>
      </c>
    </row>
    <row r="30" spans="1:9" x14ac:dyDescent="0.25">
      <c r="A30" s="42" t="s">
        <v>57</v>
      </c>
      <c r="B30" s="42" t="s">
        <v>151</v>
      </c>
      <c r="C30" s="42" t="s">
        <v>517</v>
      </c>
      <c r="D30" s="42" t="s">
        <v>27</v>
      </c>
      <c r="E30" s="42" t="s">
        <v>465</v>
      </c>
      <c r="F30" s="44">
        <v>2751880</v>
      </c>
      <c r="G30" s="44">
        <f>F30/'Reporting Hebdo'!$E$3</f>
      </c>
      <c r="H30" s="42" t="s">
        <v>57</v>
      </c>
      <c r="I30" s="42" t="s">
        <v>518</v>
      </c>
    </row>
    <row r="31" spans="1:9" x14ac:dyDescent="0.25">
      <c r="A31" s="42" t="s">
        <v>59</v>
      </c>
      <c r="B31" s="42" t="s">
        <v>463</v>
      </c>
      <c r="C31" s="42" t="s">
        <v>519</v>
      </c>
      <c r="D31" s="42" t="s">
        <v>27</v>
      </c>
      <c r="E31" s="42" t="s">
        <v>465</v>
      </c>
      <c r="F31" s="44">
        <v>6062002</v>
      </c>
      <c r="G31" s="44">
        <f>F31/'Reporting Hebdo'!$E$3</f>
      </c>
      <c r="H31" s="42" t="s">
        <v>59</v>
      </c>
      <c r="I31" s="42" t="s">
        <v>520</v>
      </c>
    </row>
    <row r="32" spans="1:9" x14ac:dyDescent="0.25">
      <c r="A32" s="42" t="s">
        <v>36</v>
      </c>
      <c r="B32" s="42" t="s">
        <v>488</v>
      </c>
      <c r="C32" s="42" t="s">
        <v>78</v>
      </c>
      <c r="D32" s="42" t="s">
        <v>521</v>
      </c>
      <c r="E32" s="42" t="s">
        <v>478</v>
      </c>
      <c r="F32" s="44">
        <v>2643139493</v>
      </c>
      <c r="G32" s="44">
        <f>F32/'Reporting Hebdo'!$E$3</f>
      </c>
      <c r="H32" s="42" t="s">
        <v>77</v>
      </c>
      <c r="I32" s="42" t="s">
        <v>522</v>
      </c>
    </row>
    <row r="33" spans="1:9" x14ac:dyDescent="0.25">
      <c r="A33" s="42" t="s">
        <v>33</v>
      </c>
      <c r="B33" s="42" t="s">
        <v>488</v>
      </c>
      <c r="C33" s="42" t="s">
        <v>81</v>
      </c>
      <c r="D33" s="42" t="s">
        <v>521</v>
      </c>
      <c r="E33" s="42" t="s">
        <v>478</v>
      </c>
      <c r="F33" s="44">
        <v>1481904490</v>
      </c>
      <c r="G33" s="44">
        <f>F33/'Reporting Hebdo'!$E$3</f>
      </c>
      <c r="H33" s="42" t="s">
        <v>80</v>
      </c>
      <c r="I33" s="42" t="s">
        <v>523</v>
      </c>
    </row>
    <row r="34" spans="1:9" x14ac:dyDescent="0.25">
      <c r="A34" s="42" t="s">
        <v>36</v>
      </c>
      <c r="B34" s="42" t="s">
        <v>488</v>
      </c>
      <c r="C34" s="42" t="s">
        <v>83</v>
      </c>
      <c r="D34" s="42" t="s">
        <v>477</v>
      </c>
      <c r="E34" s="42" t="s">
        <v>478</v>
      </c>
      <c r="F34" s="44">
        <v>776110097</v>
      </c>
      <c r="G34" s="44">
        <f>F34/'Reporting Hebdo'!$E$3</f>
      </c>
      <c r="H34" s="42" t="s">
        <v>82</v>
      </c>
      <c r="I34" s="42" t="s">
        <v>524</v>
      </c>
    </row>
    <row r="35" spans="1:9" x14ac:dyDescent="0.25">
      <c r="A35" s="42" t="s">
        <v>39</v>
      </c>
      <c r="B35" s="42" t="s">
        <v>18</v>
      </c>
      <c r="C35" s="42" t="s">
        <v>85</v>
      </c>
      <c r="D35" s="42" t="s">
        <v>477</v>
      </c>
      <c r="E35" s="42" t="s">
        <v>478</v>
      </c>
      <c r="F35" s="44">
        <v>76268390</v>
      </c>
      <c r="G35" s="44">
        <f>F35/'Reporting Hebdo'!$E$3</f>
      </c>
      <c r="H35" s="42" t="s">
        <v>84</v>
      </c>
      <c r="I35" s="42" t="s">
        <v>525</v>
      </c>
    </row>
    <row r="36" spans="1:7" x14ac:dyDescent="0.25">
      <c r="A36" s="85" t="s">
        <v>526</v>
      </c>
      <c r="F36" s="86">
        <f>SUM(F5:F35)</f>
      </c>
      <c r="G36" s="86">
        <f>SUM(G5:G35)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527</v>
      </c>
    </row>
    <row r="3" spans="1:1" x14ac:dyDescent="0.25">
      <c r="A3" s="2" t="s">
        <v>528</v>
      </c>
    </row>
    <row r="4" spans="1:5" x14ac:dyDescent="0.25">
      <c r="A4" s="80" t="s">
        <v>529</v>
      </c>
      <c r="B4" s="80" t="s">
        <v>530</v>
      </c>
      <c r="C4" s="80" t="s">
        <v>531</v>
      </c>
      <c r="D4" s="80" t="s">
        <v>532</v>
      </c>
      <c r="E4" s="80" t="s">
        <v>533</v>
      </c>
    </row>
    <row r="5" spans="1:5" x14ac:dyDescent="0.25">
      <c r="A5" s="42" t="s">
        <v>534</v>
      </c>
      <c r="B5" s="44">
        <f>'Reporting Hebdo'!M57</f>
      </c>
      <c r="C5" s="44">
        <f>'Position CI 30-09'!F36</f>
      </c>
      <c r="D5" s="44">
        <f>B5-C5</f>
      </c>
      <c r="E5" s="42" t="s">
        <v>535</v>
      </c>
    </row>
    <row r="7" spans="1:1" x14ac:dyDescent="0.25">
      <c r="A7" s="2" t="s">
        <v>536</v>
      </c>
    </row>
    <row r="8" spans="1:5" x14ac:dyDescent="0.25">
      <c r="A8" s="80" t="s">
        <v>97</v>
      </c>
      <c r="B8" s="80" t="s">
        <v>537</v>
      </c>
      <c r="C8" s="80" t="s">
        <v>538</v>
      </c>
      <c r="D8" s="80" t="s">
        <v>532</v>
      </c>
      <c r="E8" s="80" t="s">
        <v>533</v>
      </c>
    </row>
    <row r="9" spans="1:5" x14ac:dyDescent="0.25">
      <c r="A9" s="42" t="s">
        <v>22</v>
      </c>
      <c r="B9" s="87">
        <v>296.577239</v>
      </c>
      <c r="C9" s="87">
        <v>296.577239</v>
      </c>
      <c r="D9" s="87">
        <f>B9-C9</f>
      </c>
      <c r="E9" s="42" t="s">
        <v>539</v>
      </c>
    </row>
    <row r="10" spans="1:5" x14ac:dyDescent="0.25">
      <c r="A10" s="42" t="s">
        <v>29</v>
      </c>
      <c r="B10" s="87">
        <v>540.96835821294</v>
      </c>
      <c r="C10" s="87">
        <v>540.96835821294</v>
      </c>
      <c r="D10" s="87">
        <f>B10-C10</f>
      </c>
      <c r="E10" s="42" t="s">
        <v>539</v>
      </c>
    </row>
    <row r="11" spans="1:5" x14ac:dyDescent="0.25">
      <c r="A11" s="42" t="s">
        <v>33</v>
      </c>
      <c r="B11" s="87">
        <v>264.633898</v>
      </c>
      <c r="C11" s="87">
        <v>264.633898</v>
      </c>
      <c r="D11" s="87">
        <f>B11-C11</f>
      </c>
      <c r="E11" s="42" t="s">
        <v>539</v>
      </c>
    </row>
    <row r="12" spans="1:5" x14ac:dyDescent="0.25">
      <c r="A12" s="42" t="s">
        <v>36</v>
      </c>
      <c r="B12" s="87">
        <v>88.788492</v>
      </c>
      <c r="C12" s="87">
        <v>88.788492</v>
      </c>
      <c r="D12" s="87">
        <f>B12-C12</f>
      </c>
      <c r="E12" s="42" t="s">
        <v>539</v>
      </c>
    </row>
    <row r="13" spans="1:5" x14ac:dyDescent="0.25">
      <c r="A13" s="42" t="s">
        <v>61</v>
      </c>
      <c r="B13" s="87">
        <v>50.022534</v>
      </c>
      <c r="C13" s="87">
        <v>50.022534</v>
      </c>
      <c r="D13" s="87">
        <f>B13-C13</f>
      </c>
      <c r="E13" s="42" t="s">
        <v>539</v>
      </c>
    </row>
    <row r="14" spans="1:5" x14ac:dyDescent="0.25">
      <c r="A14" s="42" t="s">
        <v>53</v>
      </c>
      <c r="B14" s="87">
        <v>77.778338</v>
      </c>
      <c r="C14" s="87">
        <v>77.778338</v>
      </c>
      <c r="D14" s="87">
        <f>B14-C14</f>
      </c>
      <c r="E14" s="42" t="s">
        <v>539</v>
      </c>
    </row>
    <row r="15" spans="1:5" x14ac:dyDescent="0.25">
      <c r="A15" s="42" t="s">
        <v>46</v>
      </c>
      <c r="B15" s="87">
        <v>233.763463</v>
      </c>
      <c r="C15" s="87">
        <v>233.763463</v>
      </c>
      <c r="D15" s="87">
        <f>B15-C15</f>
      </c>
      <c r="E15" s="42" t="s">
        <v>539</v>
      </c>
    </row>
    <row r="16" spans="1:5" x14ac:dyDescent="0.25">
      <c r="A16" s="42" t="s">
        <v>59</v>
      </c>
      <c r="B16" s="87">
        <v>9.5751</v>
      </c>
      <c r="C16" s="87">
        <v>9.5751</v>
      </c>
      <c r="D16" s="87">
        <f>B16-C16</f>
      </c>
      <c r="E16" s="42" t="s">
        <v>539</v>
      </c>
    </row>
    <row r="17" spans="1:5" x14ac:dyDescent="0.25">
      <c r="A17" s="42" t="s">
        <v>50</v>
      </c>
      <c r="B17" s="87">
        <v>6.289</v>
      </c>
      <c r="C17" s="87">
        <v>6.289</v>
      </c>
      <c r="D17" s="87">
        <f>B17-C17</f>
      </c>
      <c r="E17" s="42" t="s">
        <v>539</v>
      </c>
    </row>
    <row r="19" spans="1:1" x14ac:dyDescent="0.25">
      <c r="A19" s="2" t="s">
        <v>540</v>
      </c>
    </row>
    <row r="20" spans="1:5" x14ac:dyDescent="0.25">
      <c r="A20" s="80" t="s">
        <v>541</v>
      </c>
      <c r="B20" s="80" t="s">
        <v>530</v>
      </c>
      <c r="C20" s="80" t="s">
        <v>542</v>
      </c>
      <c r="D20" s="80" t="s">
        <v>532</v>
      </c>
      <c r="E20" s="80" t="s">
        <v>462</v>
      </c>
    </row>
    <row r="21" spans="1:5" x14ac:dyDescent="0.25">
      <c r="A21" s="42" t="s">
        <v>543</v>
      </c>
      <c r="B21" s="44">
        <f>-SUMIFS('Détail projets &amp; dettes'!$H$5:$H$500,'Détail projets &amp; dettes'!$C$5:$C$500,"RIVIERA",'Détail projets &amp; dettes'!$J$5:$J$500,"O",'Détail projets &amp; dettes'!$A$5:$A$500,"S*")</f>
      </c>
      <c r="C21" s="44">
        <v>4946194.15</v>
      </c>
      <c r="D21" s="44">
        <f>B21-C21</f>
      </c>
      <c r="E21" s="42" t="s">
        <v>544</v>
      </c>
    </row>
    <row r="22" spans="1:5" x14ac:dyDescent="0.25">
      <c r="A22" s="42" t="s">
        <v>545</v>
      </c>
      <c r="B22" s="44">
        <f>-SUMIFS('Détail projets &amp; dettes'!$H$5:$H$500,'Détail projets &amp; dettes'!$C$5:$C$500,"TERASSON",'Détail projets &amp; dettes'!$J$5:$J$500,"O",'Détail projets &amp; dettes'!$A$5:$A$500,"S*")</f>
      </c>
      <c r="C22" s="44">
        <v>4097563.74</v>
      </c>
      <c r="D22" s="44">
        <f>B22-C22</f>
      </c>
      <c r="E22" s="42" t="s">
        <v>546</v>
      </c>
    </row>
    <row r="24" spans="1:1" x14ac:dyDescent="0.25">
      <c r="A24" s="2" t="s">
        <v>547</v>
      </c>
    </row>
    <row r="25" spans="1:5" x14ac:dyDescent="0.25">
      <c r="A25" s="80" t="s">
        <v>548</v>
      </c>
      <c r="B25" s="80" t="s">
        <v>175</v>
      </c>
      <c r="C25" s="80" t="s">
        <v>549</v>
      </c>
      <c r="D25" s="80" t="s">
        <v>18</v>
      </c>
      <c r="E25" s="80" t="s">
        <v>550</v>
      </c>
    </row>
    <row r="26" spans="1:5" x14ac:dyDescent="0.25">
      <c r="A26" s="42" t="s">
        <v>551</v>
      </c>
      <c r="B26" s="44">
        <v>-13254203304</v>
      </c>
      <c r="C26" s="88">
        <v>17</v>
      </c>
      <c r="D26" s="42" t="s">
        <v>18</v>
      </c>
      <c r="E26" s="42" t="s">
        <v>552</v>
      </c>
    </row>
    <row r="27" spans="1:5" x14ac:dyDescent="0.25">
      <c r="A27" s="42" t="s">
        <v>553</v>
      </c>
      <c r="B27" s="44">
        <v>-1715342550</v>
      </c>
      <c r="C27" s="88">
        <v>5</v>
      </c>
      <c r="D27" s="42" t="s">
        <v>18</v>
      </c>
      <c r="E27" s="42" t="s">
        <v>552</v>
      </c>
    </row>
    <row r="28" spans="1:5" x14ac:dyDescent="0.25">
      <c r="A28" s="42" t="s">
        <v>554</v>
      </c>
      <c r="B28" s="44">
        <v>-220402934</v>
      </c>
      <c r="C28" s="88">
        <v>2</v>
      </c>
      <c r="D28" s="42" t="s">
        <v>18</v>
      </c>
      <c r="E28" s="42" t="s">
        <v>555</v>
      </c>
    </row>
    <row r="29" spans="1:5" x14ac:dyDescent="0.25">
      <c r="A29" s="42" t="s">
        <v>556</v>
      </c>
      <c r="B29" s="44">
        <v>6113285</v>
      </c>
      <c r="C29" s="88">
        <v>1</v>
      </c>
      <c r="D29" s="42" t="s">
        <v>18</v>
      </c>
      <c r="E29" s="42" t="s">
        <v>555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557</v>
      </c>
    </row>
    <row r="3" spans="1:1" x14ac:dyDescent="0.25">
      <c r="A3" s="2" t="s">
        <v>558</v>
      </c>
    </row>
    <row r="4" spans="1:10" x14ac:dyDescent="0.25">
      <c r="A4" s="80" t="s">
        <v>97</v>
      </c>
      <c r="B4" s="80" t="s">
        <v>559</v>
      </c>
      <c r="C4" s="80" t="s">
        <v>560</v>
      </c>
      <c r="D4" s="80" t="s">
        <v>532</v>
      </c>
      <c r="E4" s="80" t="s">
        <v>561</v>
      </c>
      <c r="F4" s="80" t="s">
        <v>562</v>
      </c>
      <c r="G4" s="80" t="s">
        <v>563</v>
      </c>
      <c r="H4" s="80" t="s">
        <v>564</v>
      </c>
      <c r="I4" s="80" t="s">
        <v>565</v>
      </c>
      <c r="J4" s="80" t="s">
        <v>566</v>
      </c>
    </row>
    <row r="5" spans="1:10" x14ac:dyDescent="0.25">
      <c r="A5" s="42" t="s">
        <v>22</v>
      </c>
      <c r="B5" s="89">
        <v>296.57723899999996</v>
      </c>
      <c r="C5" s="89">
        <v>296.57723899999996</v>
      </c>
      <c r="D5" s="89">
        <v>0</v>
      </c>
      <c r="E5" s="89">
        <v>396.566951</v>
      </c>
      <c r="F5" s="89">
        <v>396.566951</v>
      </c>
      <c r="G5" s="89">
        <v>99.98971200000005</v>
      </c>
      <c r="H5" s="89">
        <v>99.98971200000005</v>
      </c>
      <c r="I5" s="89">
        <v>0</v>
      </c>
      <c r="J5" s="90" t="s">
        <v>567</v>
      </c>
    </row>
    <row r="6" spans="1:10" x14ac:dyDescent="0.25">
      <c r="A6" s="42" t="s">
        <v>29</v>
      </c>
      <c r="B6" s="89">
        <v>540.96835821294</v>
      </c>
      <c r="C6" s="89">
        <v>540.96835821294</v>
      </c>
      <c r="D6" s="89">
        <v>0</v>
      </c>
      <c r="E6" s="89">
        <v>236.123654</v>
      </c>
      <c r="F6" s="89">
        <v>236.123654</v>
      </c>
      <c r="G6" s="89">
        <v>-175.27643898293996</v>
      </c>
      <c r="H6" s="89">
        <v>-175.27643898294</v>
      </c>
      <c r="I6" s="89">
        <v>-2.842170943040401e-14</v>
      </c>
      <c r="J6" s="90" t="s">
        <v>567</v>
      </c>
    </row>
    <row r="7" spans="1:10" x14ac:dyDescent="0.25">
      <c r="A7" s="42" t="s">
        <v>33</v>
      </c>
      <c r="B7" s="89">
        <v>264.633898</v>
      </c>
      <c r="C7" s="89">
        <v>264.633898</v>
      </c>
      <c r="D7" s="89">
        <v>0</v>
      </c>
      <c r="E7" s="89">
        <v>58.255022</v>
      </c>
      <c r="F7" s="89">
        <v>58.255022</v>
      </c>
      <c r="G7" s="89">
        <v>-206.378876</v>
      </c>
      <c r="H7" s="89">
        <v>-206.378876</v>
      </c>
      <c r="I7" s="89">
        <v>0</v>
      </c>
      <c r="J7" s="90" t="s">
        <v>567</v>
      </c>
    </row>
    <row r="8" spans="1:10" x14ac:dyDescent="0.25">
      <c r="A8" s="42" t="s">
        <v>36</v>
      </c>
      <c r="B8" s="89">
        <v>88.788492</v>
      </c>
      <c r="C8" s="89">
        <v>88.788492</v>
      </c>
      <c r="D8" s="89">
        <v>0</v>
      </c>
      <c r="E8" s="89">
        <v>1.473216</v>
      </c>
      <c r="F8" s="89">
        <v>1.473216</v>
      </c>
      <c r="G8" s="89">
        <v>-87.31527600000001</v>
      </c>
      <c r="H8" s="89">
        <v>-87.315276</v>
      </c>
      <c r="I8" s="89">
        <v>1.4210854715202004e-14</v>
      </c>
      <c r="J8" s="90" t="s">
        <v>567</v>
      </c>
    </row>
    <row r="9" spans="1:10" x14ac:dyDescent="0.25">
      <c r="A9" s="42" t="s">
        <v>39</v>
      </c>
      <c r="B9" s="89"/>
      <c r="C9" s="89">
        <v>208.73865799999996</v>
      </c>
      <c r="D9" s="89">
        <v>208.73865799999996</v>
      </c>
      <c r="E9" s="89"/>
      <c r="F9" s="89">
        <v>29.131434</v>
      </c>
      <c r="G9" s="89"/>
      <c r="H9" s="89">
        <v>-176.007224</v>
      </c>
      <c r="I9" s="89">
        <v>-176.007224</v>
      </c>
      <c r="J9" s="90" t="s">
        <v>568</v>
      </c>
    </row>
    <row r="10" spans="1:10" x14ac:dyDescent="0.25">
      <c r="A10" s="42" t="s">
        <v>46</v>
      </c>
      <c r="B10" s="89">
        <v>233.76346300000003</v>
      </c>
      <c r="C10" s="89">
        <v>233.763463</v>
      </c>
      <c r="D10" s="89">
        <v>-2.842170943040401e-14</v>
      </c>
      <c r="E10" s="89">
        <v>35.073732</v>
      </c>
      <c r="F10" s="89">
        <v>35.073732</v>
      </c>
      <c r="G10" s="89">
        <v>-198.68973100000002</v>
      </c>
      <c r="H10" s="89">
        <v>-198.689731</v>
      </c>
      <c r="I10" s="89">
        <v>2.842170943040401e-14</v>
      </c>
      <c r="J10" s="90" t="s">
        <v>567</v>
      </c>
    </row>
    <row r="11" spans="1:10" x14ac:dyDescent="0.25">
      <c r="A11" s="42" t="s">
        <v>50</v>
      </c>
      <c r="B11" s="89">
        <v>6.289</v>
      </c>
      <c r="C11" s="89">
        <v>6.289</v>
      </c>
      <c r="D11" s="89">
        <v>0</v>
      </c>
      <c r="E11" s="89">
        <v>-0.012342</v>
      </c>
      <c r="F11" s="89">
        <v>-0.012342</v>
      </c>
      <c r="G11" s="89">
        <v>-6.301342</v>
      </c>
      <c r="H11" s="89">
        <v>-6.301342</v>
      </c>
      <c r="I11" s="89">
        <v>0</v>
      </c>
      <c r="J11" s="90" t="s">
        <v>567</v>
      </c>
    </row>
    <row r="12" spans="1:10" x14ac:dyDescent="0.25">
      <c r="A12" s="42" t="s">
        <v>53</v>
      </c>
      <c r="B12" s="89">
        <v>77.77833799999999</v>
      </c>
      <c r="C12" s="89">
        <v>77.77833799999999</v>
      </c>
      <c r="D12" s="89">
        <v>0</v>
      </c>
      <c r="E12" s="89">
        <v>11.764561</v>
      </c>
      <c r="F12" s="89">
        <v>11.764561</v>
      </c>
      <c r="G12" s="89">
        <v>-66.01377699999999</v>
      </c>
      <c r="H12" s="89">
        <v>-66.013777</v>
      </c>
      <c r="I12" s="89">
        <v>-1.4210854715202004e-14</v>
      </c>
      <c r="J12" s="90" t="s">
        <v>567</v>
      </c>
    </row>
    <row r="13" spans="1:10" x14ac:dyDescent="0.25">
      <c r="A13" s="42" t="s">
        <v>57</v>
      </c>
      <c r="B13" s="89"/>
      <c r="C13" s="89">
        <v>0</v>
      </c>
      <c r="D13" s="89">
        <v>0</v>
      </c>
      <c r="E13" s="89"/>
      <c r="F13" s="89">
        <v>2.75188</v>
      </c>
      <c r="G13" s="89"/>
      <c r="H13" s="89">
        <v>2.75188</v>
      </c>
      <c r="I13" s="89">
        <v>2.75188</v>
      </c>
      <c r="J13" s="90" t="s">
        <v>569</v>
      </c>
    </row>
    <row r="14" spans="1:10" x14ac:dyDescent="0.25">
      <c r="A14" s="42" t="s">
        <v>59</v>
      </c>
      <c r="B14" s="89">
        <v>9.575099999999999</v>
      </c>
      <c r="C14" s="89">
        <v>9.575099999999999</v>
      </c>
      <c r="D14" s="89">
        <v>0</v>
      </c>
      <c r="E14" s="89">
        <v>6.062002</v>
      </c>
      <c r="F14" s="89">
        <v>6.062002</v>
      </c>
      <c r="G14" s="89">
        <v>-3.5130979999999994</v>
      </c>
      <c r="H14" s="89">
        <v>-3.513098000000001</v>
      </c>
      <c r="I14" s="89">
        <v>-1.7763568394002505e-15</v>
      </c>
      <c r="J14" s="90" t="s">
        <v>567</v>
      </c>
    </row>
    <row r="15" spans="1:10" x14ac:dyDescent="0.25">
      <c r="A15" s="42" t="s">
        <v>61</v>
      </c>
      <c r="B15" s="89">
        <v>50.02253399999999</v>
      </c>
      <c r="C15" s="89">
        <v>50.02253399999999</v>
      </c>
      <c r="D15" s="89">
        <v>0</v>
      </c>
      <c r="E15" s="89">
        <v>0</v>
      </c>
      <c r="F15" s="89">
        <v>0</v>
      </c>
      <c r="G15" s="89">
        <v>-50.02253399999999</v>
      </c>
      <c r="H15" s="89">
        <v>-50.02253400000001</v>
      </c>
      <c r="I15" s="89">
        <v>-1.4210854715202004e-14</v>
      </c>
      <c r="J15" s="90" t="s">
        <v>567</v>
      </c>
    </row>
    <row r="16" spans="1:10" x14ac:dyDescent="0.25">
      <c r="A16" s="47" t="s">
        <v>166</v>
      </c>
      <c r="B16" s="91">
        <v>1568.3964222129398</v>
      </c>
      <c r="C16" s="91">
        <v>1777.1350802129398</v>
      </c>
      <c r="D16" s="91">
        <v>208.73865799999993</v>
      </c>
      <c r="E16" s="91">
        <v>745.306796</v>
      </c>
      <c r="F16" s="91">
        <v>777.19011</v>
      </c>
      <c r="G16" s="91">
        <v>-693.5213609829399</v>
      </c>
      <c r="H16" s="91">
        <v>-866.7767049829399</v>
      </c>
      <c r="I16" s="91">
        <v>-173.25534400000004</v>
      </c>
      <c r="J16" s="47" t="s">
        <v>18</v>
      </c>
    </row>
    <row r="18" spans="1:1" x14ac:dyDescent="0.25">
      <c r="A18" s="2" t="s">
        <v>570</v>
      </c>
    </row>
    <row r="19" spans="1:5" x14ac:dyDescent="0.25">
      <c r="A19" s="80" t="s">
        <v>571</v>
      </c>
      <c r="B19" s="80" t="s">
        <v>572</v>
      </c>
      <c r="C19" s="80" t="s">
        <v>530</v>
      </c>
      <c r="D19" s="80" t="s">
        <v>532</v>
      </c>
      <c r="E19" s="80" t="s">
        <v>566</v>
      </c>
    </row>
    <row r="20" spans="1:5" x14ac:dyDescent="0.25">
      <c r="A20" s="42" t="s">
        <v>573</v>
      </c>
      <c r="B20" s="89">
        <v>244.99626199999997</v>
      </c>
      <c r="C20" s="89">
        <v>244.99626199999997</v>
      </c>
      <c r="D20" s="89">
        <v>0</v>
      </c>
      <c r="E20" s="42" t="s">
        <v>574</v>
      </c>
    </row>
    <row r="21" spans="1:5" x14ac:dyDescent="0.25">
      <c r="A21" s="42" t="s">
        <v>575</v>
      </c>
      <c r="B21" s="89">
        <v>637.405803</v>
      </c>
      <c r="C21" s="89">
        <v>637.405803</v>
      </c>
      <c r="D21" s="89">
        <v>0</v>
      </c>
      <c r="E21" s="42" t="s">
        <v>574</v>
      </c>
    </row>
    <row r="22" spans="1:5" x14ac:dyDescent="0.25">
      <c r="A22" s="42" t="s">
        <v>576</v>
      </c>
      <c r="B22" s="89">
        <v>152.070689</v>
      </c>
      <c r="C22" s="89">
        <v>152.070689</v>
      </c>
      <c r="D22" s="89">
        <v>0</v>
      </c>
      <c r="E22" s="42" t="s">
        <v>574</v>
      </c>
    </row>
    <row r="23" spans="1:5" x14ac:dyDescent="0.25">
      <c r="A23" s="42" t="s">
        <v>293</v>
      </c>
      <c r="B23" s="89">
        <v>85.788691</v>
      </c>
      <c r="C23" s="89">
        <v>85.788691</v>
      </c>
      <c r="D23" s="89">
        <v>0</v>
      </c>
      <c r="E23" s="42" t="s">
        <v>574</v>
      </c>
    </row>
    <row r="24" spans="1:5" x14ac:dyDescent="0.25">
      <c r="A24" s="42" t="s">
        <v>577</v>
      </c>
      <c r="B24" s="89">
        <v>448.13497721294</v>
      </c>
      <c r="C24" s="89">
        <v>448.13497721294</v>
      </c>
      <c r="D24" s="89">
        <v>0</v>
      </c>
      <c r="E24" s="42" t="s">
        <v>574</v>
      </c>
    </row>
    <row r="25" spans="1:5" x14ac:dyDescent="0.25">
      <c r="A25" s="42" t="s">
        <v>578</v>
      </c>
      <c r="B25" s="89">
        <v>129.56826523</v>
      </c>
      <c r="C25" s="89">
        <v>129.56826522999998</v>
      </c>
      <c r="D25" s="89">
        <v>-2.842170943040401e-14</v>
      </c>
      <c r="E25" s="42" t="s">
        <v>574</v>
      </c>
    </row>
    <row r="26" spans="1:5" x14ac:dyDescent="0.25">
      <c r="A26" s="42" t="s">
        <v>579</v>
      </c>
      <c r="B26" s="89">
        <v>0</v>
      </c>
      <c r="C26" s="89">
        <v>208.73865799999996</v>
      </c>
      <c r="D26" s="89">
        <v>208.73865799999996</v>
      </c>
      <c r="E26" s="42" t="s">
        <v>580</v>
      </c>
    </row>
    <row r="28" spans="1:1" x14ac:dyDescent="0.25">
      <c r="A28" s="2" t="s">
        <v>581</v>
      </c>
    </row>
    <row r="29" spans="1:5" x14ac:dyDescent="0.25">
      <c r="A29" s="80" t="s">
        <v>582</v>
      </c>
      <c r="B29" s="80" t="s">
        <v>583</v>
      </c>
      <c r="C29" s="80" t="s">
        <v>584</v>
      </c>
      <c r="D29" s="80" t="s">
        <v>532</v>
      </c>
      <c r="E29" s="80" t="s">
        <v>566</v>
      </c>
    </row>
    <row r="30" spans="1:5" x14ac:dyDescent="0.25">
      <c r="A30" s="47" t="s">
        <v>36</v>
      </c>
      <c r="B30" s="91">
        <v>3699.5668106392864</v>
      </c>
      <c r="C30" s="91">
        <v>3699.566810639287</v>
      </c>
      <c r="D30" s="91">
        <v>4.547473508864641e-13</v>
      </c>
      <c r="E30" s="47" t="s">
        <v>585</v>
      </c>
    </row>
    <row r="31" spans="1:5" x14ac:dyDescent="0.25">
      <c r="A31" s="42" t="s">
        <v>586</v>
      </c>
      <c r="B31" s="89">
        <v>91.2699500964329</v>
      </c>
      <c r="C31" s="89">
        <v>91.2699500964329</v>
      </c>
      <c r="D31" s="89">
        <v>0</v>
      </c>
      <c r="E31" s="42" t="s">
        <v>587</v>
      </c>
    </row>
    <row r="32" spans="1:5" x14ac:dyDescent="0.25">
      <c r="A32" s="42" t="s">
        <v>588</v>
      </c>
      <c r="B32" s="89">
        <v>1976.5850833750312</v>
      </c>
      <c r="C32" s="89">
        <v>1976.5850833750312</v>
      </c>
      <c r="D32" s="89">
        <v>0</v>
      </c>
      <c r="E32" s="42" t="s">
        <v>589</v>
      </c>
    </row>
    <row r="33" spans="1:5" x14ac:dyDescent="0.25">
      <c r="A33" s="42" t="s">
        <v>590</v>
      </c>
      <c r="B33" s="89">
        <v>1267.9055957833798</v>
      </c>
      <c r="C33" s="89">
        <v>1267.90559578338</v>
      </c>
      <c r="D33" s="89">
        <v>2.2737367544323206e-13</v>
      </c>
      <c r="E33" s="42" t="s">
        <v>589</v>
      </c>
    </row>
    <row r="34" spans="1:5" x14ac:dyDescent="0.25">
      <c r="A34" s="42" t="s">
        <v>591</v>
      </c>
      <c r="B34" s="89">
        <v>455.07613148087546</v>
      </c>
      <c r="C34" s="89">
        <v>455.07613148087535</v>
      </c>
      <c r="D34" s="89">
        <v>-1.1368683772161603e-13</v>
      </c>
      <c r="E34" s="42" t="s">
        <v>589</v>
      </c>
    </row>
    <row r="35" spans="1:5" x14ac:dyDescent="0.25">
      <c r="A35" s="42" t="s">
        <v>592</v>
      </c>
      <c r="B35" s="89">
        <v>2643.139493</v>
      </c>
      <c r="C35" s="89">
        <v>2643.139493</v>
      </c>
      <c r="D35" s="89">
        <v>0</v>
      </c>
      <c r="E35" s="42" t="s">
        <v>589</v>
      </c>
    </row>
    <row r="36" spans="1:5" x14ac:dyDescent="0.25">
      <c r="A36" s="47" t="s">
        <v>33</v>
      </c>
      <c r="B36" s="91">
        <v>3926.313997203903</v>
      </c>
      <c r="C36" s="91">
        <v>3926.313997203903</v>
      </c>
      <c r="D36" s="91">
        <v>0</v>
      </c>
      <c r="E36" s="47" t="s">
        <v>585</v>
      </c>
    </row>
    <row r="37" spans="1:5" x14ac:dyDescent="0.25">
      <c r="A37" s="42" t="s">
        <v>593</v>
      </c>
      <c r="B37" s="89">
        <v>116.22847414168119</v>
      </c>
      <c r="C37" s="89">
        <v>116.2284741416812</v>
      </c>
      <c r="D37" s="89">
        <v>1.4210854715202004e-14</v>
      </c>
      <c r="E37" s="42" t="s">
        <v>587</v>
      </c>
    </row>
    <row r="38" spans="1:5" x14ac:dyDescent="0.25">
      <c r="A38" s="42" t="s">
        <v>588</v>
      </c>
      <c r="B38" s="89">
        <v>2197.7624460785723</v>
      </c>
      <c r="C38" s="89">
        <v>2197.7624460785723</v>
      </c>
      <c r="D38" s="89">
        <v>0</v>
      </c>
      <c r="E38" s="42" t="s">
        <v>589</v>
      </c>
    </row>
    <row r="39" spans="1:5" x14ac:dyDescent="0.25">
      <c r="A39" s="42" t="s">
        <v>590</v>
      </c>
      <c r="B39" s="89">
        <v>490.0631747136942</v>
      </c>
      <c r="C39" s="89">
        <v>490.0631747136942</v>
      </c>
      <c r="D39" s="89">
        <v>0</v>
      </c>
      <c r="E39" s="42" t="s">
        <v>589</v>
      </c>
    </row>
    <row r="40" spans="1:5" x14ac:dyDescent="0.25">
      <c r="A40" s="42" t="s">
        <v>591</v>
      </c>
      <c r="B40" s="89">
        <v>1238.4883764116369</v>
      </c>
      <c r="C40" s="89">
        <v>1238.4883764116366</v>
      </c>
      <c r="D40" s="89">
        <v>-2.2737367544323206e-13</v>
      </c>
      <c r="E40" s="42" t="s">
        <v>589</v>
      </c>
    </row>
    <row r="41" spans="1:5" x14ac:dyDescent="0.25">
      <c r="A41" s="42" t="s">
        <v>592</v>
      </c>
      <c r="B41" s="89">
        <v>1481.90449</v>
      </c>
      <c r="C41" s="89">
        <v>1481.90449</v>
      </c>
      <c r="D41" s="89">
        <v>0</v>
      </c>
      <c r="E41" s="42" t="s">
        <v>589</v>
      </c>
    </row>
    <row r="43" spans="1:1" x14ac:dyDescent="0.25">
      <c r="A43" s="2" t="s">
        <v>594</v>
      </c>
    </row>
    <row r="44" ht="30" customHeight="1" spans="1:10" x14ac:dyDescent="0.25">
      <c r="A44" s="92" t="s">
        <v>595</v>
      </c>
      <c r="B44" s="92"/>
      <c r="C44" s="92"/>
      <c r="D44" s="92"/>
      <c r="E44" s="92"/>
      <c r="F44" s="92"/>
      <c r="G44" s="92"/>
      <c r="H44" s="92"/>
      <c r="I44" s="92"/>
      <c r="J44" s="92"/>
    </row>
    <row r="45" ht="30" customHeight="1" spans="1:10" x14ac:dyDescent="0.25">
      <c r="A45" s="92" t="s">
        <v>596</v>
      </c>
      <c r="B45" s="92"/>
      <c r="C45" s="92"/>
      <c r="D45" s="92"/>
      <c r="E45" s="92"/>
      <c r="F45" s="92"/>
      <c r="G45" s="92"/>
      <c r="H45" s="92"/>
      <c r="I45" s="92"/>
      <c r="J45" s="92"/>
    </row>
    <row r="46" ht="30" customHeight="1" spans="1:10" x14ac:dyDescent="0.25">
      <c r="A46" s="92" t="s">
        <v>597</v>
      </c>
      <c r="B46" s="92"/>
      <c r="C46" s="92"/>
      <c r="D46" s="92"/>
      <c r="E46" s="92"/>
      <c r="F46" s="92"/>
      <c r="G46" s="92"/>
      <c r="H46" s="92"/>
      <c r="I46" s="92"/>
      <c r="J46" s="92"/>
    </row>
    <row r="47" ht="30" customHeight="1" spans="1:10" x14ac:dyDescent="0.25">
      <c r="A47" s="92" t="s">
        <v>598</v>
      </c>
      <c r="B47" s="92"/>
      <c r="C47" s="92"/>
      <c r="D47" s="92"/>
      <c r="E47" s="92"/>
      <c r="F47" s="92"/>
      <c r="G47" s="92"/>
      <c r="H47" s="92"/>
      <c r="I47" s="92"/>
      <c r="J47" s="92"/>
    </row>
    <row r="48" ht="30" customHeight="1" spans="1:10" x14ac:dyDescent="0.25">
      <c r="A48" s="92" t="s">
        <v>599</v>
      </c>
      <c r="B48" s="92"/>
      <c r="C48" s="92"/>
      <c r="D48" s="92"/>
      <c r="E48" s="92"/>
      <c r="F48" s="92"/>
      <c r="G48" s="92"/>
      <c r="H48" s="92"/>
      <c r="I48" s="92"/>
      <c r="J48" s="92"/>
    </row>
    <row r="49" ht="30" customHeight="1" spans="1:10" x14ac:dyDescent="0.25">
      <c r="A49" s="92" t="s">
        <v>600</v>
      </c>
      <c r="B49" s="92"/>
      <c r="C49" s="92"/>
      <c r="D49" s="92"/>
      <c r="E49" s="92"/>
      <c r="F49" s="92"/>
      <c r="G49" s="92"/>
      <c r="H49" s="92"/>
      <c r="I49" s="92"/>
      <c r="J49" s="92"/>
    </row>
  </sheetData>
  <mergeCells count="6">
    <mergeCell ref="A44:J44"/>
    <mergeCell ref="A45:J45"/>
    <mergeCell ref="A46:J46"/>
    <mergeCell ref="A47:J47"/>
    <mergeCell ref="A48:J48"/>
    <mergeCell ref="A49:J4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601</v>
      </c>
    </row>
    <row r="3" spans="1:2" x14ac:dyDescent="0.25">
      <c r="A3" s="53" t="s">
        <v>602</v>
      </c>
      <c r="B3" s="54"/>
    </row>
    <row r="4" spans="1:2" x14ac:dyDescent="0.25">
      <c r="A4" s="93" t="s">
        <v>603</v>
      </c>
      <c r="B4" s="92" t="s">
        <v>604</v>
      </c>
    </row>
    <row r="5" spans="1:2" x14ac:dyDescent="0.25">
      <c r="A5" s="93" t="s">
        <v>605</v>
      </c>
      <c r="B5" s="92" t="s">
        <v>606</v>
      </c>
    </row>
    <row r="6" spans="1:2" x14ac:dyDescent="0.25">
      <c r="A6" s="93" t="s">
        <v>607</v>
      </c>
      <c r="B6" s="92" t="s">
        <v>608</v>
      </c>
    </row>
    <row r="7" spans="1:2" x14ac:dyDescent="0.25">
      <c r="A7" s="93" t="s">
        <v>609</v>
      </c>
      <c r="B7" s="92" t="s">
        <v>610</v>
      </c>
    </row>
    <row r="8" spans="1:2" x14ac:dyDescent="0.25">
      <c r="A8" s="93" t="s">
        <v>39</v>
      </c>
      <c r="B8" s="92" t="s">
        <v>611</v>
      </c>
    </row>
    <row r="9" spans="1:2" x14ac:dyDescent="0.25">
      <c r="A9" s="93" t="s">
        <v>18</v>
      </c>
      <c r="B9" s="92" t="s">
        <v>18</v>
      </c>
    </row>
    <row r="10" spans="1:2" x14ac:dyDescent="0.25">
      <c r="A10" s="53" t="s">
        <v>612</v>
      </c>
      <c r="B10" s="54"/>
    </row>
    <row r="11" spans="1:2" x14ac:dyDescent="0.25">
      <c r="A11" s="93" t="s">
        <v>3</v>
      </c>
      <c r="B11" s="92" t="s">
        <v>613</v>
      </c>
    </row>
    <row r="12" spans="1:2" x14ac:dyDescent="0.25">
      <c r="A12" s="93" t="s">
        <v>614</v>
      </c>
      <c r="B12" s="92" t="s">
        <v>615</v>
      </c>
    </row>
    <row r="13" spans="1:2" x14ac:dyDescent="0.25">
      <c r="A13" s="93" t="s">
        <v>609</v>
      </c>
      <c r="B13" s="92" t="s">
        <v>616</v>
      </c>
    </row>
    <row r="14" spans="1:2" x14ac:dyDescent="0.25">
      <c r="A14" s="93" t="s">
        <v>617</v>
      </c>
      <c r="B14" s="92" t="s">
        <v>618</v>
      </c>
    </row>
    <row r="15" spans="1:2" x14ac:dyDescent="0.25">
      <c r="A15" s="93" t="s">
        <v>619</v>
      </c>
      <c r="B15" s="92" t="s">
        <v>620</v>
      </c>
    </row>
    <row r="16" spans="1:2" x14ac:dyDescent="0.25">
      <c r="A16" s="93" t="s">
        <v>18</v>
      </c>
      <c r="B16" s="92" t="s">
        <v>18</v>
      </c>
    </row>
    <row r="17" spans="1:2" x14ac:dyDescent="0.25">
      <c r="A17" s="53" t="s">
        <v>621</v>
      </c>
      <c r="B17" s="54"/>
    </row>
    <row r="18" spans="1:2" x14ac:dyDescent="0.25">
      <c r="A18" s="93" t="s">
        <v>622</v>
      </c>
      <c r="B18" s="92" t="s">
        <v>623</v>
      </c>
    </row>
    <row r="19" spans="1:2" x14ac:dyDescent="0.25">
      <c r="A19" s="93" t="s">
        <v>624</v>
      </c>
      <c r="B19" s="92" t="s">
        <v>625</v>
      </c>
    </row>
    <row r="20" spans="1:2" x14ac:dyDescent="0.25">
      <c r="A20" s="93" t="s">
        <v>626</v>
      </c>
      <c r="B20" s="92" t="s">
        <v>627</v>
      </c>
    </row>
    <row r="21" spans="1:2" x14ac:dyDescent="0.25">
      <c r="A21" s="93" t="s">
        <v>18</v>
      </c>
      <c r="B21" s="92" t="s">
        <v>18</v>
      </c>
    </row>
    <row r="22" spans="1:2" x14ac:dyDescent="0.25">
      <c r="A22" s="53" t="s">
        <v>628</v>
      </c>
      <c r="B22" s="54"/>
    </row>
    <row r="23" spans="1:2" x14ac:dyDescent="0.25">
      <c r="A23" s="93" t="s">
        <v>629</v>
      </c>
      <c r="B23" s="92" t="s">
        <v>630</v>
      </c>
    </row>
    <row r="24" spans="1:2" x14ac:dyDescent="0.25">
      <c r="A24" s="93" t="s">
        <v>631</v>
      </c>
      <c r="B24" s="92" t="s">
        <v>632</v>
      </c>
    </row>
    <row r="25" spans="1:2" x14ac:dyDescent="0.25">
      <c r="A25" s="93" t="s">
        <v>633</v>
      </c>
      <c r="B25" s="92" t="s">
        <v>634</v>
      </c>
    </row>
    <row r="26" spans="1:2" x14ac:dyDescent="0.25">
      <c r="A26" s="93" t="s">
        <v>635</v>
      </c>
      <c r="B26" s="92" t="s">
        <v>636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2026-10-05T08:42:25Z</dcterms:created>
  <dcterms:modified xsi:type="dcterms:W3CDTF">2026-10-05T08:42:25Z</dcterms:modified>
</cp:coreProperties>
</file>