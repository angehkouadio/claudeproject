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tion CI 30-09" state="visible" r:id="rId4"/>
    <sheet sheetId="2" name="Contrôles" state="visible" r:id="rId5"/>
    <sheet sheetId="3" name="Comparaison RCI" state="visible" r:id="rId6"/>
    <sheet sheetId="4" name="Paiements exécutés" state="visible" r:id="rId7"/>
    <sheet sheetId="5" name="Méthode &amp; sources" state="visible" r:id="rId8"/>
  </sheets>
  <calcPr calcId="171027" fullCalcOnLoad="1"/>
</workbook>
</file>

<file path=xl/sharedStrings.xml><?xml version="1.0" encoding="utf-8"?>
<sst xmlns="http://schemas.openxmlformats.org/spreadsheetml/2006/main" count="497" uniqueCount="265">
  <si>
    <t>Position de trésorerie CI – soldes bancaires au 30/09/2026</t>
  </si>
  <si>
    <t>Soldes retenus dans le reporting (modifiables dans « Reporting Hebdo », colonne « Solde réel » en FCFA). Colonne J : solde d'origine de la position CI.</t>
  </si>
  <si>
    <t>Entité</t>
  </si>
  <si>
    <t>Banque</t>
  </si>
  <si>
    <t>Compte</t>
  </si>
  <si>
    <t>Destination (position CI)</t>
  </si>
  <si>
    <t>Bloc du reporting</t>
  </si>
  <si>
    <t>Solde FCFA</t>
  </si>
  <si>
    <t>Solde €</t>
  </si>
  <si>
    <t>Clé</t>
  </si>
  <si>
    <t>Source</t>
  </si>
  <si>
    <t>Solde position CI (origine)</t>
  </si>
  <si>
    <t>Écart (mise à jour)</t>
  </si>
  <si>
    <t>PICI</t>
  </si>
  <si>
    <t>SOCIETE GENERALE</t>
  </si>
  <si>
    <t>SOCIETE GENERALE-PICI</t>
  </si>
  <si>
    <t>Dédié besoin de fonctionnement et "Netting" autres compagnies CIV</t>
  </si>
  <si>
    <t>Compte de société</t>
  </si>
  <si>
    <t>CIV position, ligne 5</t>
  </si>
  <si>
    <t>STANBIC</t>
  </si>
  <si>
    <t>STANBIC-PICI</t>
  </si>
  <si>
    <t>Dédié besoin de fonctionnement</t>
  </si>
  <si>
    <t>CIV position, ligne 6</t>
  </si>
  <si>
    <t>ECOBANK</t>
  </si>
  <si>
    <t>ECOBANK-PICI</t>
  </si>
  <si>
    <t>CIV position, ligne 7</t>
  </si>
  <si>
    <t>FIRST</t>
  </si>
  <si>
    <t>SOCIETE GENERALE-FIRST</t>
  </si>
  <si>
    <t>CIV position, ligne 9</t>
  </si>
  <si>
    <t>STANBIC-FIRST</t>
  </si>
  <si>
    <t>CIV position, ligne 10</t>
  </si>
  <si>
    <t>TERASSON</t>
  </si>
  <si>
    <t>SOCIETE GENERALE-TERASSON</t>
  </si>
  <si>
    <t>CIV position, ligne 15</t>
  </si>
  <si>
    <t>ECOBANK -TERASSON</t>
  </si>
  <si>
    <t>CIV position, ligne 16</t>
  </si>
  <si>
    <t>RIVIERA</t>
  </si>
  <si>
    <t>SOCIETE GENERALE-RIVIERA</t>
  </si>
  <si>
    <t>CIV position, ligne 19</t>
  </si>
  <si>
    <t>BNI</t>
  </si>
  <si>
    <t>BNI-RIVIERA(Courant)</t>
  </si>
  <si>
    <t>Affection placement? Ou besoin de fonctionnement</t>
  </si>
  <si>
    <t>Compte dédié</t>
  </si>
  <si>
    <t>RIVIERA-ARBITRER</t>
  </si>
  <si>
    <t>CIV position, ligne 20</t>
  </si>
  <si>
    <t>SCO AO</t>
  </si>
  <si>
    <t>BANK OF AFRICA</t>
  </si>
  <si>
    <t>BANK OF AFRICA-SCO AO</t>
  </si>
  <si>
    <t>CIV position, ligne 23</t>
  </si>
  <si>
    <t>BANQUE ATLANTIQUE</t>
  </si>
  <si>
    <t>BACI-CompteCourant</t>
  </si>
  <si>
    <t>CIV position, ligne 24</t>
  </si>
  <si>
    <t>BACI-Projet</t>
  </si>
  <si>
    <t>Dédié paiement Projet SCO</t>
  </si>
  <si>
    <t>CIV position, ligne 25</t>
  </si>
  <si>
    <t>BACI-AGORA</t>
  </si>
  <si>
    <t>CIV position, ligne 26</t>
  </si>
  <si>
    <t>ECOBANK - SCO AO</t>
  </si>
  <si>
    <t>CIV position, ligne 27</t>
  </si>
  <si>
    <t>FINAFRICA</t>
  </si>
  <si>
    <t>SOCIETE GENERALE-FINAFRICA</t>
  </si>
  <si>
    <t>CIV position, ligne 29</t>
  </si>
  <si>
    <t>ECOBANK-FINAFRICA</t>
  </si>
  <si>
    <t>CIV position, ligne 30</t>
  </si>
  <si>
    <t>AB CENTER</t>
  </si>
  <si>
    <t>SOCIETE GENERALE-AB CENTER</t>
  </si>
  <si>
    <t>CIV position, ligne 32</t>
  </si>
  <si>
    <t>ECOBANK- AB CENTER</t>
  </si>
  <si>
    <t>CIV position, ligne 33</t>
  </si>
  <si>
    <t>IMMONEUF</t>
  </si>
  <si>
    <t>SOCIETE GENERALE-IMMONEUF</t>
  </si>
  <si>
    <t>CIV position, ligne 35</t>
  </si>
  <si>
    <t>ECOBANK-IMMONEUF</t>
  </si>
  <si>
    <t>CIV position, ligne 36</t>
  </si>
  <si>
    <t/>
  </si>
  <si>
    <t>BACI - IMMONEUF</t>
  </si>
  <si>
    <t>CIV position, ligne 37</t>
  </si>
  <si>
    <t>INFI SOFT</t>
  </si>
  <si>
    <t>SIB</t>
  </si>
  <si>
    <t>INFI SOFT - SIB</t>
  </si>
  <si>
    <t>CIV position, ligne 39</t>
  </si>
  <si>
    <t>ODALYS CI</t>
  </si>
  <si>
    <t>SOCIETE GENERALE-ODALYS</t>
  </si>
  <si>
    <t>CIV position, ligne 41</t>
  </si>
  <si>
    <t>BNI-PICI / Fonds projet RP</t>
  </si>
  <si>
    <t>Dédié paiement CPI</t>
  </si>
  <si>
    <t>RIVIERA-PROJET</t>
  </si>
  <si>
    <t>CIV position, ligne 46</t>
  </si>
  <si>
    <t>BNI-TERASSON / Fonds projet NP</t>
  </si>
  <si>
    <t>TERASSON-PROJET</t>
  </si>
  <si>
    <t>CIV position, ligne 47</t>
  </si>
  <si>
    <t>BACI-AGORA/COMPTE BLOQU. TVA</t>
  </si>
  <si>
    <t>DSR/Augmentation/LL/Disbursment</t>
  </si>
  <si>
    <t>SCO AO-BACIAGORACOMPTEBLOQUTVA</t>
  </si>
  <si>
    <t>CIV position, ligne 49</t>
  </si>
  <si>
    <t>TOTAL</t>
  </si>
  <si>
    <t>Comptes indisponibles – exclus de la position (pour information)</t>
  </si>
  <si>
    <t>STANBIC-FIRST _ Debt Service</t>
  </si>
  <si>
    <t>Indisponible</t>
  </si>
  <si>
    <t>CIV position, ligne 11</t>
  </si>
  <si>
    <t>STANBIC-FIRST_LL</t>
  </si>
  <si>
    <t>CIV position, ligne 12</t>
  </si>
  <si>
    <t>STANBIC-FIRST_Disbursement</t>
  </si>
  <si>
    <t>CIV position, ligne 13</t>
  </si>
  <si>
    <t>BNI-RIVIERA(Augmentation)</t>
  </si>
  <si>
    <t>CIV position, ligne 21</t>
  </si>
  <si>
    <t>BNI-RIVIERA(DSRA) / Placement</t>
  </si>
  <si>
    <t>CIV position, ligne 48</t>
  </si>
  <si>
    <t>Total indisponible</t>
  </si>
  <si>
    <t>Contrôles de cohérence entre les sources et le reporting</t>
  </si>
  <si>
    <t>1. Soldes bancaires au 30/09/2026 (FCFA)</t>
  </si>
  <si>
    <t>Contrôle</t>
  </si>
  <si>
    <t>Reporting</t>
  </si>
  <si>
    <t>Position CI (origine)</t>
  </si>
  <si>
    <t>Écart</t>
  </si>
  <si>
    <t>Commentaire</t>
  </si>
  <si>
    <t>Total comptes de sociétés + comptes dédiés</t>
  </si>
  <si>
    <t>Comptes indisponibles exclus. Écart = soldes mis à jour à la main depuis la position.</t>
  </si>
  <si>
    <t>2. Fonctionnement : reporting vs RECAP de l'audit (S1 à S4 de l'audit, M FCFA)</t>
  </si>
  <si>
    <t>Reporting (fournisseurs, impôts, cotisations, salaires, prêts)</t>
  </si>
  <si>
    <t>RECAP de l'audit</t>
  </si>
  <si>
    <t>Toutes les semaines de l'audit sont dans l'horizon S1 à S5</t>
  </si>
  <si>
    <t>RHD CI</t>
  </si>
  <si>
    <t>3. Projets : montants non réglés des cash plans (€ HT)</t>
  </si>
  <si>
    <t>Projet / période</t>
  </si>
  <si>
    <t>Bilan financier</t>
  </si>
  <si>
    <t>RIVIERA – S1 à S5 (antériorités + mois suivant)</t>
  </si>
  <si>
    <t>996d2c11-2026-10-02_RIVIERA_Bilan_financier.xlsm</t>
  </si>
  <si>
    <t>TERASSON – S1 à S5 (antériorités + mois suivant)</t>
  </si>
  <si>
    <t>bee511f1-2026-10-02_Village_notre_p_re_Bilan_financier.xlsm</t>
  </si>
  <si>
    <t>4. Lignes non retenues (Retenu = N) – à revoir</t>
  </si>
  <si>
    <t>Motif / libellé</t>
  </si>
  <si>
    <t>Montant FCFA</t>
  </si>
  <si>
    <t>Nombre de lignes</t>
  </si>
  <si>
    <t>Feuille</t>
  </si>
  <si>
    <t>FOURNISSEURS - FGX – intragroupe</t>
  </si>
  <si>
    <t>Détail fonctionnement</t>
  </si>
  <si>
    <t>ENREGISTREMENTS – droits d'enregistrement</t>
  </si>
  <si>
    <t>ENCAISSEMENTS – autre</t>
  </si>
  <si>
    <t>Remboursement de prêt – prêts des projets (déjà dans les cash plans)</t>
  </si>
  <si>
    <t>Détail projets &amp; dettes</t>
  </si>
  <si>
    <t>Alertes de lecture</t>
  </si>
  <si>
    <t>SCO AO : 15 ligne(s) du reporting modifié remplacées par la prévision de trésorerie SCO.</t>
  </si>
  <si>
    <t>Paiements exécutés : 4 paiement(s), 704,7 M ; 704,7 M imputés sur les prévisions S1 à S5 (soldes bancaires inchangés).</t>
  </si>
  <si>
    <t>Comparaison avec la présentation RCI (Laureen) – mêmes sources, M FCFA</t>
  </si>
  <si>
    <t>1. Fonctionnement par entité</t>
  </si>
  <si>
    <t>Besoin RCI</t>
  </si>
  <si>
    <t>Besoin reporting</t>
  </si>
  <si>
    <t>Trésorerie RCI</t>
  </si>
  <si>
    <t>Trésorerie reporting</t>
  </si>
  <si>
    <t>Position RCI</t>
  </si>
  <si>
    <t>Position reporting</t>
  </si>
  <si>
    <t>Écart de position</t>
  </si>
  <si>
    <t>Explication</t>
  </si>
  <si>
    <t>Même besoin</t>
  </si>
  <si>
    <t>Hors périmètre de la présentation RCI (aucune ligne dans le RECAP) ; flux repris du reporting de Christophe</t>
  </si>
  <si>
    <t>Hors périmètre de la présentation RCI (aucune ligne dans le RECAP)</t>
  </si>
  <si>
    <t>Total</t>
  </si>
  <si>
    <t>2. Fonctionnement par poste</t>
  </si>
  <si>
    <t>Poste</t>
  </si>
  <si>
    <t>RCI</t>
  </si>
  <si>
    <t>Fournisseurs</t>
  </si>
  <si>
    <t>Identique (mêmes lignes du RECAP / de la balance)</t>
  </si>
  <si>
    <t>Impôts</t>
  </si>
  <si>
    <t>Cotisations sociales</t>
  </si>
  <si>
    <t>Salaires</t>
  </si>
  <si>
    <t>Remboursement de prêts</t>
  </si>
  <si>
    <t>Loyers à encaisser</t>
  </si>
  <si>
    <t>Entités hors présentation RCI</t>
  </si>
  <si>
    <t>SCO AO 178,0</t>
  </si>
  <si>
    <t>3. Projets par mois (cash plans, € HT convertis)</t>
  </si>
  <si>
    <t>Projet / mois</t>
  </si>
  <si>
    <t>RCI (montant du mois)</t>
  </si>
  <si>
    <t>Reporting (non réglé)</t>
  </si>
  <si>
    <t>Total : fenêtre RCI septembre à novembre 2026 ; reporting = antériorités non réglées + mois suivant (S1 à S5) + mois d'après (information)</t>
  </si>
  <si>
    <t xml:space="preserve">   dont antériorités (déc. 2025)</t>
  </si>
  <si>
    <t>Montants non réglés des mois antérieurs, reportés en S1 / sur le premier mois des deux côtés</t>
  </si>
  <si>
    <t xml:space="preserve">   septembre 2026 + antériorités</t>
  </si>
  <si>
    <t>Identique</t>
  </si>
  <si>
    <t xml:space="preserve">   octobre 2026</t>
  </si>
  <si>
    <t xml:space="preserve">   novembre 2026</t>
  </si>
  <si>
    <t xml:space="preserve">   Trésorerie dédiée (CPI)</t>
  </si>
  <si>
    <t xml:space="preserve">   dont antériorités (déc. 2025, août 2026)</t>
  </si>
  <si>
    <t>4. Différences de conventions</t>
  </si>
  <si>
    <t>• Semaines : la présentation RCI suit les semaines de l'audit (28/09 → 25/10/2026) ; le reporting démarre en S1 au 05/10 et y reporte toutes les antériorités. Les montants de l'audit sont les mêmes, seule leur semaine change.</t>
  </si>
  <si>
    <t>• Projets : la présentation RCI prend les cash plans de septembre à novembre 2026 (tous montants du mois, antériorités non réglées reportées sur le premier mois) ; le reporting prend les montants non réglés (antériorités en S1, mois suivant par semaine, mois d'après pour information).</t>
  </si>
  <si>
    <t>• Trésorerie : compte(s) à destination non tranchée non comptés dans le reporting, non comptés dans la présentation RCI.</t>
  </si>
  <si>
    <t>• Périmètre : SCO AO ne figure(nt) que dans le reporting.</t>
  </si>
  <si>
    <t>• Droits d'enregistrement : exclus des deux côtés.</t>
  </si>
  <si>
    <t>• Loyers : octobre 2026, encaissement placé en S2 en fonctionnement de FIRST.</t>
  </si>
  <si>
    <t>• Comptes indisponibles exclus de la position du reporting : STANBIC-FIRST _ Debt Service, STANBIC-FIRST_LL, STANBIC-FIRST_Disbursement, BNI-RIVIERA(Augmentation), BNI-RIVIERA(DSRA) / Placement (1 195,6 M). La présentation RCI exclut aussi ces fonds (DSR, augmentation, LL, disbursement).</t>
  </si>
  <si>
    <t>Paiements exécutés depuis la position – diminution des besoins</t>
  </si>
  <si>
    <t>Montant imputé : déduit du reste à payer des lignes indiquées (feuilles de détail, colonnes « Payé »). Les paiements exécutés diminuent uniquement les prévisions : les soldes bancaires ne sont pas modifiés.</t>
  </si>
  <si>
    <t>Réf.</t>
  </si>
  <si>
    <t>Date</t>
  </si>
  <si>
    <t>Compte débité</t>
  </si>
  <si>
    <t>Bénéficiaire</t>
  </si>
  <si>
    <t>Projet</t>
  </si>
  <si>
    <t>Montant payé FCFA</t>
  </si>
  <si>
    <t>Imputé sur</t>
  </si>
  <si>
    <t>Répartition</t>
  </si>
  <si>
    <t>Imputé S1 à S5 FCFA</t>
  </si>
  <si>
    <t>Non imputé / hors horizon FCFA</t>
  </si>
  <si>
    <t>Déduit du solde</t>
  </si>
  <si>
    <t>PX|ECOBANK-PICI|TGCC|07/10/2026|19324742|0</t>
  </si>
  <si>
    <t>07/10/2026</t>
  </si>
  <si>
    <t>TGCC</t>
  </si>
  <si>
    <t>NOTRE PÈRE</t>
  </si>
  <si>
    <t>BCC 0017 02 GROS ŒUVRE &amp; INSTALLATION DE CHANTIER</t>
  </si>
  <si>
    <t>S1 19,3 M</t>
  </si>
  <si>
    <t>N</t>
  </si>
  <si>
    <t>PX|ECOBANK-PICI|TGCC|07/10/2026|629862023|1</t>
  </si>
  <si>
    <t>S1 373,4 M ; S2 256,5 M</t>
  </si>
  <si>
    <t>PX|ECOBANK-PICI|TGCC|07/10/2026|52769692|2</t>
  </si>
  <si>
    <t>S2 52,8 M</t>
  </si>
  <si>
    <t>PX|ECOBANK-PICI|HORECAF|07/10/2026|2709103|3</t>
  </si>
  <si>
    <t>HORECAF</t>
  </si>
  <si>
    <t>HON 0002 BET / MOE / SSI – SCO</t>
  </si>
  <si>
    <t>S1 2,7 M</t>
  </si>
  <si>
    <t>Méthode, règles de semaine et sources</t>
  </si>
  <si>
    <t>Sources</t>
  </si>
  <si>
    <t>Soldes bancaires</t>
  </si>
  <si>
    <t>52897ed3-Position_CI_-_01_10_2026.xlsx – feuille « CIV position ».</t>
  </si>
  <si>
    <t>Fonctionnement</t>
  </si>
  <si>
    <t>7e1326ae-Audit_D_caissement_fournissseurs_RCI-300926_v10.xlsx – RECAP Semaine hors intragroupe (impôts, cotisations, salaires, prêts) et Répartition des charges (fournisseurs, détaillés et recalés sur le RECAP).</t>
  </si>
  <si>
    <t>Projets</t>
  </si>
  <si>
    <t>996d2c11-2026-10-02_RIVIERA_Bilan_financier.xlsm ; bee511f1-2026-10-02_Village_notre_p_re_Bilan_financier.xlsm – « Marchés et Depenses HT », € HT ; statut lu sur la couleur de police (vert « Montant à étaler » et rouge « FNP » = non réglé, bleu « Total facturé » = réglé). Semaine des paiements du mois suivant : PICI Projets de l'audit.</t>
  </si>
  <si>
    <t>Loyers</t>
  </si>
  <si>
    <t>48a6412d-Etat_pr_visionnel_des_encaissements_au_30092026_Tr_sorerie.xlsx</t>
  </si>
  <si>
    <t>4d5ac132-SCO_Mouvment_TRESO_PREVISION_OCT_051026.xlsx – prévision de trésorerie SCO (prioritaire) : encaissements clients, frais généraux (CNPS / CMU en charges sociales, DGI en impôts, personnel en salaires, autres en fournisseurs) et projets, par semaine.</t>
  </si>
  <si>
    <t>Mises à jour</t>
  </si>
  <si>
    <t xml:space="preserve">f169ee50-Reporting_Hebdo_CIV_05_10_2026_002.xlsx – reporting modifié : semaines, Retenu, montants et virements de l'équilibrage S1 repris. </t>
  </si>
  <si>
    <t>Règles de semaine</t>
  </si>
  <si>
    <t>S1</t>
  </si>
  <si>
    <t>Semaine du 05/10 au 11/10 : toutes les antériorités (semaines de l'audit antérieures, factures et cash plans non réglés jusqu'au mois de la situation).</t>
  </si>
  <si>
    <t>Mois suivant (projets)</t>
  </si>
  <si>
    <t>Semaine identifiée dans PICI Projets, sinon S2.</t>
  </si>
  <si>
    <t>Encaissement en S2 (date non précisée dans l'état des loyers).</t>
  </si>
  <si>
    <t>Droits d'enregistrement</t>
  </si>
  <si>
    <t>Hors besoin, comme la présentation RCI (lignes conservées avec Retenu = N).</t>
  </si>
  <si>
    <t>Soldes : colonne « Solde réel » en FCFA de « Reporting Hebdo » (cellules en jaune, modifiables ; nouveau compte : l'ajouter dans la position CI source). Paiements effectués : montant payé et date dans les feuilles de détail (colonnes en jaune) ; seul le reste à payer alimente le reporting. Paiements non prévus : nouvelles lignes dans les feuilles de détail. Le fichier modifié se réimporte dans le générateur HTML pour refaire la présentation.</t>
  </si>
  <si>
    <t>Paiements exécutés</t>
  </si>
  <si>
    <t>2d40a539-PAIEMENTS_EXECUTES.xlsx – chaque paiement est imputé sur les lignes de besoin du bénéficiaire (nom, sinon nature de l'audit PICI Projets), des plus anciennes aux plus récentes ; ils diminuent les prévisions, pas les soldes bancaires. Détail dans la feuille « Paiements exécutés » du fichier de contrôle.</t>
  </si>
  <si>
    <t>Comptes indisponibles</t>
  </si>
  <si>
    <t>STANBIC-FIRST _ Debt Service, STANBIC-FIRST_LL, STANBIC-FIRST_Disbursement, BNI-RIVIERA(Augmentation), BNI-RIVIERA(DSRA) / Placement : exclus de la position et du reporting (listés pour information en bas des soldes de « Reporting Hebdo »).</t>
  </si>
  <si>
    <t>Dette FIRST</t>
  </si>
  <si>
    <t>Échéances des prêts FIRST et loyers à encaisser traités en fonctionnement de FIRST (pas de compte dédié).</t>
  </si>
  <si>
    <t>Prêts des projets</t>
  </si>
  <si>
    <t>TERASSON et RIVIERA : frais financiers déjà dans les cash plans, non ajoutés.</t>
  </si>
  <si>
    <t>Conventions</t>
  </si>
  <si>
    <t>Signes</t>
  </si>
  <si>
    <t>Décaissements en négatif, encaissements en positif. Solde théorique = solde précédent + prévisions de la semaine.</t>
  </si>
  <si>
    <t>Devise</t>
  </si>
  <si>
    <t>Taux fixe 655,957 FCFA / € (cellule E3 de « Reporting Hebdo »).</t>
  </si>
  <si>
    <t>Retenu</t>
  </si>
  <si>
    <t>O = intégré au reporting ; N = conservé pour traçabilité. Passer une ligne à O l'intègre automatiquement.</t>
  </si>
  <si>
    <t>Équilibrage S1</t>
  </si>
  <si>
    <t>Compte payeur</t>
  </si>
  <si>
    <t>Sociétés : compte « Dédié besoin de fonctionnement » au plus gros solde ; fournisseurs projets : compte « Dédié paiement CPI » (SCO AO : BACI-Projet) ; échéances de prêts FIRST : en fonctionnement, sur le compte payeur de FIRST ; RHD CI (sans compte) : paiement par PICI pour son compte.</t>
  </si>
  <si>
    <t>Autres nivellements</t>
  </si>
  <si>
    <t>Regroupement des comptes d'une même entité sur son compte payeur ; BNI-RIVIERA courant mobilisé pour RIVIERA, sous réserve d'arbitrage.</t>
  </si>
  <si>
    <t>Nivellement via PICI</t>
  </si>
  <si>
    <t>Excédents PICI puis FIRST vers les sociétés en déficit : impôts, cotisations et salaires d'abord, fournisseurs ensuite, en commençant par les plus petits déficits.</t>
  </si>
  <si>
    <t>Liens</t>
  </si>
  <si>
    <t>Paiements : SUMIFS sur les feuilles de détail (semaine S1, Retenu = O) ; soldes : « Reporting Hebdo » (Solde réel) ; nivellements : tableau des virements, modifiable.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</si>
</sst>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.0;-#,##0.0;&quot;–&quot;"/>
  </numFmts>
  <fonts count="8" x14ac:knownFonts="1">
    <font>
      <color theme="1"/>
      <family val="2"/>
      <scheme val="minor"/>
      <sz val="11"/>
      <name val="Calibri"/>
    </font>
    <font>
      <b/>
      <family val="2"/>
      <sz val="14"/>
      <name val="Calibri"/>
    </font>
    <font>
      <i/>
      <color rgb="FF6B7280"/>
      <family val="2"/>
      <sz val="10"/>
      <name val="Calibri"/>
    </font>
    <font>
      <color rgb="FF000000"/>
      <family val="2"/>
      <sz val="10"/>
      <name val="Calibri"/>
    </font>
    <font>
      <family val="2"/>
      <sz val="10"/>
      <name val="Calibri"/>
    </font>
    <font>
      <b/>
      <family val="2"/>
      <sz val="10"/>
      <name val="Calibri"/>
    </font>
    <font>
      <color rgb="FF7F7F7F"/>
      <family val="2"/>
      <sz val="10"/>
      <name val="Calibri"/>
    </font>
    <font>
      <b/>
      <color rgb="FF7F7F7F"/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CD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5" fillId="0" borderId="2" xfId="0" applyFont="1" applyBorder="1"/>
    <xf numFmtId="3" fontId="5" fillId="0" borderId="2" xfId="0" applyNumberFormat="1" applyFont="1" applyBorder="1"/>
    <xf numFmtId="0" fontId="5" fillId="0" borderId="0" xfId="0" applyFont="1"/>
    <xf numFmtId="0" fontId="6" fillId="0" borderId="1" xfId="0" applyFont="1" applyBorder="1"/>
    <xf numFmtId="3" fontId="6" fillId="0" borderId="1" xfId="0" applyNumberFormat="1" applyFont="1" applyBorder="1"/>
    <xf numFmtId="0" fontId="7" fillId="0" borderId="0" xfId="0" applyFont="1"/>
    <xf numFmtId="3" fontId="7" fillId="0" borderId="0" xfId="0" applyNumberFormat="1" applyFont="1"/>
    <xf numFmtId="164" fontId="4" fillId="0" borderId="1" xfId="0" applyNumberFormat="1" applyFont="1" applyBorder="1"/>
    <xf numFmtId="1" fontId="4" fillId="0" borderId="1" xfId="0" applyNumberFormat="1" applyFont="1" applyBorder="1"/>
    <xf numFmtId="0" fontId="4" fillId="0" borderId="0" xfId="0" applyFont="1"/>
    <xf numFmtId="165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165" fontId="5" fillId="0" borderId="1" xfId="0" applyNumberFormat="1" applyFont="1" applyBorder="1"/>
    <xf numFmtId="0" fontId="4" fillId="0" borderId="0" xfId="0" applyFont="1" applyAlignment="1">
      <alignment vertical="top" wrapText="1"/>
    </xf>
    <xf numFmtId="3" fontId="5" fillId="0" borderId="0" xfId="0" applyNumberFormat="1" applyFont="1"/>
    <xf numFmtId="0" fontId="5" fillId="2" borderId="0" xfId="0" applyFont="1" applyFill="1"/>
    <xf numFmtId="0" fontId="0" fillId="2" borderId="0" xfId="0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2" customWidth="1"/>
    <col min="4" max="4" width="46" customWidth="1"/>
    <col min="5" max="6" width="18" customWidth="1"/>
    <col min="7" max="7" width="14" customWidth="1"/>
    <col min="8" max="9" width="22" customWidth="1"/>
    <col min="10" max="10" width="18" customWidth="1"/>
    <col min="11" max="11" width="1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5">
        <v>3580753</v>
      </c>
      <c r="G5" s="5">
        <f>F5/655.957</f>
      </c>
      <c r="H5" s="4" t="s">
        <v>13</v>
      </c>
      <c r="I5" s="4" t="s">
        <v>18</v>
      </c>
      <c r="J5" s="5">
        <v>3580753</v>
      </c>
      <c r="K5" s="5">
        <f>F5-J5</f>
      </c>
    </row>
    <row r="6" spans="1:11" x14ac:dyDescent="0.25">
      <c r="A6" s="4" t="s">
        <v>13</v>
      </c>
      <c r="B6" s="4" t="s">
        <v>19</v>
      </c>
      <c r="C6" s="4" t="s">
        <v>20</v>
      </c>
      <c r="D6" s="4" t="s">
        <v>21</v>
      </c>
      <c r="E6" s="4" t="s">
        <v>17</v>
      </c>
      <c r="F6" s="5">
        <v>24751125</v>
      </c>
      <c r="G6" s="5">
        <f>F6/655.957</f>
      </c>
      <c r="H6" s="4" t="s">
        <v>13</v>
      </c>
      <c r="I6" s="4" t="s">
        <v>22</v>
      </c>
      <c r="J6" s="5">
        <v>24751125</v>
      </c>
      <c r="K6" s="5">
        <f>F6-J6</f>
      </c>
    </row>
    <row r="7" spans="1:11" x14ac:dyDescent="0.25">
      <c r="A7" s="4" t="s">
        <v>13</v>
      </c>
      <c r="B7" s="4" t="s">
        <v>23</v>
      </c>
      <c r="C7" s="4" t="s">
        <v>24</v>
      </c>
      <c r="D7" s="4" t="s">
        <v>21</v>
      </c>
      <c r="E7" s="4" t="s">
        <v>17</v>
      </c>
      <c r="F7" s="5">
        <v>368235073</v>
      </c>
      <c r="G7" s="5">
        <f>F7/655.957</f>
      </c>
      <c r="H7" s="4" t="s">
        <v>13</v>
      </c>
      <c r="I7" s="4" t="s">
        <v>25</v>
      </c>
      <c r="J7" s="5">
        <v>368235073</v>
      </c>
      <c r="K7" s="5">
        <f>F7-J7</f>
      </c>
    </row>
    <row r="8" spans="1:11" x14ac:dyDescent="0.25">
      <c r="A8" s="4" t="s">
        <v>26</v>
      </c>
      <c r="B8" s="4" t="s">
        <v>14</v>
      </c>
      <c r="C8" s="4" t="s">
        <v>27</v>
      </c>
      <c r="D8" s="4" t="s">
        <v>21</v>
      </c>
      <c r="E8" s="4" t="s">
        <v>17</v>
      </c>
      <c r="F8" s="5">
        <v>8429337</v>
      </c>
      <c r="G8" s="5">
        <f>F8/655.957</f>
      </c>
      <c r="H8" s="4" t="s">
        <v>26</v>
      </c>
      <c r="I8" s="4" t="s">
        <v>28</v>
      </c>
      <c r="J8" s="5">
        <v>8429337</v>
      </c>
      <c r="K8" s="5">
        <f>F8-J8</f>
      </c>
    </row>
    <row r="9" spans="1:11" x14ac:dyDescent="0.25">
      <c r="A9" s="4" t="s">
        <v>26</v>
      </c>
      <c r="B9" s="4" t="s">
        <v>19</v>
      </c>
      <c r="C9" s="4" t="s">
        <v>29</v>
      </c>
      <c r="D9" s="4" t="s">
        <v>21</v>
      </c>
      <c r="E9" s="4" t="s">
        <v>17</v>
      </c>
      <c r="F9" s="5">
        <v>227694317</v>
      </c>
      <c r="G9" s="5">
        <f>F9/655.957</f>
      </c>
      <c r="H9" s="4" t="s">
        <v>26</v>
      </c>
      <c r="I9" s="4" t="s">
        <v>30</v>
      </c>
      <c r="J9" s="5">
        <v>227694317</v>
      </c>
      <c r="K9" s="5">
        <f>F9-J9</f>
      </c>
    </row>
    <row r="10" spans="1:11" x14ac:dyDescent="0.25">
      <c r="A10" s="4" t="s">
        <v>31</v>
      </c>
      <c r="B10" s="4" t="s">
        <v>14</v>
      </c>
      <c r="C10" s="4" t="s">
        <v>32</v>
      </c>
      <c r="D10" s="4" t="s">
        <v>21</v>
      </c>
      <c r="E10" s="4" t="s">
        <v>17</v>
      </c>
      <c r="F10" s="5">
        <v>58193022</v>
      </c>
      <c r="G10" s="5">
        <f>F10/655.957</f>
      </c>
      <c r="H10" s="4" t="s">
        <v>31</v>
      </c>
      <c r="I10" s="4" t="s">
        <v>33</v>
      </c>
      <c r="J10" s="5">
        <v>58193022</v>
      </c>
      <c r="K10" s="5">
        <f>F10-J10</f>
      </c>
    </row>
    <row r="11" spans="1:11" x14ac:dyDescent="0.25">
      <c r="A11" s="4" t="s">
        <v>31</v>
      </c>
      <c r="B11" s="4" t="s">
        <v>23</v>
      </c>
      <c r="C11" s="4" t="s">
        <v>34</v>
      </c>
      <c r="D11" s="4" t="s">
        <v>21</v>
      </c>
      <c r="E11" s="4" t="s">
        <v>17</v>
      </c>
      <c r="F11" s="5">
        <v>62000</v>
      </c>
      <c r="G11" s="5">
        <f>F11/655.957</f>
      </c>
      <c r="H11" s="4" t="s">
        <v>31</v>
      </c>
      <c r="I11" s="4" t="s">
        <v>35</v>
      </c>
      <c r="J11" s="5">
        <v>62000</v>
      </c>
      <c r="K11" s="5">
        <f>F11-J11</f>
      </c>
    </row>
    <row r="12" spans="1:11" x14ac:dyDescent="0.25">
      <c r="A12" s="4" t="s">
        <v>36</v>
      </c>
      <c r="B12" s="4" t="s">
        <v>14</v>
      </c>
      <c r="C12" s="4" t="s">
        <v>37</v>
      </c>
      <c r="D12" s="4" t="s">
        <v>21</v>
      </c>
      <c r="E12" s="4" t="s">
        <v>17</v>
      </c>
      <c r="F12" s="5">
        <v>1473216</v>
      </c>
      <c r="G12" s="5">
        <f>F12/655.957</f>
      </c>
      <c r="H12" s="4" t="s">
        <v>36</v>
      </c>
      <c r="I12" s="4" t="s">
        <v>38</v>
      </c>
      <c r="J12" s="5">
        <v>1473216</v>
      </c>
      <c r="K12" s="5">
        <f>F12-J12</f>
      </c>
    </row>
    <row r="13" spans="1:11" x14ac:dyDescent="0.25">
      <c r="A13" s="4" t="s">
        <v>36</v>
      </c>
      <c r="B13" s="4" t="s">
        <v>39</v>
      </c>
      <c r="C13" s="4" t="s">
        <v>40</v>
      </c>
      <c r="D13" s="4" t="s">
        <v>41</v>
      </c>
      <c r="E13" s="4" t="s">
        <v>42</v>
      </c>
      <c r="F13" s="5">
        <v>1771977229</v>
      </c>
      <c r="G13" s="5">
        <f>F13/655.957</f>
      </c>
      <c r="H13" s="4" t="s">
        <v>43</v>
      </c>
      <c r="I13" s="4" t="s">
        <v>44</v>
      </c>
      <c r="J13" s="5">
        <v>1771977229</v>
      </c>
      <c r="K13" s="5">
        <f>F13-J13</f>
      </c>
    </row>
    <row r="14" spans="1:11" x14ac:dyDescent="0.25">
      <c r="A14" s="4" t="s">
        <v>45</v>
      </c>
      <c r="B14" s="4" t="s">
        <v>46</v>
      </c>
      <c r="C14" s="4" t="s">
        <v>47</v>
      </c>
      <c r="D14" s="4" t="s">
        <v>21</v>
      </c>
      <c r="E14" s="4" t="s">
        <v>17</v>
      </c>
      <c r="F14" s="5">
        <v>897338</v>
      </c>
      <c r="G14" s="5">
        <f>F14/655.957</f>
      </c>
      <c r="H14" s="4" t="s">
        <v>45</v>
      </c>
      <c r="I14" s="4" t="s">
        <v>48</v>
      </c>
      <c r="J14" s="5">
        <v>897338</v>
      </c>
      <c r="K14" s="5">
        <f>F14-J14</f>
      </c>
    </row>
    <row r="15" spans="1:11" x14ac:dyDescent="0.25">
      <c r="A15" s="4" t="s">
        <v>45</v>
      </c>
      <c r="B15" s="4" t="s">
        <v>49</v>
      </c>
      <c r="C15" s="4" t="s">
        <v>50</v>
      </c>
      <c r="D15" s="4" t="s">
        <v>21</v>
      </c>
      <c r="E15" s="4" t="s">
        <v>17</v>
      </c>
      <c r="F15" s="5">
        <v>5375161</v>
      </c>
      <c r="G15" s="5">
        <f>F15/655.957</f>
      </c>
      <c r="H15" s="4" t="s">
        <v>45</v>
      </c>
      <c r="I15" s="4" t="s">
        <v>51</v>
      </c>
      <c r="J15" s="5">
        <v>5375161</v>
      </c>
      <c r="K15" s="5">
        <f>F15-J15</f>
      </c>
    </row>
    <row r="16" spans="1:11" x14ac:dyDescent="0.25">
      <c r="A16" s="4" t="s">
        <v>45</v>
      </c>
      <c r="B16" s="4" t="s">
        <v>49</v>
      </c>
      <c r="C16" s="4" t="s">
        <v>52</v>
      </c>
      <c r="D16" s="4" t="s">
        <v>53</v>
      </c>
      <c r="E16" s="4" t="s">
        <v>17</v>
      </c>
      <c r="F16" s="5">
        <v>22569647</v>
      </c>
      <c r="G16" s="5">
        <f>F16/655.957</f>
      </c>
      <c r="H16" s="4" t="s">
        <v>45</v>
      </c>
      <c r="I16" s="4" t="s">
        <v>54</v>
      </c>
      <c r="J16" s="5">
        <v>22569647</v>
      </c>
      <c r="K16" s="5">
        <f>F16-J16</f>
      </c>
    </row>
    <row r="17" spans="1:11" x14ac:dyDescent="0.25">
      <c r="A17" s="4" t="s">
        <v>45</v>
      </c>
      <c r="B17" s="4" t="s">
        <v>49</v>
      </c>
      <c r="C17" s="4" t="s">
        <v>55</v>
      </c>
      <c r="D17" s="4" t="s">
        <v>53</v>
      </c>
      <c r="E17" s="4" t="s">
        <v>17</v>
      </c>
      <c r="F17" s="5">
        <v>227288</v>
      </c>
      <c r="G17" s="5">
        <f>F17/655.957</f>
      </c>
      <c r="H17" s="4" t="s">
        <v>45</v>
      </c>
      <c r="I17" s="4" t="s">
        <v>56</v>
      </c>
      <c r="J17" s="5">
        <v>227288</v>
      </c>
      <c r="K17" s="5">
        <f>F17-J17</f>
      </c>
    </row>
    <row r="18" spans="1:11" x14ac:dyDescent="0.25">
      <c r="A18" s="4" t="s">
        <v>45</v>
      </c>
      <c r="B18" s="4" t="s">
        <v>23</v>
      </c>
      <c r="C18" s="4" t="s">
        <v>57</v>
      </c>
      <c r="D18" s="4" t="s">
        <v>21</v>
      </c>
      <c r="E18" s="4" t="s">
        <v>17</v>
      </c>
      <c r="F18" s="5">
        <v>62000</v>
      </c>
      <c r="G18" s="5">
        <f>F18/655.957</f>
      </c>
      <c r="H18" s="4" t="s">
        <v>45</v>
      </c>
      <c r="I18" s="4" t="s">
        <v>58</v>
      </c>
      <c r="J18" s="5">
        <v>62000</v>
      </c>
      <c r="K18" s="5">
        <f>F18-J18</f>
      </c>
    </row>
    <row r="19" spans="1:11" x14ac:dyDescent="0.25">
      <c r="A19" s="4" t="s">
        <v>59</v>
      </c>
      <c r="B19" s="4" t="s">
        <v>14</v>
      </c>
      <c r="C19" s="4" t="s">
        <v>60</v>
      </c>
      <c r="D19" s="4" t="s">
        <v>21</v>
      </c>
      <c r="E19" s="4" t="s">
        <v>17</v>
      </c>
      <c r="F19" s="5">
        <v>35011732</v>
      </c>
      <c r="G19" s="5">
        <f>F19/655.957</f>
      </c>
      <c r="H19" s="4" t="s">
        <v>59</v>
      </c>
      <c r="I19" s="4" t="s">
        <v>61</v>
      </c>
      <c r="J19" s="5">
        <v>35011732</v>
      </c>
      <c r="K19" s="5">
        <f>F19-J19</f>
      </c>
    </row>
    <row r="20" spans="1:11" x14ac:dyDescent="0.25">
      <c r="A20" s="4" t="s">
        <v>59</v>
      </c>
      <c r="B20" s="4" t="s">
        <v>23</v>
      </c>
      <c r="C20" s="4" t="s">
        <v>62</v>
      </c>
      <c r="D20" s="4" t="s">
        <v>21</v>
      </c>
      <c r="E20" s="4" t="s">
        <v>17</v>
      </c>
      <c r="F20" s="5">
        <v>62000</v>
      </c>
      <c r="G20" s="5">
        <f>F20/655.957</f>
      </c>
      <c r="H20" s="4" t="s">
        <v>59</v>
      </c>
      <c r="I20" s="4" t="s">
        <v>63</v>
      </c>
      <c r="J20" s="5">
        <v>62000</v>
      </c>
      <c r="K20" s="5">
        <f>F20-J20</f>
      </c>
    </row>
    <row r="21" spans="1:11" x14ac:dyDescent="0.25">
      <c r="A21" s="4" t="s">
        <v>64</v>
      </c>
      <c r="B21" s="4" t="s">
        <v>14</v>
      </c>
      <c r="C21" s="4" t="s">
        <v>65</v>
      </c>
      <c r="D21" s="4" t="s">
        <v>21</v>
      </c>
      <c r="E21" s="4" t="s">
        <v>17</v>
      </c>
      <c r="F21" s="5">
        <v>-74342</v>
      </c>
      <c r="G21" s="5">
        <f>F21/655.957</f>
      </c>
      <c r="H21" s="4" t="s">
        <v>64</v>
      </c>
      <c r="I21" s="4" t="s">
        <v>66</v>
      </c>
      <c r="J21" s="5">
        <v>-74342</v>
      </c>
      <c r="K21" s="5">
        <f>F21-J21</f>
      </c>
    </row>
    <row r="22" spans="1:11" x14ac:dyDescent="0.25">
      <c r="A22" s="4" t="s">
        <v>64</v>
      </c>
      <c r="B22" s="4" t="s">
        <v>23</v>
      </c>
      <c r="C22" s="4" t="s">
        <v>67</v>
      </c>
      <c r="D22" s="4" t="s">
        <v>21</v>
      </c>
      <c r="E22" s="4" t="s">
        <v>17</v>
      </c>
      <c r="F22" s="5">
        <v>62000</v>
      </c>
      <c r="G22" s="5">
        <f>F22/655.957</f>
      </c>
      <c r="H22" s="4" t="s">
        <v>64</v>
      </c>
      <c r="I22" s="4" t="s">
        <v>68</v>
      </c>
      <c r="J22" s="5">
        <v>62000</v>
      </c>
      <c r="K22" s="5">
        <f>F22-J22</f>
      </c>
    </row>
    <row r="23" spans="1:11" x14ac:dyDescent="0.25">
      <c r="A23" s="4" t="s">
        <v>69</v>
      </c>
      <c r="B23" s="4" t="s">
        <v>14</v>
      </c>
      <c r="C23" s="4" t="s">
        <v>70</v>
      </c>
      <c r="D23" s="4" t="s">
        <v>21</v>
      </c>
      <c r="E23" s="4" t="s">
        <v>17</v>
      </c>
      <c r="F23" s="5">
        <v>11670561</v>
      </c>
      <c r="G23" s="5">
        <f>F23/655.957</f>
      </c>
      <c r="H23" s="4" t="s">
        <v>69</v>
      </c>
      <c r="I23" s="4" t="s">
        <v>71</v>
      </c>
      <c r="J23" s="5">
        <v>11670561</v>
      </c>
      <c r="K23" s="5">
        <f>F23-J23</f>
      </c>
    </row>
    <row r="24" spans="1:11" x14ac:dyDescent="0.25">
      <c r="A24" s="4" t="s">
        <v>69</v>
      </c>
      <c r="B24" s="4" t="s">
        <v>23</v>
      </c>
      <c r="C24" s="4" t="s">
        <v>72</v>
      </c>
      <c r="D24" s="4" t="s">
        <v>21</v>
      </c>
      <c r="E24" s="4" t="s">
        <v>17</v>
      </c>
      <c r="F24" s="5">
        <v>36000</v>
      </c>
      <c r="G24" s="5">
        <f>F24/655.957</f>
      </c>
      <c r="H24" s="4" t="s">
        <v>69</v>
      </c>
      <c r="I24" s="4" t="s">
        <v>73</v>
      </c>
      <c r="J24" s="5">
        <v>36000</v>
      </c>
      <c r="K24" s="5">
        <f>F24-J24</f>
      </c>
    </row>
    <row r="25" spans="1:11" x14ac:dyDescent="0.25">
      <c r="A25" s="4" t="s">
        <v>69</v>
      </c>
      <c r="B25" s="4" t="s">
        <v>74</v>
      </c>
      <c r="C25" s="4" t="s">
        <v>75</v>
      </c>
      <c r="D25" s="4" t="s">
        <v>21</v>
      </c>
      <c r="E25" s="4" t="s">
        <v>17</v>
      </c>
      <c r="F25" s="5">
        <v>58000</v>
      </c>
      <c r="G25" s="5">
        <f>F25/655.957</f>
      </c>
      <c r="H25" s="4" t="s">
        <v>69</v>
      </c>
      <c r="I25" s="4" t="s">
        <v>76</v>
      </c>
      <c r="J25" s="5">
        <v>58000</v>
      </c>
      <c r="K25" s="5">
        <f>F25-J25</f>
      </c>
    </row>
    <row r="26" spans="1:11" x14ac:dyDescent="0.25">
      <c r="A26" s="4" t="s">
        <v>77</v>
      </c>
      <c r="B26" s="4" t="s">
        <v>78</v>
      </c>
      <c r="C26" s="4" t="s">
        <v>79</v>
      </c>
      <c r="D26" s="4" t="s">
        <v>21</v>
      </c>
      <c r="E26" s="4" t="s">
        <v>17</v>
      </c>
      <c r="F26" s="5">
        <v>2751880</v>
      </c>
      <c r="G26" s="5">
        <f>F26/655.957</f>
      </c>
      <c r="H26" s="4" t="s">
        <v>77</v>
      </c>
      <c r="I26" s="4" t="s">
        <v>80</v>
      </c>
      <c r="J26" s="5">
        <v>2751880</v>
      </c>
      <c r="K26" s="5">
        <f>F26-J26</f>
      </c>
    </row>
    <row r="27" spans="1:11" x14ac:dyDescent="0.25">
      <c r="A27" s="4" t="s">
        <v>81</v>
      </c>
      <c r="B27" s="4" t="s">
        <v>14</v>
      </c>
      <c r="C27" s="4" t="s">
        <v>82</v>
      </c>
      <c r="D27" s="4" t="s">
        <v>21</v>
      </c>
      <c r="E27" s="4" t="s">
        <v>17</v>
      </c>
      <c r="F27" s="5">
        <v>6062002</v>
      </c>
      <c r="G27" s="5">
        <f>F27/655.957</f>
      </c>
      <c r="H27" s="4" t="s">
        <v>81</v>
      </c>
      <c r="I27" s="4" t="s">
        <v>83</v>
      </c>
      <c r="J27" s="5">
        <v>6062002</v>
      </c>
      <c r="K27" s="5">
        <f>F27-J27</f>
      </c>
    </row>
    <row r="28" spans="1:11" x14ac:dyDescent="0.25">
      <c r="A28" s="4" t="s">
        <v>36</v>
      </c>
      <c r="B28" s="4" t="s">
        <v>39</v>
      </c>
      <c r="C28" s="4" t="s">
        <v>84</v>
      </c>
      <c r="D28" s="4" t="s">
        <v>85</v>
      </c>
      <c r="E28" s="4" t="s">
        <v>42</v>
      </c>
      <c r="F28" s="5">
        <v>2643139493</v>
      </c>
      <c r="G28" s="5">
        <f>F28/655.957</f>
      </c>
      <c r="H28" s="4" t="s">
        <v>86</v>
      </c>
      <c r="I28" s="4" t="s">
        <v>87</v>
      </c>
      <c r="J28" s="5">
        <v>2643139493</v>
      </c>
      <c r="K28" s="5">
        <f>F28-J28</f>
      </c>
    </row>
    <row r="29" spans="1:11" x14ac:dyDescent="0.25">
      <c r="A29" s="4" t="s">
        <v>31</v>
      </c>
      <c r="B29" s="4" t="s">
        <v>39</v>
      </c>
      <c r="C29" s="4" t="s">
        <v>88</v>
      </c>
      <c r="D29" s="4" t="s">
        <v>85</v>
      </c>
      <c r="E29" s="4" t="s">
        <v>42</v>
      </c>
      <c r="F29" s="5">
        <v>1481904490</v>
      </c>
      <c r="G29" s="5">
        <f>F29/655.957</f>
      </c>
      <c r="H29" s="4" t="s">
        <v>89</v>
      </c>
      <c r="I29" s="4" t="s">
        <v>90</v>
      </c>
      <c r="J29" s="5">
        <v>1481904490</v>
      </c>
      <c r="K29" s="5">
        <f>F29-J29</f>
      </c>
    </row>
    <row r="30" spans="1:11" x14ac:dyDescent="0.25">
      <c r="A30" s="4" t="s">
        <v>45</v>
      </c>
      <c r="B30" s="4" t="s">
        <v>74</v>
      </c>
      <c r="C30" s="4" t="s">
        <v>91</v>
      </c>
      <c r="D30" s="4" t="s">
        <v>92</v>
      </c>
      <c r="E30" s="4" t="s">
        <v>42</v>
      </c>
      <c r="F30" s="5">
        <v>76268390</v>
      </c>
      <c r="G30" s="5">
        <f>F30/655.957</f>
      </c>
      <c r="H30" s="4" t="s">
        <v>93</v>
      </c>
      <c r="I30" s="4" t="s">
        <v>94</v>
      </c>
      <c r="J30" s="5">
        <v>76268390</v>
      </c>
      <c r="K30" s="5">
        <f>F30-J30</f>
      </c>
    </row>
    <row r="31" spans="1:7" x14ac:dyDescent="0.25">
      <c r="A31" s="6" t="s">
        <v>95</v>
      </c>
      <c r="F31" s="7">
        <f>SUM(F5:F30)</f>
      </c>
      <c r="G31" s="7">
        <f>SUM(G5:G30)</f>
      </c>
    </row>
    <row r="34" spans="1:1" x14ac:dyDescent="0.25">
      <c r="A34" s="8" t="s">
        <v>96</v>
      </c>
    </row>
    <row r="35" spans="1:10" x14ac:dyDescent="0.25">
      <c r="A35" s="9" t="s">
        <v>26</v>
      </c>
      <c r="B35" s="9" t="s">
        <v>19</v>
      </c>
      <c r="C35" s="9" t="s">
        <v>97</v>
      </c>
      <c r="D35" s="9" t="s">
        <v>92</v>
      </c>
      <c r="E35" s="9" t="s">
        <v>98</v>
      </c>
      <c r="F35" s="10">
        <v>350727089</v>
      </c>
      <c r="G35" s="10">
        <f>F35/655.957</f>
      </c>
      <c r="H35" s="9" t="s">
        <v>74</v>
      </c>
      <c r="I35" s="9" t="s">
        <v>99</v>
      </c>
      <c r="J35" s="9">
        <v>350727089</v>
      </c>
    </row>
    <row r="36" spans="1:10" x14ac:dyDescent="0.25">
      <c r="A36" s="9" t="s">
        <v>26</v>
      </c>
      <c r="B36" s="9" t="s">
        <v>19</v>
      </c>
      <c r="C36" s="9" t="s">
        <v>100</v>
      </c>
      <c r="D36" s="9" t="s">
        <v>92</v>
      </c>
      <c r="E36" s="9" t="s">
        <v>98</v>
      </c>
      <c r="F36" s="10">
        <v>42500000</v>
      </c>
      <c r="G36" s="10">
        <f>F36/655.957</f>
      </c>
      <c r="H36" s="9" t="s">
        <v>74</v>
      </c>
      <c r="I36" s="9" t="s">
        <v>101</v>
      </c>
      <c r="J36" s="9">
        <v>42500000</v>
      </c>
    </row>
    <row r="37" spans="1:10" x14ac:dyDescent="0.25">
      <c r="A37" s="9" t="s">
        <v>26</v>
      </c>
      <c r="B37" s="9" t="s">
        <v>19</v>
      </c>
      <c r="C37" s="9" t="s">
        <v>102</v>
      </c>
      <c r="D37" s="9" t="s">
        <v>92</v>
      </c>
      <c r="E37" s="9" t="s">
        <v>98</v>
      </c>
      <c r="F37" s="10">
        <v>26289357</v>
      </c>
      <c r="G37" s="10">
        <f>F37/655.957</f>
      </c>
      <c r="H37" s="9" t="s">
        <v>74</v>
      </c>
      <c r="I37" s="9" t="s">
        <v>103</v>
      </c>
      <c r="J37" s="9">
        <v>26289357</v>
      </c>
    </row>
    <row r="38" spans="1:10" x14ac:dyDescent="0.25">
      <c r="A38" s="9" t="s">
        <v>36</v>
      </c>
      <c r="B38" s="9" t="s">
        <v>39</v>
      </c>
      <c r="C38" s="9" t="s">
        <v>104</v>
      </c>
      <c r="D38" s="9" t="s">
        <v>92</v>
      </c>
      <c r="E38" s="9" t="s">
        <v>98</v>
      </c>
      <c r="F38" s="10">
        <v>0</v>
      </c>
      <c r="G38" s="10">
        <f>F38/655.957</f>
      </c>
      <c r="H38" s="9" t="s">
        <v>74</v>
      </c>
      <c r="I38" s="9" t="s">
        <v>105</v>
      </c>
      <c r="J38" s="9">
        <v>0</v>
      </c>
    </row>
    <row r="39" spans="1:10" x14ac:dyDescent="0.25">
      <c r="A39" s="9" t="s">
        <v>36</v>
      </c>
      <c r="B39" s="9" t="s">
        <v>39</v>
      </c>
      <c r="C39" s="9" t="s">
        <v>106</v>
      </c>
      <c r="D39" s="9" t="s">
        <v>92</v>
      </c>
      <c r="E39" s="9" t="s">
        <v>98</v>
      </c>
      <c r="F39" s="10">
        <v>776110097</v>
      </c>
      <c r="G39" s="10">
        <f>F39/655.957</f>
      </c>
      <c r="H39" s="9" t="s">
        <v>74</v>
      </c>
      <c r="I39" s="9" t="s">
        <v>107</v>
      </c>
      <c r="J39" s="9">
        <v>776110097</v>
      </c>
    </row>
    <row r="40" spans="1:6" x14ac:dyDescent="0.25">
      <c r="A40" s="11" t="s">
        <v>108</v>
      </c>
      <c r="F40" s="12">
        <f>SUM(F35:F39)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/>
  </sheetViews>
  <sheetFormatPr defaultRowHeight="15" outlineLevelRow="0" outlineLevelCol="0" x14ac:dyDescent="55"/>
  <cols>
    <col min="1" max="1" width="70" customWidth="1"/>
    <col min="2" max="2" width="22" customWidth="1"/>
    <col min="3" max="3" width="18" customWidth="1"/>
    <col min="4" max="4" width="16" customWidth="1"/>
    <col min="5" max="5" width="60" customWidth="1"/>
  </cols>
  <sheetData>
    <row r="1" spans="1:1" x14ac:dyDescent="0.25">
      <c r="A1" s="1" t="s">
        <v>109</v>
      </c>
    </row>
    <row r="3" spans="1:1" x14ac:dyDescent="0.25">
      <c r="A3" s="8" t="s">
        <v>110</v>
      </c>
    </row>
    <row r="4" spans="1:5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</row>
    <row r="5" spans="1:5" x14ac:dyDescent="0.25">
      <c r="A5" s="4" t="s">
        <v>116</v>
      </c>
      <c r="B5" s="5">
        <v>6750479712</v>
      </c>
      <c r="C5" s="5">
        <v>6750479712</v>
      </c>
      <c r="D5" s="5">
        <f>B5-C5</f>
      </c>
      <c r="E5" s="4" t="s">
        <v>117</v>
      </c>
    </row>
    <row r="7" spans="1:1" x14ac:dyDescent="0.25">
      <c r="A7" s="8" t="s">
        <v>118</v>
      </c>
    </row>
    <row r="8" spans="1:5" x14ac:dyDescent="0.25">
      <c r="A8" s="3" t="s">
        <v>2</v>
      </c>
      <c r="B8" s="3" t="s">
        <v>119</v>
      </c>
      <c r="C8" s="3" t="s">
        <v>120</v>
      </c>
      <c r="D8" s="3" t="s">
        <v>114</v>
      </c>
      <c r="E8" s="3" t="s">
        <v>115</v>
      </c>
    </row>
    <row r="9" spans="1:5" x14ac:dyDescent="0.25">
      <c r="A9" s="4" t="s">
        <v>13</v>
      </c>
      <c r="B9" s="13">
        <v>296.577239</v>
      </c>
      <c r="C9" s="13">
        <v>296.577239</v>
      </c>
      <c r="D9" s="13">
        <f>B9-C9</f>
      </c>
      <c r="E9" s="4" t="s">
        <v>121</v>
      </c>
    </row>
    <row r="10" spans="1:5" x14ac:dyDescent="0.25">
      <c r="A10" s="4" t="s">
        <v>26</v>
      </c>
      <c r="B10" s="13">
        <v>540.96835821294</v>
      </c>
      <c r="C10" s="13">
        <v>540.96835821294</v>
      </c>
      <c r="D10" s="13">
        <f>B10-C10</f>
      </c>
      <c r="E10" s="4" t="s">
        <v>121</v>
      </c>
    </row>
    <row r="11" spans="1:5" x14ac:dyDescent="0.25">
      <c r="A11" s="4" t="s">
        <v>31</v>
      </c>
      <c r="B11" s="13">
        <v>264.633898</v>
      </c>
      <c r="C11" s="13">
        <v>264.633898</v>
      </c>
      <c r="D11" s="13">
        <f>B11-C11</f>
      </c>
      <c r="E11" s="4" t="s">
        <v>121</v>
      </c>
    </row>
    <row r="12" spans="1:5" x14ac:dyDescent="0.25">
      <c r="A12" s="4" t="s">
        <v>36</v>
      </c>
      <c r="B12" s="13">
        <v>88.788492</v>
      </c>
      <c r="C12" s="13">
        <v>88.788492</v>
      </c>
      <c r="D12" s="13">
        <f>B12-C12</f>
      </c>
      <c r="E12" s="4" t="s">
        <v>121</v>
      </c>
    </row>
    <row r="13" spans="1:5" x14ac:dyDescent="0.25">
      <c r="A13" s="4" t="s">
        <v>122</v>
      </c>
      <c r="B13" s="13">
        <v>50.022534</v>
      </c>
      <c r="C13" s="13">
        <v>50.022534</v>
      </c>
      <c r="D13" s="13">
        <f>B13-C13</f>
      </c>
      <c r="E13" s="4" t="s">
        <v>121</v>
      </c>
    </row>
    <row r="14" spans="1:5" x14ac:dyDescent="0.25">
      <c r="A14" s="4" t="s">
        <v>69</v>
      </c>
      <c r="B14" s="13">
        <v>77.778338</v>
      </c>
      <c r="C14" s="13">
        <v>77.778338</v>
      </c>
      <c r="D14" s="13">
        <f>B14-C14</f>
      </c>
      <c r="E14" s="4" t="s">
        <v>121</v>
      </c>
    </row>
    <row r="15" spans="1:5" x14ac:dyDescent="0.25">
      <c r="A15" s="4" t="s">
        <v>59</v>
      </c>
      <c r="B15" s="13">
        <v>233.763463</v>
      </c>
      <c r="C15" s="13">
        <v>233.763463</v>
      </c>
      <c r="D15" s="13">
        <f>B15-C15</f>
      </c>
      <c r="E15" s="4" t="s">
        <v>121</v>
      </c>
    </row>
    <row r="16" spans="1:5" x14ac:dyDescent="0.25">
      <c r="A16" s="4" t="s">
        <v>81</v>
      </c>
      <c r="B16" s="13">
        <v>9.5751</v>
      </c>
      <c r="C16" s="13">
        <v>9.5751</v>
      </c>
      <c r="D16" s="13">
        <f>B16-C16</f>
      </c>
      <c r="E16" s="4" t="s">
        <v>121</v>
      </c>
    </row>
    <row r="17" spans="1:5" x14ac:dyDescent="0.25">
      <c r="A17" s="4" t="s">
        <v>64</v>
      </c>
      <c r="B17" s="13">
        <v>6.289</v>
      </c>
      <c r="C17" s="13">
        <v>6.289</v>
      </c>
      <c r="D17" s="13">
        <f>B17-C17</f>
      </c>
      <c r="E17" s="4" t="s">
        <v>121</v>
      </c>
    </row>
    <row r="19" spans="1:1" x14ac:dyDescent="0.25">
      <c r="A19" s="8" t="s">
        <v>123</v>
      </c>
    </row>
    <row r="20" spans="1:5" x14ac:dyDescent="0.25">
      <c r="A20" s="3" t="s">
        <v>124</v>
      </c>
      <c r="B20" s="3" t="s">
        <v>112</v>
      </c>
      <c r="C20" s="3" t="s">
        <v>125</v>
      </c>
      <c r="D20" s="3" t="s">
        <v>114</v>
      </c>
      <c r="E20" s="3" t="s">
        <v>10</v>
      </c>
    </row>
    <row r="21" spans="1:5" x14ac:dyDescent="0.25">
      <c r="A21" s="4" t="s">
        <v>126</v>
      </c>
      <c r="B21" s="5">
        <v>4946194.15</v>
      </c>
      <c r="C21" s="5">
        <v>4946194.15</v>
      </c>
      <c r="D21" s="5">
        <f>B21-C21</f>
      </c>
      <c r="E21" s="4" t="s">
        <v>127</v>
      </c>
    </row>
    <row r="22" spans="1:5" x14ac:dyDescent="0.25">
      <c r="A22" s="4" t="s">
        <v>128</v>
      </c>
      <c r="B22" s="5">
        <v>4097563.74</v>
      </c>
      <c r="C22" s="5">
        <v>4097563.74</v>
      </c>
      <c r="D22" s="5">
        <f>B22-C22</f>
      </c>
      <c r="E22" s="4" t="s">
        <v>129</v>
      </c>
    </row>
    <row r="24" spans="1:1" x14ac:dyDescent="0.25">
      <c r="A24" s="8" t="s">
        <v>130</v>
      </c>
    </row>
    <row r="25" spans="1:5" x14ac:dyDescent="0.25">
      <c r="A25" s="3" t="s">
        <v>131</v>
      </c>
      <c r="B25" s="3" t="s">
        <v>132</v>
      </c>
      <c r="C25" s="3" t="s">
        <v>133</v>
      </c>
      <c r="D25" s="3" t="s">
        <v>74</v>
      </c>
      <c r="E25" s="3" t="s">
        <v>134</v>
      </c>
    </row>
    <row r="26" spans="1:5" x14ac:dyDescent="0.25">
      <c r="A26" s="4" t="s">
        <v>135</v>
      </c>
      <c r="B26" s="5">
        <v>-13254203304</v>
      </c>
      <c r="C26" s="14">
        <v>17</v>
      </c>
      <c r="D26" s="4" t="s">
        <v>74</v>
      </c>
      <c r="E26" s="4" t="s">
        <v>136</v>
      </c>
    </row>
    <row r="27" spans="1:5" x14ac:dyDescent="0.25">
      <c r="A27" s="4" t="s">
        <v>137</v>
      </c>
      <c r="B27" s="5">
        <v>-1715342550</v>
      </c>
      <c r="C27" s="14">
        <v>5</v>
      </c>
      <c r="D27" s="4" t="s">
        <v>74</v>
      </c>
      <c r="E27" s="4" t="s">
        <v>136</v>
      </c>
    </row>
    <row r="28" spans="1:5" x14ac:dyDescent="0.25">
      <c r="A28" s="4" t="s">
        <v>138</v>
      </c>
      <c r="B28" s="5">
        <v>6113285</v>
      </c>
      <c r="C28" s="14">
        <v>1</v>
      </c>
      <c r="D28" s="4" t="s">
        <v>74</v>
      </c>
      <c r="E28" s="4" t="s">
        <v>136</v>
      </c>
    </row>
    <row r="29" spans="1:5" x14ac:dyDescent="0.25">
      <c r="A29" s="4" t="s">
        <v>139</v>
      </c>
      <c r="B29" s="5">
        <v>-220402934</v>
      </c>
      <c r="C29" s="14">
        <v>2</v>
      </c>
      <c r="D29" s="4" t="s">
        <v>74</v>
      </c>
      <c r="E29" s="4" t="s">
        <v>140</v>
      </c>
    </row>
    <row r="31" spans="1:1" x14ac:dyDescent="0.25">
      <c r="A31" s="8" t="s">
        <v>141</v>
      </c>
    </row>
    <row r="32" spans="1:1" x14ac:dyDescent="0.25">
      <c r="A32" s="15" t="s">
        <v>142</v>
      </c>
    </row>
    <row r="33" spans="1:1" x14ac:dyDescent="0.25">
      <c r="A33" s="1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14" customWidth="1"/>
    <col min="4" max="4" width="12" customWidth="1"/>
    <col min="5" max="9" width="14" customWidth="1"/>
    <col min="10" max="10" width="70" customWidth="1"/>
  </cols>
  <sheetData>
    <row r="1" spans="1:1" x14ac:dyDescent="0.25">
      <c r="A1" s="1" t="s">
        <v>144</v>
      </c>
    </row>
    <row r="3" spans="1:1" x14ac:dyDescent="0.25">
      <c r="A3" s="8" t="s">
        <v>145</v>
      </c>
    </row>
    <row r="4" spans="1:10" x14ac:dyDescent="0.25">
      <c r="A4" s="3" t="s">
        <v>2</v>
      </c>
      <c r="B4" s="3" t="s">
        <v>146</v>
      </c>
      <c r="C4" s="3" t="s">
        <v>147</v>
      </c>
      <c r="D4" s="3" t="s">
        <v>114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</row>
    <row r="5" spans="1:10" x14ac:dyDescent="0.25">
      <c r="A5" s="4" t="s">
        <v>13</v>
      </c>
      <c r="B5" s="16">
        <v>296.57723899999996</v>
      </c>
      <c r="C5" s="16">
        <v>296.57723899999996</v>
      </c>
      <c r="D5" s="16">
        <v>0</v>
      </c>
      <c r="E5" s="16">
        <v>396.566951</v>
      </c>
      <c r="F5" s="16">
        <v>396.566951</v>
      </c>
      <c r="G5" s="16">
        <v>99.98971200000005</v>
      </c>
      <c r="H5" s="16">
        <v>99.98971200000005</v>
      </c>
      <c r="I5" s="16">
        <v>0</v>
      </c>
      <c r="J5" s="17" t="s">
        <v>154</v>
      </c>
    </row>
    <row r="6" spans="1:10" x14ac:dyDescent="0.25">
      <c r="A6" s="4" t="s">
        <v>26</v>
      </c>
      <c r="B6" s="16">
        <v>540.96835821294</v>
      </c>
      <c r="C6" s="16">
        <v>540.96835821294</v>
      </c>
      <c r="D6" s="16">
        <v>0</v>
      </c>
      <c r="E6" s="16">
        <v>236.123654</v>
      </c>
      <c r="F6" s="16">
        <v>236.123654</v>
      </c>
      <c r="G6" s="16">
        <v>-175.27643898293996</v>
      </c>
      <c r="H6" s="16">
        <v>-175.27643898294002</v>
      </c>
      <c r="I6" s="16">
        <v>-5.684341886080802e-14</v>
      </c>
      <c r="J6" s="17" t="s">
        <v>154</v>
      </c>
    </row>
    <row r="7" spans="1:10" x14ac:dyDescent="0.25">
      <c r="A7" s="4" t="s">
        <v>31</v>
      </c>
      <c r="B7" s="16">
        <v>264.633898</v>
      </c>
      <c r="C7" s="16">
        <v>264.633898</v>
      </c>
      <c r="D7" s="16">
        <v>0</v>
      </c>
      <c r="E7" s="16">
        <v>58.255022</v>
      </c>
      <c r="F7" s="16">
        <v>58.255022</v>
      </c>
      <c r="G7" s="16">
        <v>-206.378876</v>
      </c>
      <c r="H7" s="16">
        <v>-206.378876</v>
      </c>
      <c r="I7" s="16">
        <v>0</v>
      </c>
      <c r="J7" s="17" t="s">
        <v>154</v>
      </c>
    </row>
    <row r="8" spans="1:10" x14ac:dyDescent="0.25">
      <c r="A8" s="4" t="s">
        <v>36</v>
      </c>
      <c r="B8" s="16">
        <v>88.788492</v>
      </c>
      <c r="C8" s="16">
        <v>88.788492</v>
      </c>
      <c r="D8" s="16">
        <v>0</v>
      </c>
      <c r="E8" s="16">
        <v>1.473216</v>
      </c>
      <c r="F8" s="16">
        <v>1.473216</v>
      </c>
      <c r="G8" s="16">
        <v>-87.31527600000001</v>
      </c>
      <c r="H8" s="16">
        <v>-87.315276</v>
      </c>
      <c r="I8" s="16">
        <v>1.4210854715202004e-14</v>
      </c>
      <c r="J8" s="17" t="s">
        <v>154</v>
      </c>
    </row>
    <row r="9" spans="1:10" x14ac:dyDescent="0.25">
      <c r="A9" s="4" t="s">
        <v>45</v>
      </c>
      <c r="B9" s="16"/>
      <c r="C9" s="16">
        <v>178.0456286</v>
      </c>
      <c r="D9" s="16">
        <v>178.0456286</v>
      </c>
      <c r="E9" s="16"/>
      <c r="F9" s="16">
        <v>29.131434</v>
      </c>
      <c r="G9" s="16"/>
      <c r="H9" s="16">
        <v>-29.545979600000003</v>
      </c>
      <c r="I9" s="16">
        <v>-29.545979600000003</v>
      </c>
      <c r="J9" s="17" t="s">
        <v>155</v>
      </c>
    </row>
    <row r="10" spans="1:10" x14ac:dyDescent="0.25">
      <c r="A10" s="4" t="s">
        <v>59</v>
      </c>
      <c r="B10" s="16">
        <v>233.76346300000003</v>
      </c>
      <c r="C10" s="16">
        <v>233.763463</v>
      </c>
      <c r="D10" s="16">
        <v>-2.842170943040401e-14</v>
      </c>
      <c r="E10" s="16">
        <v>35.073732</v>
      </c>
      <c r="F10" s="16">
        <v>35.073732</v>
      </c>
      <c r="G10" s="16">
        <v>-198.68973100000002</v>
      </c>
      <c r="H10" s="16">
        <v>-198.689731</v>
      </c>
      <c r="I10" s="16">
        <v>2.842170943040401e-14</v>
      </c>
      <c r="J10" s="17" t="s">
        <v>154</v>
      </c>
    </row>
    <row r="11" spans="1:10" x14ac:dyDescent="0.25">
      <c r="A11" s="4" t="s">
        <v>64</v>
      </c>
      <c r="B11" s="16">
        <v>6.289</v>
      </c>
      <c r="C11" s="16">
        <v>6.289</v>
      </c>
      <c r="D11" s="16">
        <v>0</v>
      </c>
      <c r="E11" s="16">
        <v>-0.012342</v>
      </c>
      <c r="F11" s="16">
        <v>-0.012342</v>
      </c>
      <c r="G11" s="16">
        <v>-6.301342</v>
      </c>
      <c r="H11" s="16">
        <v>-6.301342</v>
      </c>
      <c r="I11" s="16">
        <v>0</v>
      </c>
      <c r="J11" s="17" t="s">
        <v>154</v>
      </c>
    </row>
    <row r="12" spans="1:10" x14ac:dyDescent="0.25">
      <c r="A12" s="4" t="s">
        <v>69</v>
      </c>
      <c r="B12" s="16">
        <v>77.77833799999999</v>
      </c>
      <c r="C12" s="16">
        <v>77.77833799999999</v>
      </c>
      <c r="D12" s="16">
        <v>0</v>
      </c>
      <c r="E12" s="16">
        <v>11.764561</v>
      </c>
      <c r="F12" s="16">
        <v>11.764561</v>
      </c>
      <c r="G12" s="16">
        <v>-66.01377699999999</v>
      </c>
      <c r="H12" s="16">
        <v>-66.013777</v>
      </c>
      <c r="I12" s="16">
        <v>-1.4210854715202004e-14</v>
      </c>
      <c r="J12" s="17" t="s">
        <v>154</v>
      </c>
    </row>
    <row r="13" spans="1:10" x14ac:dyDescent="0.25">
      <c r="A13" s="4" t="s">
        <v>77</v>
      </c>
      <c r="B13" s="16"/>
      <c r="C13" s="16">
        <v>0</v>
      </c>
      <c r="D13" s="16">
        <v>0</v>
      </c>
      <c r="E13" s="16"/>
      <c r="F13" s="16">
        <v>2.75188</v>
      </c>
      <c r="G13" s="16"/>
      <c r="H13" s="16">
        <v>2.75188</v>
      </c>
      <c r="I13" s="16">
        <v>2.75188</v>
      </c>
      <c r="J13" s="17" t="s">
        <v>156</v>
      </c>
    </row>
    <row r="14" spans="1:10" x14ac:dyDescent="0.25">
      <c r="A14" s="4" t="s">
        <v>81</v>
      </c>
      <c r="B14" s="16">
        <v>9.575099999999999</v>
      </c>
      <c r="C14" s="16">
        <v>9.575099999999999</v>
      </c>
      <c r="D14" s="16">
        <v>0</v>
      </c>
      <c r="E14" s="16">
        <v>6.062002</v>
      </c>
      <c r="F14" s="16">
        <v>6.062002</v>
      </c>
      <c r="G14" s="16">
        <v>-3.5130979999999994</v>
      </c>
      <c r="H14" s="16">
        <v>-3.513098000000001</v>
      </c>
      <c r="I14" s="16">
        <v>-1.7763568394002505e-15</v>
      </c>
      <c r="J14" s="17" t="s">
        <v>154</v>
      </c>
    </row>
    <row r="15" spans="1:10" x14ac:dyDescent="0.25">
      <c r="A15" s="4" t="s">
        <v>122</v>
      </c>
      <c r="B15" s="16">
        <v>50.02253399999999</v>
      </c>
      <c r="C15" s="16">
        <v>50.02253399999999</v>
      </c>
      <c r="D15" s="16">
        <v>0</v>
      </c>
      <c r="E15" s="16">
        <v>0</v>
      </c>
      <c r="F15" s="16">
        <v>0</v>
      </c>
      <c r="G15" s="16">
        <v>-50.02253399999999</v>
      </c>
      <c r="H15" s="16">
        <v>-50.02253400000001</v>
      </c>
      <c r="I15" s="16">
        <v>-1.4210854715202004e-14</v>
      </c>
      <c r="J15" s="17" t="s">
        <v>154</v>
      </c>
    </row>
    <row r="16" spans="1:10" x14ac:dyDescent="0.25">
      <c r="A16" s="18" t="s">
        <v>157</v>
      </c>
      <c r="B16" s="19">
        <v>1568.3964222129398</v>
      </c>
      <c r="C16" s="19">
        <v>1746.44205081294</v>
      </c>
      <c r="D16" s="19">
        <v>178.04562859999996</v>
      </c>
      <c r="E16" s="19">
        <v>745.306796</v>
      </c>
      <c r="F16" s="19">
        <v>777.19011</v>
      </c>
      <c r="G16" s="19">
        <v>-693.5213609829399</v>
      </c>
      <c r="H16" s="19">
        <v>-720.31546058294</v>
      </c>
      <c r="I16" s="19">
        <v>-26.794099600000045</v>
      </c>
      <c r="J16" s="18" t="s">
        <v>74</v>
      </c>
    </row>
    <row r="18" spans="1:1" x14ac:dyDescent="0.25">
      <c r="A18" s="8" t="s">
        <v>158</v>
      </c>
    </row>
    <row r="19" spans="1:5" x14ac:dyDescent="0.25">
      <c r="A19" s="3" t="s">
        <v>159</v>
      </c>
      <c r="B19" s="3" t="s">
        <v>160</v>
      </c>
      <c r="C19" s="3" t="s">
        <v>112</v>
      </c>
      <c r="D19" s="3" t="s">
        <v>114</v>
      </c>
      <c r="E19" s="3" t="s">
        <v>153</v>
      </c>
    </row>
    <row r="20" spans="1:5" x14ac:dyDescent="0.25">
      <c r="A20" s="4" t="s">
        <v>161</v>
      </c>
      <c r="B20" s="16">
        <v>244.99626199999997</v>
      </c>
      <c r="C20" s="16">
        <v>244.99626199999997</v>
      </c>
      <c r="D20" s="16">
        <v>0</v>
      </c>
      <c r="E20" s="4" t="s">
        <v>162</v>
      </c>
    </row>
    <row r="21" spans="1:5" x14ac:dyDescent="0.25">
      <c r="A21" s="4" t="s">
        <v>163</v>
      </c>
      <c r="B21" s="16">
        <v>637.405803</v>
      </c>
      <c r="C21" s="16">
        <v>637.405803</v>
      </c>
      <c r="D21" s="16">
        <v>0</v>
      </c>
      <c r="E21" s="4" t="s">
        <v>162</v>
      </c>
    </row>
    <row r="22" spans="1:5" x14ac:dyDescent="0.25">
      <c r="A22" s="4" t="s">
        <v>164</v>
      </c>
      <c r="B22" s="16">
        <v>152.070689</v>
      </c>
      <c r="C22" s="16">
        <v>152.070689</v>
      </c>
      <c r="D22" s="16">
        <v>0</v>
      </c>
      <c r="E22" s="4" t="s">
        <v>162</v>
      </c>
    </row>
    <row r="23" spans="1:5" x14ac:dyDescent="0.25">
      <c r="A23" s="4" t="s">
        <v>165</v>
      </c>
      <c r="B23" s="16">
        <v>85.788691</v>
      </c>
      <c r="C23" s="16">
        <v>85.788691</v>
      </c>
      <c r="D23" s="16">
        <v>0</v>
      </c>
      <c r="E23" s="4" t="s">
        <v>162</v>
      </c>
    </row>
    <row r="24" spans="1:5" x14ac:dyDescent="0.25">
      <c r="A24" s="4" t="s">
        <v>166</v>
      </c>
      <c r="B24" s="16">
        <v>448.13497721294</v>
      </c>
      <c r="C24" s="16">
        <v>448.13497721294</v>
      </c>
      <c r="D24" s="16">
        <v>0</v>
      </c>
      <c r="E24" s="4" t="s">
        <v>162</v>
      </c>
    </row>
    <row r="25" spans="1:5" x14ac:dyDescent="0.25">
      <c r="A25" s="4" t="s">
        <v>167</v>
      </c>
      <c r="B25" s="16">
        <v>129.56826523</v>
      </c>
      <c r="C25" s="16">
        <v>129.56826522999998</v>
      </c>
      <c r="D25" s="16">
        <v>-2.842170943040401e-14</v>
      </c>
      <c r="E25" s="4" t="s">
        <v>162</v>
      </c>
    </row>
    <row r="26" spans="1:5" x14ac:dyDescent="0.25">
      <c r="A26" s="4" t="s">
        <v>168</v>
      </c>
      <c r="B26" s="16">
        <v>0</v>
      </c>
      <c r="C26" s="16">
        <v>178.0456286</v>
      </c>
      <c r="D26" s="16">
        <v>178.0456286</v>
      </c>
      <c r="E26" s="4" t="s">
        <v>169</v>
      </c>
    </row>
    <row r="28" spans="1:1" x14ac:dyDescent="0.25">
      <c r="A28" s="8" t="s">
        <v>170</v>
      </c>
    </row>
    <row r="29" spans="1:5" x14ac:dyDescent="0.25">
      <c r="A29" s="3" t="s">
        <v>171</v>
      </c>
      <c r="B29" s="3" t="s">
        <v>172</v>
      </c>
      <c r="C29" s="3" t="s">
        <v>173</v>
      </c>
      <c r="D29" s="3" t="s">
        <v>114</v>
      </c>
      <c r="E29" s="3" t="s">
        <v>153</v>
      </c>
    </row>
    <row r="30" spans="1:5" x14ac:dyDescent="0.25">
      <c r="A30" s="18" t="s">
        <v>36</v>
      </c>
      <c r="B30" s="19">
        <v>3699.5668106392864</v>
      </c>
      <c r="C30" s="19">
        <v>3699.566810639287</v>
      </c>
      <c r="D30" s="19">
        <v>4.547473508864641e-13</v>
      </c>
      <c r="E30" s="18" t="s">
        <v>174</v>
      </c>
    </row>
    <row r="31" spans="1:5" x14ac:dyDescent="0.25">
      <c r="A31" s="4" t="s">
        <v>175</v>
      </c>
      <c r="B31" s="16">
        <v>91.2699500964329</v>
      </c>
      <c r="C31" s="16">
        <v>91.2699500964329</v>
      </c>
      <c r="D31" s="16">
        <v>0</v>
      </c>
      <c r="E31" s="4" t="s">
        <v>176</v>
      </c>
    </row>
    <row r="32" spans="1:5" x14ac:dyDescent="0.25">
      <c r="A32" s="4" t="s">
        <v>177</v>
      </c>
      <c r="B32" s="16">
        <v>1976.5850833750312</v>
      </c>
      <c r="C32" s="16">
        <v>1976.5850833750312</v>
      </c>
      <c r="D32" s="16">
        <v>0</v>
      </c>
      <c r="E32" s="4" t="s">
        <v>178</v>
      </c>
    </row>
    <row r="33" spans="1:5" x14ac:dyDescent="0.25">
      <c r="A33" s="4" t="s">
        <v>179</v>
      </c>
      <c r="B33" s="16">
        <v>1267.9055957833798</v>
      </c>
      <c r="C33" s="16">
        <v>1267.90559578338</v>
      </c>
      <c r="D33" s="16">
        <v>2.2737367544323206e-13</v>
      </c>
      <c r="E33" s="4" t="s">
        <v>178</v>
      </c>
    </row>
    <row r="34" spans="1:5" x14ac:dyDescent="0.25">
      <c r="A34" s="4" t="s">
        <v>180</v>
      </c>
      <c r="B34" s="16">
        <v>455.07613148087546</v>
      </c>
      <c r="C34" s="16">
        <v>455.07613148087535</v>
      </c>
      <c r="D34" s="16">
        <v>-1.1368683772161603e-13</v>
      </c>
      <c r="E34" s="4" t="s">
        <v>178</v>
      </c>
    </row>
    <row r="35" spans="1:5" x14ac:dyDescent="0.25">
      <c r="A35" s="4" t="s">
        <v>181</v>
      </c>
      <c r="B35" s="16">
        <v>2643.139493</v>
      </c>
      <c r="C35" s="16">
        <v>2643.139493</v>
      </c>
      <c r="D35" s="16">
        <v>0</v>
      </c>
      <c r="E35" s="4" t="s">
        <v>178</v>
      </c>
    </row>
    <row r="36" spans="1:5" x14ac:dyDescent="0.25">
      <c r="A36" s="18" t="s">
        <v>31</v>
      </c>
      <c r="B36" s="19">
        <v>3926.313997203903</v>
      </c>
      <c r="C36" s="19">
        <v>3221.648437203903</v>
      </c>
      <c r="D36" s="19">
        <v>-704.6655599999999</v>
      </c>
      <c r="E36" s="18" t="s">
        <v>174</v>
      </c>
    </row>
    <row r="37" spans="1:5" x14ac:dyDescent="0.25">
      <c r="A37" s="4" t="s">
        <v>182</v>
      </c>
      <c r="B37" s="16">
        <v>116.22847414168119</v>
      </c>
      <c r="C37" s="16">
        <v>116.2284741416812</v>
      </c>
      <c r="D37" s="16">
        <v>1.4210854715202004e-14</v>
      </c>
      <c r="E37" s="4" t="s">
        <v>176</v>
      </c>
    </row>
    <row r="38" spans="1:5" x14ac:dyDescent="0.25">
      <c r="A38" s="4" t="s">
        <v>177</v>
      </c>
      <c r="B38" s="16">
        <v>2197.7624460785723</v>
      </c>
      <c r="C38" s="16">
        <v>2197.7624460785723</v>
      </c>
      <c r="D38" s="16">
        <v>0</v>
      </c>
      <c r="E38" s="4" t="s">
        <v>178</v>
      </c>
    </row>
    <row r="39" spans="1:5" x14ac:dyDescent="0.25">
      <c r="A39" s="4" t="s">
        <v>179</v>
      </c>
      <c r="B39" s="16">
        <v>490.0631747136942</v>
      </c>
      <c r="C39" s="16">
        <v>490.0631747136942</v>
      </c>
      <c r="D39" s="16">
        <v>0</v>
      </c>
      <c r="E39" s="4" t="s">
        <v>178</v>
      </c>
    </row>
    <row r="40" spans="1:5" x14ac:dyDescent="0.25">
      <c r="A40" s="4" t="s">
        <v>180</v>
      </c>
      <c r="B40" s="16">
        <v>1238.4883764116369</v>
      </c>
      <c r="C40" s="16">
        <v>1238.4883764116366</v>
      </c>
      <c r="D40" s="16">
        <v>-2.2737367544323206e-13</v>
      </c>
      <c r="E40" s="4" t="s">
        <v>178</v>
      </c>
    </row>
    <row r="41" spans="1:5" x14ac:dyDescent="0.25">
      <c r="A41" s="4" t="s">
        <v>181</v>
      </c>
      <c r="B41" s="16">
        <v>1481.90449</v>
      </c>
      <c r="C41" s="16">
        <v>1481.90449</v>
      </c>
      <c r="D41" s="16">
        <v>0</v>
      </c>
      <c r="E41" s="4" t="s">
        <v>178</v>
      </c>
    </row>
    <row r="43" spans="1:1" x14ac:dyDescent="0.25">
      <c r="A43" s="8" t="s">
        <v>183</v>
      </c>
    </row>
    <row r="44" ht="30" customHeight="1" spans="1:10" x14ac:dyDescent="0.25">
      <c r="A44" s="20" t="s">
        <v>184</v>
      </c>
      <c r="B44" s="20"/>
      <c r="C44" s="20"/>
      <c r="D44" s="20"/>
      <c r="E44" s="20"/>
      <c r="F44" s="20"/>
      <c r="G44" s="20"/>
      <c r="H44" s="20"/>
      <c r="I44" s="20"/>
      <c r="J44" s="20"/>
    </row>
    <row r="45" ht="30" customHeight="1" spans="1:10" x14ac:dyDescent="0.25">
      <c r="A45" s="20" t="s">
        <v>185</v>
      </c>
      <c r="B45" s="20"/>
      <c r="C45" s="20"/>
      <c r="D45" s="20"/>
      <c r="E45" s="20"/>
      <c r="F45" s="20"/>
      <c r="G45" s="20"/>
      <c r="H45" s="20"/>
      <c r="I45" s="20"/>
      <c r="J45" s="20"/>
    </row>
    <row r="46" ht="30" customHeight="1" spans="1:10" x14ac:dyDescent="0.25">
      <c r="A46" s="20" t="s">
        <v>186</v>
      </c>
      <c r="B46" s="20"/>
      <c r="C46" s="20"/>
      <c r="D46" s="20"/>
      <c r="E46" s="20"/>
      <c r="F46" s="20"/>
      <c r="G46" s="20"/>
      <c r="H46" s="20"/>
      <c r="I46" s="20"/>
      <c r="J46" s="20"/>
    </row>
    <row r="47" ht="30" customHeight="1" spans="1:10" x14ac:dyDescent="0.25">
      <c r="A47" s="20" t="s">
        <v>187</v>
      </c>
      <c r="B47" s="20"/>
      <c r="C47" s="20"/>
      <c r="D47" s="20"/>
      <c r="E47" s="20"/>
      <c r="F47" s="20"/>
      <c r="G47" s="20"/>
      <c r="H47" s="20"/>
      <c r="I47" s="20"/>
      <c r="J47" s="20"/>
    </row>
    <row r="48" ht="30" customHeight="1" spans="1:10" x14ac:dyDescent="0.25">
      <c r="A48" s="20" t="s">
        <v>188</v>
      </c>
      <c r="B48" s="20"/>
      <c r="C48" s="20"/>
      <c r="D48" s="20"/>
      <c r="E48" s="20"/>
      <c r="F48" s="20"/>
      <c r="G48" s="20"/>
      <c r="H48" s="20"/>
      <c r="I48" s="20"/>
      <c r="J48" s="20"/>
    </row>
    <row r="49" ht="30" customHeight="1" spans="1:10" x14ac:dyDescent="0.25">
      <c r="A49" s="20" t="s">
        <v>189</v>
      </c>
      <c r="B49" s="20"/>
      <c r="C49" s="20"/>
      <c r="D49" s="20"/>
      <c r="E49" s="20"/>
      <c r="F49" s="20"/>
      <c r="G49" s="20"/>
      <c r="H49" s="20"/>
      <c r="I49" s="20"/>
      <c r="J49" s="20"/>
    </row>
    <row r="50" ht="30" customHeight="1" spans="1:10" x14ac:dyDescent="0.25">
      <c r="A50" s="20" t="s">
        <v>190</v>
      </c>
      <c r="B50" s="20"/>
      <c r="C50" s="20"/>
      <c r="D50" s="20"/>
      <c r="E50" s="20"/>
      <c r="F50" s="20"/>
      <c r="G50" s="20"/>
      <c r="H50" s="20"/>
      <c r="I50" s="20"/>
      <c r="J50" s="20"/>
    </row>
  </sheetData>
  <mergeCells count="7">
    <mergeCell ref="A44:J44"/>
    <mergeCell ref="A45:J45"/>
    <mergeCell ref="A46:J46"/>
    <mergeCell ref="A47:J47"/>
    <mergeCell ref="A48:J48"/>
    <mergeCell ref="A49:J49"/>
    <mergeCell ref="A50:J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" customWidth="1"/>
    <col min="3" max="3" width="20" customWidth="1"/>
    <col min="4" max="4" width="22" customWidth="1"/>
    <col min="5" max="5" width="18" customWidth="1"/>
    <col min="6" max="6" width="11" customWidth="1"/>
    <col min="7" max="7" width="16" customWidth="1"/>
    <col min="8" max="8" width="44" customWidth="1"/>
    <col min="9" max="9" width="26" customWidth="1"/>
    <col min="10" max="10" width="16" customWidth="1"/>
    <col min="11" max="11" width="18" customWidth="1"/>
    <col min="12" max="12" width="10" customWidth="1"/>
  </cols>
  <sheetData>
    <row r="1" spans="1:1" x14ac:dyDescent="0.25">
      <c r="A1" s="1" t="s">
        <v>191</v>
      </c>
    </row>
    <row r="2" spans="1:1" x14ac:dyDescent="0.25">
      <c r="A2" s="2" t="s">
        <v>192</v>
      </c>
    </row>
    <row r="4" spans="1:12" x14ac:dyDescent="0.25">
      <c r="A4" s="3" t="s">
        <v>193</v>
      </c>
      <c r="B4" s="3" t="s">
        <v>194</v>
      </c>
      <c r="C4" s="3" t="s">
        <v>195</v>
      </c>
      <c r="D4" s="3" t="s">
        <v>196</v>
      </c>
      <c r="E4" s="3" t="s">
        <v>197</v>
      </c>
      <c r="F4" s="3" t="s">
        <v>2</v>
      </c>
      <c r="G4" s="3" t="s">
        <v>198</v>
      </c>
      <c r="H4" s="3" t="s">
        <v>199</v>
      </c>
      <c r="I4" s="3" t="s">
        <v>200</v>
      </c>
      <c r="J4" s="3" t="s">
        <v>201</v>
      </c>
      <c r="K4" s="3" t="s">
        <v>202</v>
      </c>
      <c r="L4" s="3" t="s">
        <v>203</v>
      </c>
    </row>
    <row r="5" spans="1:12" x14ac:dyDescent="0.25">
      <c r="A5" s="4" t="s">
        <v>204</v>
      </c>
      <c r="B5" s="4" t="s">
        <v>205</v>
      </c>
      <c r="C5" s="4" t="s">
        <v>24</v>
      </c>
      <c r="D5" s="4" t="s">
        <v>206</v>
      </c>
      <c r="E5" s="4" t="s">
        <v>207</v>
      </c>
      <c r="F5" s="4" t="s">
        <v>31</v>
      </c>
      <c r="G5" s="5">
        <v>19324742</v>
      </c>
      <c r="H5" s="4" t="s">
        <v>208</v>
      </c>
      <c r="I5" s="4" t="s">
        <v>209</v>
      </c>
      <c r="J5" s="5">
        <v>19324742</v>
      </c>
      <c r="K5" s="5">
        <v>0</v>
      </c>
      <c r="L5" s="4" t="s">
        <v>210</v>
      </c>
    </row>
    <row r="6" spans="1:12" x14ac:dyDescent="0.25">
      <c r="A6" s="4" t="s">
        <v>211</v>
      </c>
      <c r="B6" s="4" t="s">
        <v>205</v>
      </c>
      <c r="C6" s="4" t="s">
        <v>24</v>
      </c>
      <c r="D6" s="4" t="s">
        <v>206</v>
      </c>
      <c r="E6" s="4" t="s">
        <v>207</v>
      </c>
      <c r="F6" s="4" t="s">
        <v>31</v>
      </c>
      <c r="G6" s="5">
        <v>629862023</v>
      </c>
      <c r="H6" s="4" t="s">
        <v>208</v>
      </c>
      <c r="I6" s="4" t="s">
        <v>212</v>
      </c>
      <c r="J6" s="5">
        <v>629862023</v>
      </c>
      <c r="K6" s="5">
        <v>0</v>
      </c>
      <c r="L6" s="4" t="s">
        <v>210</v>
      </c>
    </row>
    <row r="7" spans="1:12" x14ac:dyDescent="0.25">
      <c r="A7" s="4" t="s">
        <v>213</v>
      </c>
      <c r="B7" s="4" t="s">
        <v>205</v>
      </c>
      <c r="C7" s="4" t="s">
        <v>24</v>
      </c>
      <c r="D7" s="4" t="s">
        <v>206</v>
      </c>
      <c r="E7" s="4" t="s">
        <v>207</v>
      </c>
      <c r="F7" s="4" t="s">
        <v>31</v>
      </c>
      <c r="G7" s="5">
        <v>52769692</v>
      </c>
      <c r="H7" s="4" t="s">
        <v>208</v>
      </c>
      <c r="I7" s="4" t="s">
        <v>214</v>
      </c>
      <c r="J7" s="5">
        <v>52769692</v>
      </c>
      <c r="K7" s="5">
        <v>0</v>
      </c>
      <c r="L7" s="4" t="s">
        <v>210</v>
      </c>
    </row>
    <row r="8" spans="1:12" x14ac:dyDescent="0.25">
      <c r="A8" s="4" t="s">
        <v>215</v>
      </c>
      <c r="B8" s="4" t="s">
        <v>205</v>
      </c>
      <c r="C8" s="4" t="s">
        <v>24</v>
      </c>
      <c r="D8" s="4" t="s">
        <v>216</v>
      </c>
      <c r="E8" s="4" t="s">
        <v>207</v>
      </c>
      <c r="F8" s="4" t="s">
        <v>31</v>
      </c>
      <c r="G8" s="5">
        <v>2709103</v>
      </c>
      <c r="H8" s="4" t="s">
        <v>217</v>
      </c>
      <c r="I8" s="4" t="s">
        <v>218</v>
      </c>
      <c r="J8" s="5">
        <v>2709103</v>
      </c>
      <c r="K8" s="5">
        <v>0</v>
      </c>
      <c r="L8" s="4" t="s">
        <v>210</v>
      </c>
    </row>
    <row r="9" spans="6:11" x14ac:dyDescent="0.25">
      <c r="F9" s="8" t="s">
        <v>157</v>
      </c>
      <c r="G9" s="21">
        <f>SUM(G5:G8)</f>
      </c>
      <c r="J9" s="21">
        <f>SUM(J5:J8)</f>
      </c>
      <c r="K9" s="21">
        <f>SUM(K5:K8)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40" customWidth="1"/>
  </cols>
  <sheetData>
    <row r="1" spans="1:1" x14ac:dyDescent="0.25">
      <c r="A1" s="1" t="s">
        <v>219</v>
      </c>
    </row>
    <row r="3" spans="1:2" x14ac:dyDescent="0.25">
      <c r="A3" s="22" t="s">
        <v>220</v>
      </c>
      <c r="B3" s="23"/>
    </row>
    <row r="4" spans="1:2" x14ac:dyDescent="0.25">
      <c r="A4" s="24" t="s">
        <v>221</v>
      </c>
      <c r="B4" s="20" t="s">
        <v>222</v>
      </c>
    </row>
    <row r="5" spans="1:2" x14ac:dyDescent="0.25">
      <c r="A5" s="24" t="s">
        <v>223</v>
      </c>
      <c r="B5" s="20" t="s">
        <v>224</v>
      </c>
    </row>
    <row r="6" spans="1:2" x14ac:dyDescent="0.25">
      <c r="A6" s="24" t="s">
        <v>225</v>
      </c>
      <c r="B6" s="20" t="s">
        <v>226</v>
      </c>
    </row>
    <row r="7" spans="1:2" x14ac:dyDescent="0.25">
      <c r="A7" s="24" t="s">
        <v>227</v>
      </c>
      <c r="B7" s="20" t="s">
        <v>228</v>
      </c>
    </row>
    <row r="8" spans="1:2" x14ac:dyDescent="0.25">
      <c r="A8" s="24" t="s">
        <v>45</v>
      </c>
      <c r="B8" s="20" t="s">
        <v>229</v>
      </c>
    </row>
    <row r="9" spans="1:2" x14ac:dyDescent="0.25">
      <c r="A9" s="24" t="s">
        <v>230</v>
      </c>
      <c r="B9" s="20" t="s">
        <v>231</v>
      </c>
    </row>
    <row r="10" spans="1:2" x14ac:dyDescent="0.25">
      <c r="A10" s="24" t="s">
        <v>74</v>
      </c>
      <c r="B10" s="20" t="s">
        <v>74</v>
      </c>
    </row>
    <row r="11" spans="1:2" x14ac:dyDescent="0.25">
      <c r="A11" s="22" t="s">
        <v>232</v>
      </c>
      <c r="B11" s="23"/>
    </row>
    <row r="12" spans="1:2" x14ac:dyDescent="0.25">
      <c r="A12" s="24" t="s">
        <v>233</v>
      </c>
      <c r="B12" s="20" t="s">
        <v>234</v>
      </c>
    </row>
    <row r="13" spans="1:2" x14ac:dyDescent="0.25">
      <c r="A13" s="24" t="s">
        <v>235</v>
      </c>
      <c r="B13" s="20" t="s">
        <v>236</v>
      </c>
    </row>
    <row r="14" spans="1:2" x14ac:dyDescent="0.25">
      <c r="A14" s="24" t="s">
        <v>227</v>
      </c>
      <c r="B14" s="20" t="s">
        <v>237</v>
      </c>
    </row>
    <row r="15" spans="1:2" x14ac:dyDescent="0.25">
      <c r="A15" s="24" t="s">
        <v>238</v>
      </c>
      <c r="B15" s="20" t="s">
        <v>239</v>
      </c>
    </row>
    <row r="16" spans="1:2" x14ac:dyDescent="0.25">
      <c r="A16" s="24" t="s">
        <v>230</v>
      </c>
      <c r="B16" s="20" t="s">
        <v>240</v>
      </c>
    </row>
    <row r="17" spans="1:2" x14ac:dyDescent="0.25">
      <c r="A17" s="24" t="s">
        <v>241</v>
      </c>
      <c r="B17" s="20" t="s">
        <v>242</v>
      </c>
    </row>
    <row r="18" spans="1:2" x14ac:dyDescent="0.25">
      <c r="A18" s="24" t="s">
        <v>243</v>
      </c>
      <c r="B18" s="20" t="s">
        <v>244</v>
      </c>
    </row>
    <row r="19" spans="1:2" x14ac:dyDescent="0.25">
      <c r="A19" s="24" t="s">
        <v>245</v>
      </c>
      <c r="B19" s="20" t="s">
        <v>246</v>
      </c>
    </row>
    <row r="20" spans="1:2" x14ac:dyDescent="0.25">
      <c r="A20" s="24" t="s">
        <v>247</v>
      </c>
      <c r="B20" s="20" t="s">
        <v>248</v>
      </c>
    </row>
    <row r="21" spans="1:2" x14ac:dyDescent="0.25">
      <c r="A21" s="24" t="s">
        <v>74</v>
      </c>
      <c r="B21" s="20" t="s">
        <v>74</v>
      </c>
    </row>
    <row r="22" spans="1:2" x14ac:dyDescent="0.25">
      <c r="A22" s="22" t="s">
        <v>249</v>
      </c>
      <c r="B22" s="23"/>
    </row>
    <row r="23" spans="1:2" x14ac:dyDescent="0.25">
      <c r="A23" s="24" t="s">
        <v>250</v>
      </c>
      <c r="B23" s="20" t="s">
        <v>251</v>
      </c>
    </row>
    <row r="24" spans="1:2" x14ac:dyDescent="0.25">
      <c r="A24" s="24" t="s">
        <v>252</v>
      </c>
      <c r="B24" s="20" t="s">
        <v>253</v>
      </c>
    </row>
    <row r="25" spans="1:2" x14ac:dyDescent="0.25">
      <c r="A25" s="24" t="s">
        <v>254</v>
      </c>
      <c r="B25" s="20" t="s">
        <v>255</v>
      </c>
    </row>
    <row r="26" spans="1:2" x14ac:dyDescent="0.25">
      <c r="A26" s="24" t="s">
        <v>74</v>
      </c>
      <c r="B26" s="20" t="s">
        <v>74</v>
      </c>
    </row>
    <row r="27" spans="1:2" x14ac:dyDescent="0.25">
      <c r="A27" s="22" t="s">
        <v>256</v>
      </c>
      <c r="B27" s="23"/>
    </row>
    <row r="28" spans="1:2" x14ac:dyDescent="0.25">
      <c r="A28" s="24" t="s">
        <v>257</v>
      </c>
      <c r="B28" s="20" t="s">
        <v>258</v>
      </c>
    </row>
    <row r="29" spans="1:2" x14ac:dyDescent="0.25">
      <c r="A29" s="24" t="s">
        <v>259</v>
      </c>
      <c r="B29" s="20" t="s">
        <v>260</v>
      </c>
    </row>
    <row r="30" spans="1:2" x14ac:dyDescent="0.25">
      <c r="A30" s="24" t="s">
        <v>261</v>
      </c>
      <c r="B30" s="20" t="s">
        <v>262</v>
      </c>
    </row>
    <row r="31" spans="1:2" x14ac:dyDescent="0.25">
      <c r="A31" s="24" t="s">
        <v>263</v>
      </c>
      <c r="B31" s="20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Position CI 30-09</vt:lpstr>
      <vt:lpstr>Contrôles</vt:lpstr>
      <vt:lpstr>Comparaison RCI</vt:lpstr>
      <vt:lpstr>Paiements exécutés</vt:lpstr>
      <vt:lpstr>Méthode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Direction Trésorerie &amp; Financement</dc:creator>
  <dc:title/>
  <dc:subject/>
  <dc:description/>
  <cp:keywords/>
  <cp:category/>
  <cp:lastModifiedBy>Unknown</cp:lastModifiedBy>
  <dcterms:created xsi:type="dcterms:W3CDTF">2026-10-07T17:53:02Z</dcterms:created>
  <dcterms:modified xsi:type="dcterms:W3CDTF">2026-10-07T17:53:02Z</dcterms:modified>
</cp:coreProperties>
</file>