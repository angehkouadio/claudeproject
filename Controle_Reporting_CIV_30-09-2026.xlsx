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sition CI 30-09" state="visible" r:id="rId4"/>
    <sheet sheetId="2" name="Contrôles" state="visible" r:id="rId5"/>
    <sheet sheetId="3" name="Comparaison RCI" state="visible" r:id="rId6"/>
    <sheet sheetId="4" name="Méthode &amp; sources" state="visible" r:id="rId7"/>
  </sheets>
  <calcPr calcId="171027" fullCalcOnLoad="1"/>
</workbook>
</file>

<file path=xl/sharedStrings.xml><?xml version="1.0" encoding="utf-8"?>
<sst xmlns="http://schemas.openxmlformats.org/spreadsheetml/2006/main" count="446" uniqueCount="237">
  <si>
    <t>Position de trésorerie CI – soldes bancaires au 30/09/2026</t>
  </si>
  <si>
    <t>Soldes retenus dans le reporting (modifiables dans « Reporting Hebdo », colonne « Solde réel » en FCFA). Colonne J : solde d'origine de la position CI.</t>
  </si>
  <si>
    <t>Entité</t>
  </si>
  <si>
    <t>Banque</t>
  </si>
  <si>
    <t>Compte</t>
  </si>
  <si>
    <t>Destination (position CI)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</si>
  <si>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</si>
  <si>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</si>
  <si>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</si>
  <si>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</si>
  <si>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</si>
  <si>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</si>
  <si>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</si>
  <si>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PICI</t>
  </si>
  <si>
    <t>SOCIETE GENERALE</t>
  </si>
  <si>
    <t>SOCIETE GENERALE-PICI</t>
  </si>
  <si>
    <t>Dédié besoin de fonctionnement et "Netting" autres compagnies CIV</t>
  </si>
  <si>
    <t>Compte de société</t>
  </si>
  <si>
    <t>CIV position, ligne 5</t>
  </si>
  <si>
    <t>STANBIC</t>
  </si>
  <si>
    <t>STANBIC-PICI</t>
  </si>
  <si>
    <t>Dédié besoin de fonctionnement</t>
  </si>
  <si>
    <t>CIV position, ligne 6</t>
  </si>
  <si>
    <t>ECOBANK</t>
  </si>
  <si>
    <t>ECOBANK-PICI</t>
  </si>
  <si>
    <t>CIV position, ligne 7</t>
  </si>
  <si>
    <t>FIRST</t>
  </si>
  <si>
    <t>SOCIETE GENERALE-FIRST</t>
  </si>
  <si>
    <t>CIV position, ligne 9</t>
  </si>
  <si>
    <t>STANBIC-FIRST</t>
  </si>
  <si>
    <t>CIV position, ligne 10</t>
  </si>
  <si>
    <t>TERASSON</t>
  </si>
  <si>
    <t>SOCIETE GENERALE-TERASSON</t>
  </si>
  <si>
    <t>CIV position, ligne 15</t>
  </si>
  <si>
    <t>ECOBANK -TERASSON</t>
  </si>
  <si>
    <t>CIV position, ligne 16</t>
  </si>
  <si>
    <t>RIVIERA</t>
  </si>
  <si>
    <t>SOCIETE GENERALE-RIVIERA</t>
  </si>
  <si>
    <t>CIV position, ligne 19</t>
  </si>
  <si>
    <t>BNI</t>
  </si>
  <si>
    <t>BNI-RIVIERA(Courant)</t>
  </si>
  <si>
    <t>Affection placement? Ou besoin de fonctionnement</t>
  </si>
  <si>
    <t>Compte dédié</t>
  </si>
  <si>
    <t>RIVIERA-ARBITRER</t>
  </si>
  <si>
    <t>CIV position, ligne 20</t>
  </si>
  <si>
    <t>SCO AO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</si>
  <si>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</si>
  <si>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</si>
  <si>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</si>
  <si>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</si>
  <si>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</si>
  <si>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</si>
  <si>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</si>
  <si>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Dédié paiement Projet SCO</t>
  </si>
  <si>
    <t>CIV position, ligne 25</t>
  </si>
  <si>
    <t>BACI-AGORA</t>
  </si>
  <si>
    <t>CIV position, ligne 26</t>
  </si>
  <si>
    <t>ECOBANK - SCO AO</t>
  </si>
  <si>
    <t>CIV position, ligne 27</t>
  </si>
  <si>
    <t>FINAFRICA</t>
  </si>
  <si>
    <t>SOCIETE GENERALE-FINAFRICA</t>
  </si>
  <si>
    <t>CIV position, ligne 29</t>
  </si>
  <si>
    <t>ECOBANK-FINAFRICA</t>
  </si>
  <si>
    <t>CIV position, ligne 30</t>
  </si>
  <si>
    <t>AB CENTER</t>
  </si>
  <si>
    <t>SOCIETE GENERALE-AB CENTER</t>
  </si>
  <si>
    <t>CIV position, ligne 32</t>
  </si>
  <si>
    <t>ECOBANK- AB CENTER</t>
  </si>
  <si>
    <t>CIV position, ligne 33</t>
  </si>
  <si>
    <t>IMMONEUF</t>
  </si>
  <si>
    <t>SOCIETE GENERALE-IMMONEUF</t>
  </si>
  <si>
    <t>CIV position, ligne 35</t>
  </si>
  <si>
    <t>ECOBANK-IMMONEUF</t>
  </si>
  <si>
    <t>CIV position, ligne 36</t>
  </si>
  <si>
    <t/>
  </si>
  <si>
    <t>BACI - IMMONEUF</t>
  </si>
  <si>
    <t>CIV position, ligne 37</t>
  </si>
  <si>
    <t>INFI SOFT</t>
  </si>
  <si>
    <t>SIB</t>
  </si>
  <si>
    <t>INFI SOFT - SIB</t>
  </si>
  <si>
    <t>CIV position, ligne 39</t>
  </si>
  <si>
    <t>ODALYS CI</t>
  </si>
  <si>
    <t>SOCIETE GENERALE-ODALYS</t>
  </si>
  <si>
    <t>CIV position, ligne 41</t>
  </si>
  <si>
    <t>BNI-PICI / Fonds projet RP</t>
  </si>
  <si>
    <t>Dédié paiement CPI</t>
  </si>
  <si>
    <t>RIVIERA-PROJET</t>
  </si>
  <si>
    <t>CIV position, ligne 46</t>
  </si>
  <si>
    <t>BNI-TERASSON / Fonds projet NP</t>
  </si>
  <si>
    <t>TERASSON-PROJET</t>
  </si>
  <si>
    <t>CIV position, ligne 47</t>
  </si>
  <si>
    <t>BACI-AGORA/COMPTE BLOQU. TVA</t>
  </si>
  <si>
    <t>DSR/Augmentation/LL/Disbursment</t>
  </si>
  <si>
    <t>SCO AO-BACIAGORACOMPTEBLOQUTVA</t>
  </si>
  <si>
    <t>CIV position, ligne 49</t>
  </si>
  <si>
    <t>TOTAL</t>
  </si>
  <si>
    <t>Comptes indisponibles – exclus de la position (pour information)</t>
  </si>
  <si>
    <t>STANBIC-FIRST _ Debt Service</t>
  </si>
  <si>
    <t>Indisponible</t>
  </si>
  <si>
    <t>CIV position, ligne 11</t>
  </si>
  <si>
    <t>STANBIC-FIRST_LL</t>
  </si>
  <si>
    <t>CIV position, ligne 12</t>
  </si>
  <si>
    <t>STANBIC-FIRST_Disbursement</t>
  </si>
  <si>
    <t>CIV position, ligne 13</t>
  </si>
  <si>
    <t>BNI-RIVIERA(Augmentation)</t>
  </si>
  <si>
    <t>CIV position, ligne 21</t>
  </si>
  <si>
    <t>BNI-RIVIERA(DSRA) / Placement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</si>
  <si>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</si>
  <si>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</si>
  <si>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</si>
  <si>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</si>
  <si>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</si>
  <si>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</si>
  <si>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 (origine)</t>
  </si>
  <si>
    <t>Écart</t>
  </si>
  <si>
    <t>Commentaire</t>
  </si>
  <si>
    <t>Total comptes de sociétés + comptes dédiés</t>
  </si>
  <si>
    <t>Comptes indisponibles exclus. Écart = soldes mis à jour à la main depuis la position.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</si>
  <si>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</si>
  <si>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</si>
  <si>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</si>
  <si>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</si>
  <si>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RHD CI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</si>
  <si>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</si>
  <si>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</si>
  <si>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</si>
  <si>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</si>
  <si>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</si>
  <si>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</si>
  <si>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</si>
  <si>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</si>
  <si>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</si>
  <si>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Montant FCFA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</si>
  <si>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</si>
  <si>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</si>
  <si>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</si>
  <si>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</si>
  <si>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</si>
  <si>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</si>
  <si>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</si>
  <si>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</si>
  <si>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</si>
  <si>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SCO AO : 15 ligne(s) du reporting modifié remplacées par la prévision de trésorerie SCO.</t>
  </si>
  <si>
    <t>Paiements exécutés : 4 paiement(s), 704,7 M ; 704,7 M imputés sur les prévisions S1 à S5 (soldes bancaires inchangés).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</si>
  <si>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</si>
  <si>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</si>
  <si>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</si>
  <si>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</si>
  <si>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</si>
  <si>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</si>
  <si>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</si>
  <si>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</si>
  <si>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</si>
  <si>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</si>
  <si>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</si>
  <si>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</si>
  <si>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</si>
  <si>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Total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</si>
  <si>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</si>
  <si>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</si>
  <si>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</si>
  <si>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</si>
  <si>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</si>
  <si>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</si>
  <si>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</si>
  <si>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Salaires</t>
  </si>
  <si>
    <t>Remboursement de prêts</t>
  </si>
  <si>
    <t>Loyers à encaisser</t>
  </si>
  <si>
    <t>Entités hors présentation RCI</t>
  </si>
  <si>
    <t>SCO AO 178,0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</si>
  <si>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</si>
  <si>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</si>
  <si>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</si>
  <si>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</si>
  <si>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</si>
  <si>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</si>
  <si>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</si>
  <si>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</si>
  <si>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</si>
  <si>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</si>
  <si>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</si>
  <si>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</si>
  <si>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</si>
  <si>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</si>
  <si>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</si>
  <si>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</si>
  <si>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</si>
  <si>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</si>
  <si>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</si>
  <si>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</si>
  <si>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</si>
  <si>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</si>
  <si>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</si>
  <si>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</si>
  <si>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</si>
  <si>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</si>
  <si>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</si>
  <si>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</si>
  <si>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</si>
  <si>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</si>
  <si>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</si>
  <si>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4d5ac132-SCO_Mouvment_TRESO_PREVISION_OCT_051026.xlsx – prévision de trésorerie SCO (prioritaire) : encaissements clients, frais généraux (CNPS / CMU en charges sociales, DGI en impôts, personnel en salaires, autres en fournisseurs) et projets, par semaine.</t>
  </si>
  <si>
    <t>Mises à jour</t>
  </si>
  <si>
    <t xml:space="preserve">f169ee50-Reporting_Hebdo_CIV_05_10_2026_002.xlsx – reporting modifié : semaines, Retenu, montants et virements de l'équilibrage S1 repris. </t>
  </si>
  <si>
    <t>Règles de semaine</t>
  </si>
  <si>
    <t>S1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</si>
  <si>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</si>
  <si>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</si>
  <si>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</si>
  <si>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</si>
  <si>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</si>
  <si>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</si>
  <si>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« Solde réel » en FCFA de « Reporting Hebdo » (cellules en jaune, modifiables ; nouveau compte : l'ajouter dans la position CI source).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</si>
  <si>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Paiements exécutés</t>
  </si>
  <si>
    <t>2d40a539-PAIEMENTS_EXECUTES.xlsx – chaque paiement est imputé sur les lignes de besoin du bénéficiaire (nom, sinon nature de l'audit PICI Projets), des plus anciennes aux plus récentes ; ils diminuent les prévisions, pas les soldes bancaires. Détail dans la feuille « Paiements exécutés » du reporting et dans la colonne « Paiement exécuté » des feuilles de détail.</t>
  </si>
  <si>
    <t>Comptes indisponibles</t>
  </si>
  <si>
    <t>STANBIC-FIRST _ Debt Service, STANBIC-FIRST_LL, STANBIC-FIRST_Disbursement, BNI-RIVIERA(Augmentation), BNI-RIVIERA(DSRA) / Placement : exclus de la position et du reporting (listés pour information en bas des soldes de « Reporting Hebdo »).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</si>
  <si>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</si>
  <si>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</si>
  <si>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</si>
  <si>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</si>
  <si>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</si>
  <si>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</si>
  <si>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</si>
  <si>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</si>
  <si>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</si>
  <si>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</si>
  <si>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</si>
  <si>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</si>
  <si>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</si>
  <si>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</si>
  <si>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</si>
  <si>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</si>
  <si>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</si>
  <si>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</si>
  <si>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</si>
  <si>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« Reporting Hebdo » (Solde réel)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</si>
</sst>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#,##0.0;-#,##0.0;&quot;–&quot;"/>
  </numFmts>
  <fonts count="8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family val="2"/>
      <sz val="10"/>
      <name val="Calibri"/>
    </font>
    <font>
      <b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9CDE5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5" fillId="0" borderId="2" xfId="0" applyFont="1" applyBorder="1"/>
    <xf numFmtId="3" fontId="5" fillId="0" borderId="2" xfId="0" applyNumberFormat="1" applyFont="1" applyBorder="1"/>
    <xf numFmtId="0" fontId="5" fillId="0" borderId="0" xfId="0" applyFont="1"/>
    <xf numFmtId="0" fontId="6" fillId="0" borderId="1" xfId="0" applyFont="1" applyBorder="1"/>
    <xf numFmtId="3" fontId="6" fillId="0" borderId="1" xfId="0" applyNumberFormat="1" applyFont="1" applyBorder="1"/>
    <xf numFmtId="0" fontId="7" fillId="0" borderId="0" xfId="0" applyFont="1"/>
    <xf numFmtId="3" fontId="7" fillId="0" borderId="0" xfId="0" applyNumberFormat="1" applyFont="1"/>
    <xf numFmtId="164" fontId="4" fillId="0" borderId="1" xfId="0" applyNumberFormat="1" applyFont="1" applyBorder="1"/>
    <xf numFmtId="1" fontId="4" fillId="0" borderId="1" xfId="0" applyNumberFormat="1" applyFont="1" applyBorder="1"/>
    <xf numFmtId="0" fontId="4" fillId="0" borderId="0" xfId="0" applyFont="1"/>
    <xf numFmtId="165" fontId="4" fillId="0" borderId="1" xfId="0" applyNumberFormat="1" applyFont="1" applyBorder="1"/>
    <xf numFmtId="0" fontId="4" fillId="0" borderId="1" xfId="0" applyFont="1" applyBorder="1" applyAlignment="1">
      <alignment vertical="top" wrapText="1"/>
    </xf>
    <xf numFmtId="0" fontId="5" fillId="0" borderId="1" xfId="0" applyFont="1" applyBorder="1"/>
    <xf numFmtId="165" fontId="5" fillId="0" borderId="1" xfId="0" applyNumberFormat="1" applyFont="1" applyBorder="1"/>
    <xf numFmtId="0" fontId="4" fillId="0" borderId="0" xfId="0" applyFont="1" applyAlignment="1">
      <alignment vertical="top" wrapText="1"/>
    </xf>
    <xf numFmtId="0" fontId="5" fillId="2" borderId="0" xfId="0" applyFont="1" applyFill="1"/>
    <xf numFmtId="0" fontId="0" fillId="2" borderId="0" xfId="0" applyFill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1" x14ac:dyDescent="0.25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5">
        <v>3580753</v>
      </c>
      <c r="G5" s="5">
        <f>F5/655.957</f>
      </c>
      <c r="H5" s="4" t="s">
        <v>13</v>
      </c>
      <c r="I5" s="4" t="s">
        <v>18</v>
      </c>
      <c r="J5" s="5">
        <v>3580753</v>
      </c>
      <c r="K5" s="5">
        <f>F5-J5</f>
      </c>
    </row>
    <row r="6" spans="1:11" x14ac:dyDescent="0.25">
      <c r="A6" s="4" t="s">
        <v>13</v>
      </c>
      <c r="B6" s="4" t="s">
        <v>19</v>
      </c>
      <c r="C6" s="4" t="s">
        <v>20</v>
      </c>
      <c r="D6" s="4" t="s">
        <v>21</v>
      </c>
      <c r="E6" s="4" t="s">
        <v>17</v>
      </c>
      <c r="F6" s="5">
        <v>24751125</v>
      </c>
      <c r="G6" s="5">
        <f>F6/655.957</f>
      </c>
      <c r="H6" s="4" t="s">
        <v>13</v>
      </c>
      <c r="I6" s="4" t="s">
        <v>22</v>
      </c>
      <c r="J6" s="5">
        <v>24751125</v>
      </c>
      <c r="K6" s="5">
        <f>F6-J6</f>
      </c>
    </row>
    <row r="7" spans="1:11" x14ac:dyDescent="0.25">
      <c r="A7" s="4" t="s">
        <v>13</v>
      </c>
      <c r="B7" s="4" t="s">
        <v>23</v>
      </c>
      <c r="C7" s="4" t="s">
        <v>24</v>
      </c>
      <c r="D7" s="4" t="s">
        <v>21</v>
      </c>
      <c r="E7" s="4" t="s">
        <v>17</v>
      </c>
      <c r="F7" s="5">
        <v>368235073</v>
      </c>
      <c r="G7" s="5">
        <f>F7/655.957</f>
      </c>
      <c r="H7" s="4" t="s">
        <v>13</v>
      </c>
      <c r="I7" s="4" t="s">
        <v>25</v>
      </c>
      <c r="J7" s="5">
        <v>368235073</v>
      </c>
      <c r="K7" s="5">
        <f>F7-J7</f>
      </c>
    </row>
    <row r="8" spans="1:11" x14ac:dyDescent="0.25">
      <c r="A8" s="4" t="s">
        <v>26</v>
      </c>
      <c r="B8" s="4" t="s">
        <v>14</v>
      </c>
      <c r="C8" s="4" t="s">
        <v>27</v>
      </c>
      <c r="D8" s="4" t="s">
        <v>21</v>
      </c>
      <c r="E8" s="4" t="s">
        <v>17</v>
      </c>
      <c r="F8" s="5">
        <v>8429337</v>
      </c>
      <c r="G8" s="5">
        <f>F8/655.957</f>
      </c>
      <c r="H8" s="4" t="s">
        <v>26</v>
      </c>
      <c r="I8" s="4" t="s">
        <v>28</v>
      </c>
      <c r="J8" s="5">
        <v>8429337</v>
      </c>
      <c r="K8" s="5">
        <f>F8-J8</f>
      </c>
    </row>
    <row r="9" spans="1:11" x14ac:dyDescent="0.25">
      <c r="A9" s="4" t="s">
        <v>26</v>
      </c>
      <c r="B9" s="4" t="s">
        <v>19</v>
      </c>
      <c r="C9" s="4" t="s">
        <v>29</v>
      </c>
      <c r="D9" s="4" t="s">
        <v>21</v>
      </c>
      <c r="E9" s="4" t="s">
        <v>17</v>
      </c>
      <c r="F9" s="5">
        <v>227694317</v>
      </c>
      <c r="G9" s="5">
        <f>F9/655.957</f>
      </c>
      <c r="H9" s="4" t="s">
        <v>26</v>
      </c>
      <c r="I9" s="4" t="s">
        <v>30</v>
      </c>
      <c r="J9" s="5">
        <v>227694317</v>
      </c>
      <c r="K9" s="5">
        <f>F9-J9</f>
      </c>
    </row>
    <row r="10" spans="1:11" x14ac:dyDescent="0.25">
      <c r="A10" s="4" t="s">
        <v>31</v>
      </c>
      <c r="B10" s="4" t="s">
        <v>14</v>
      </c>
      <c r="C10" s="4" t="s">
        <v>32</v>
      </c>
      <c r="D10" s="4" t="s">
        <v>21</v>
      </c>
      <c r="E10" s="4" t="s">
        <v>17</v>
      </c>
      <c r="F10" s="5">
        <v>58193022</v>
      </c>
      <c r="G10" s="5">
        <f>F10/655.957</f>
      </c>
      <c r="H10" s="4" t="s">
        <v>31</v>
      </c>
      <c r="I10" s="4" t="s">
        <v>33</v>
      </c>
      <c r="J10" s="5">
        <v>58193022</v>
      </c>
      <c r="K10" s="5">
        <f>F10-J10</f>
      </c>
    </row>
    <row r="11" spans="1:11" x14ac:dyDescent="0.25">
      <c r="A11" s="4" t="s">
        <v>31</v>
      </c>
      <c r="B11" s="4" t="s">
        <v>23</v>
      </c>
      <c r="C11" s="4" t="s">
        <v>34</v>
      </c>
      <c r="D11" s="4" t="s">
        <v>21</v>
      </c>
      <c r="E11" s="4" t="s">
        <v>17</v>
      </c>
      <c r="F11" s="5">
        <v>62000</v>
      </c>
      <c r="G11" s="5">
        <f>F11/655.957</f>
      </c>
      <c r="H11" s="4" t="s">
        <v>31</v>
      </c>
      <c r="I11" s="4" t="s">
        <v>35</v>
      </c>
      <c r="J11" s="5">
        <v>62000</v>
      </c>
      <c r="K11" s="5">
        <f>F11-J11</f>
      </c>
    </row>
    <row r="12" spans="1:11" x14ac:dyDescent="0.25">
      <c r="A12" s="4" t="s">
        <v>36</v>
      </c>
      <c r="B12" s="4" t="s">
        <v>14</v>
      </c>
      <c r="C12" s="4" t="s">
        <v>37</v>
      </c>
      <c r="D12" s="4" t="s">
        <v>21</v>
      </c>
      <c r="E12" s="4" t="s">
        <v>17</v>
      </c>
      <c r="F12" s="5">
        <v>1473216</v>
      </c>
      <c r="G12" s="5">
        <f>F12/655.957</f>
      </c>
      <c r="H12" s="4" t="s">
        <v>36</v>
      </c>
      <c r="I12" s="4" t="s">
        <v>38</v>
      </c>
      <c r="J12" s="5">
        <v>1473216</v>
      </c>
      <c r="K12" s="5">
        <f>F12-J12</f>
      </c>
    </row>
    <row r="13" spans="1:11" x14ac:dyDescent="0.25">
      <c r="A13" s="4" t="s">
        <v>36</v>
      </c>
      <c r="B13" s="4" t="s">
        <v>39</v>
      </c>
      <c r="C13" s="4" t="s">
        <v>40</v>
      </c>
      <c r="D13" s="4" t="s">
        <v>41</v>
      </c>
      <c r="E13" s="4" t="s">
        <v>42</v>
      </c>
      <c r="F13" s="5">
        <v>1771977229</v>
      </c>
      <c r="G13" s="5">
        <f>F13/655.957</f>
      </c>
      <c r="H13" s="4" t="s">
        <v>43</v>
      </c>
      <c r="I13" s="4" t="s">
        <v>44</v>
      </c>
      <c r="J13" s="5">
        <v>1771977229</v>
      </c>
      <c r="K13" s="5">
        <f>F13-J13</f>
      </c>
    </row>
    <row r="14" spans="1:11" x14ac:dyDescent="0.25">
      <c r="A14" s="4" t="s">
        <v>45</v>
      </c>
      <c r="B14" s="4" t="s">
        <v>46</v>
      </c>
      <c r="C14" s="4" t="s">
        <v>47</v>
      </c>
      <c r="D14" s="4" t="s">
        <v>21</v>
      </c>
      <c r="E14" s="4" t="s">
        <v>17</v>
      </c>
      <c r="F14" s="5">
        <v>897338</v>
      </c>
      <c r="G14" s="5">
        <f>F14/655.957</f>
      </c>
      <c r="H14" s="4" t="s">
        <v>45</v>
      </c>
      <c r="I14" s="4" t="s">
        <v>48</v>
      </c>
      <c r="J14" s="5">
        <v>897338</v>
      </c>
      <c r="K14" s="5">
        <f>F14-J14</f>
      </c>
    </row>
    <row r="15" spans="1:11" x14ac:dyDescent="0.25">
      <c r="A15" s="4" t="s">
        <v>45</v>
      </c>
      <c r="B15" s="4" t="s">
        <v>49</v>
      </c>
      <c r="C15" s="4" t="s">
        <v>50</v>
      </c>
      <c r="D15" s="4" t="s">
        <v>21</v>
      </c>
      <c r="E15" s="4" t="s">
        <v>17</v>
      </c>
      <c r="F15" s="5">
        <v>5375161</v>
      </c>
      <c r="G15" s="5">
        <f>F15/655.957</f>
      </c>
      <c r="H15" s="4" t="s">
        <v>45</v>
      </c>
      <c r="I15" s="4" t="s">
        <v>51</v>
      </c>
      <c r="J15" s="5">
        <v>5375161</v>
      </c>
      <c r="K15" s="5">
        <f>F15-J15</f>
      </c>
    </row>
    <row r="16" spans="1:11" x14ac:dyDescent="0.25">
      <c r="A16" s="4" t="s">
        <v>45</v>
      </c>
      <c r="B16" s="4" t="s">
        <v>49</v>
      </c>
      <c r="C16" s="4" t="s">
        <v>52</v>
      </c>
      <c r="D16" s="4" t="s">
        <v>53</v>
      </c>
      <c r="E16" s="4" t="s">
        <v>17</v>
      </c>
      <c r="F16" s="5">
        <v>22569647</v>
      </c>
      <c r="G16" s="5">
        <f>F16/655.957</f>
      </c>
      <c r="H16" s="4" t="s">
        <v>45</v>
      </c>
      <c r="I16" s="4" t="s">
        <v>54</v>
      </c>
      <c r="J16" s="5">
        <v>22569647</v>
      </c>
      <c r="K16" s="5">
        <f>F16-J16</f>
      </c>
    </row>
    <row r="17" spans="1:11" x14ac:dyDescent="0.25">
      <c r="A17" s="4" t="s">
        <v>45</v>
      </c>
      <c r="B17" s="4" t="s">
        <v>49</v>
      </c>
      <c r="C17" s="4" t="s">
        <v>55</v>
      </c>
      <c r="D17" s="4" t="s">
        <v>53</v>
      </c>
      <c r="E17" s="4" t="s">
        <v>17</v>
      </c>
      <c r="F17" s="5">
        <v>227288</v>
      </c>
      <c r="G17" s="5">
        <f>F17/655.957</f>
      </c>
      <c r="H17" s="4" t="s">
        <v>45</v>
      </c>
      <c r="I17" s="4" t="s">
        <v>56</v>
      </c>
      <c r="J17" s="5">
        <v>227288</v>
      </c>
      <c r="K17" s="5">
        <f>F17-J17</f>
      </c>
    </row>
    <row r="18" spans="1:11" x14ac:dyDescent="0.25">
      <c r="A18" s="4" t="s">
        <v>45</v>
      </c>
      <c r="B18" s="4" t="s">
        <v>23</v>
      </c>
      <c r="C18" s="4" t="s">
        <v>57</v>
      </c>
      <c r="D18" s="4" t="s">
        <v>21</v>
      </c>
      <c r="E18" s="4" t="s">
        <v>17</v>
      </c>
      <c r="F18" s="5">
        <v>62000</v>
      </c>
      <c r="G18" s="5">
        <f>F18/655.957</f>
      </c>
      <c r="H18" s="4" t="s">
        <v>45</v>
      </c>
      <c r="I18" s="4" t="s">
        <v>58</v>
      </c>
      <c r="J18" s="5">
        <v>62000</v>
      </c>
      <c r="K18" s="5">
        <f>F18-J18</f>
      </c>
    </row>
    <row r="19" spans="1:11" x14ac:dyDescent="0.25">
      <c r="A19" s="4" t="s">
        <v>59</v>
      </c>
      <c r="B19" s="4" t="s">
        <v>14</v>
      </c>
      <c r="C19" s="4" t="s">
        <v>60</v>
      </c>
      <c r="D19" s="4" t="s">
        <v>21</v>
      </c>
      <c r="E19" s="4" t="s">
        <v>17</v>
      </c>
      <c r="F19" s="5">
        <v>35011732</v>
      </c>
      <c r="G19" s="5">
        <f>F19/655.957</f>
      </c>
      <c r="H19" s="4" t="s">
        <v>59</v>
      </c>
      <c r="I19" s="4" t="s">
        <v>61</v>
      </c>
      <c r="J19" s="5">
        <v>35011732</v>
      </c>
      <c r="K19" s="5">
        <f>F19-J19</f>
      </c>
    </row>
    <row r="20" spans="1:11" x14ac:dyDescent="0.25">
      <c r="A20" s="4" t="s">
        <v>59</v>
      </c>
      <c r="B20" s="4" t="s">
        <v>23</v>
      </c>
      <c r="C20" s="4" t="s">
        <v>62</v>
      </c>
      <c r="D20" s="4" t="s">
        <v>21</v>
      </c>
      <c r="E20" s="4" t="s">
        <v>17</v>
      </c>
      <c r="F20" s="5">
        <v>62000</v>
      </c>
      <c r="G20" s="5">
        <f>F20/655.957</f>
      </c>
      <c r="H20" s="4" t="s">
        <v>59</v>
      </c>
      <c r="I20" s="4" t="s">
        <v>63</v>
      </c>
      <c r="J20" s="5">
        <v>62000</v>
      </c>
      <c r="K20" s="5">
        <f>F20-J20</f>
      </c>
    </row>
    <row r="21" spans="1:11" x14ac:dyDescent="0.25">
      <c r="A21" s="4" t="s">
        <v>64</v>
      </c>
      <c r="B21" s="4" t="s">
        <v>14</v>
      </c>
      <c r="C21" s="4" t="s">
        <v>65</v>
      </c>
      <c r="D21" s="4" t="s">
        <v>21</v>
      </c>
      <c r="E21" s="4" t="s">
        <v>17</v>
      </c>
      <c r="F21" s="5">
        <v>-74342</v>
      </c>
      <c r="G21" s="5">
        <f>F21/655.957</f>
      </c>
      <c r="H21" s="4" t="s">
        <v>64</v>
      </c>
      <c r="I21" s="4" t="s">
        <v>66</v>
      </c>
      <c r="J21" s="5">
        <v>-74342</v>
      </c>
      <c r="K21" s="5">
        <f>F21-J21</f>
      </c>
    </row>
    <row r="22" spans="1:11" x14ac:dyDescent="0.25">
      <c r="A22" s="4" t="s">
        <v>64</v>
      </c>
      <c r="B22" s="4" t="s">
        <v>23</v>
      </c>
      <c r="C22" s="4" t="s">
        <v>67</v>
      </c>
      <c r="D22" s="4" t="s">
        <v>21</v>
      </c>
      <c r="E22" s="4" t="s">
        <v>17</v>
      </c>
      <c r="F22" s="5">
        <v>62000</v>
      </c>
      <c r="G22" s="5">
        <f>F22/655.957</f>
      </c>
      <c r="H22" s="4" t="s">
        <v>64</v>
      </c>
      <c r="I22" s="4" t="s">
        <v>68</v>
      </c>
      <c r="J22" s="5">
        <v>62000</v>
      </c>
      <c r="K22" s="5">
        <f>F22-J22</f>
      </c>
    </row>
    <row r="23" spans="1:11" x14ac:dyDescent="0.25">
      <c r="A23" s="4" t="s">
        <v>69</v>
      </c>
      <c r="B23" s="4" t="s">
        <v>14</v>
      </c>
      <c r="C23" s="4" t="s">
        <v>70</v>
      </c>
      <c r="D23" s="4" t="s">
        <v>21</v>
      </c>
      <c r="E23" s="4" t="s">
        <v>17</v>
      </c>
      <c r="F23" s="5">
        <v>11670561</v>
      </c>
      <c r="G23" s="5">
        <f>F23/655.957</f>
      </c>
      <c r="H23" s="4" t="s">
        <v>69</v>
      </c>
      <c r="I23" s="4" t="s">
        <v>71</v>
      </c>
      <c r="J23" s="5">
        <v>11670561</v>
      </c>
      <c r="K23" s="5">
        <f>F23-J23</f>
      </c>
    </row>
    <row r="24" spans="1:11" x14ac:dyDescent="0.25">
      <c r="A24" s="4" t="s">
        <v>69</v>
      </c>
      <c r="B24" s="4" t="s">
        <v>23</v>
      </c>
      <c r="C24" s="4" t="s">
        <v>72</v>
      </c>
      <c r="D24" s="4" t="s">
        <v>21</v>
      </c>
      <c r="E24" s="4" t="s">
        <v>17</v>
      </c>
      <c r="F24" s="5">
        <v>36000</v>
      </c>
      <c r="G24" s="5">
        <f>F24/655.957</f>
      </c>
      <c r="H24" s="4" t="s">
        <v>69</v>
      </c>
      <c r="I24" s="4" t="s">
        <v>73</v>
      </c>
      <c r="J24" s="5">
        <v>36000</v>
      </c>
      <c r="K24" s="5">
        <f>F24-J24</f>
      </c>
    </row>
    <row r="25" spans="1:11" x14ac:dyDescent="0.25">
      <c r="A25" s="4" t="s">
        <v>69</v>
      </c>
      <c r="B25" s="4" t="s">
        <v>74</v>
      </c>
      <c r="C25" s="4" t="s">
        <v>75</v>
      </c>
      <c r="D25" s="4" t="s">
        <v>21</v>
      </c>
      <c r="E25" s="4" t="s">
        <v>17</v>
      </c>
      <c r="F25" s="5">
        <v>58000</v>
      </c>
      <c r="G25" s="5">
        <f>F25/655.957</f>
      </c>
      <c r="H25" s="4" t="s">
        <v>69</v>
      </c>
      <c r="I25" s="4" t="s">
        <v>76</v>
      </c>
      <c r="J25" s="5">
        <v>58000</v>
      </c>
      <c r="K25" s="5">
        <f>F25-J25</f>
      </c>
    </row>
    <row r="26" spans="1:11" x14ac:dyDescent="0.25">
      <c r="A26" s="4" t="s">
        <v>77</v>
      </c>
      <c r="B26" s="4" t="s">
        <v>78</v>
      </c>
      <c r="C26" s="4" t="s">
        <v>79</v>
      </c>
      <c r="D26" s="4" t="s">
        <v>21</v>
      </c>
      <c r="E26" s="4" t="s">
        <v>17</v>
      </c>
      <c r="F26" s="5">
        <v>2751880</v>
      </c>
      <c r="G26" s="5">
        <f>F26/655.957</f>
      </c>
      <c r="H26" s="4" t="s">
        <v>77</v>
      </c>
      <c r="I26" s="4" t="s">
        <v>80</v>
      </c>
      <c r="J26" s="5">
        <v>2751880</v>
      </c>
      <c r="K26" s="5">
        <f>F26-J26</f>
      </c>
    </row>
    <row r="27" spans="1:11" x14ac:dyDescent="0.25">
      <c r="A27" s="4" t="s">
        <v>81</v>
      </c>
      <c r="B27" s="4" t="s">
        <v>14</v>
      </c>
      <c r="C27" s="4" t="s">
        <v>82</v>
      </c>
      <c r="D27" s="4" t="s">
        <v>21</v>
      </c>
      <c r="E27" s="4" t="s">
        <v>17</v>
      </c>
      <c r="F27" s="5">
        <v>6062002</v>
      </c>
      <c r="G27" s="5">
        <f>F27/655.957</f>
      </c>
      <c r="H27" s="4" t="s">
        <v>81</v>
      </c>
      <c r="I27" s="4" t="s">
        <v>83</v>
      </c>
      <c r="J27" s="5">
        <v>6062002</v>
      </c>
      <c r="K27" s="5">
        <f>F27-J27</f>
      </c>
    </row>
    <row r="28" spans="1:11" x14ac:dyDescent="0.25">
      <c r="A28" s="4" t="s">
        <v>36</v>
      </c>
      <c r="B28" s="4" t="s">
        <v>39</v>
      </c>
      <c r="C28" s="4" t="s">
        <v>84</v>
      </c>
      <c r="D28" s="4" t="s">
        <v>85</v>
      </c>
      <c r="E28" s="4" t="s">
        <v>42</v>
      </c>
      <c r="F28" s="5">
        <v>2643139493</v>
      </c>
      <c r="G28" s="5">
        <f>F28/655.957</f>
      </c>
      <c r="H28" s="4" t="s">
        <v>86</v>
      </c>
      <c r="I28" s="4" t="s">
        <v>87</v>
      </c>
      <c r="J28" s="5">
        <v>2643139493</v>
      </c>
      <c r="K28" s="5">
        <f>F28-J28</f>
      </c>
    </row>
    <row r="29" spans="1:11" x14ac:dyDescent="0.25">
      <c r="A29" s="4" t="s">
        <v>31</v>
      </c>
      <c r="B29" s="4" t="s">
        <v>39</v>
      </c>
      <c r="C29" s="4" t="s">
        <v>88</v>
      </c>
      <c r="D29" s="4" t="s">
        <v>85</v>
      </c>
      <c r="E29" s="4" t="s">
        <v>42</v>
      </c>
      <c r="F29" s="5">
        <v>1481904490</v>
      </c>
      <c r="G29" s="5">
        <f>F29/655.957</f>
      </c>
      <c r="H29" s="4" t="s">
        <v>89</v>
      </c>
      <c r="I29" s="4" t="s">
        <v>90</v>
      </c>
      <c r="J29" s="5">
        <v>1481904490</v>
      </c>
      <c r="K29" s="5">
        <f>F29-J29</f>
      </c>
    </row>
    <row r="30" spans="1:11" x14ac:dyDescent="0.25">
      <c r="A30" s="4" t="s">
        <v>45</v>
      </c>
      <c r="B30" s="4" t="s">
        <v>74</v>
      </c>
      <c r="C30" s="4" t="s">
        <v>91</v>
      </c>
      <c r="D30" s="4" t="s">
        <v>92</v>
      </c>
      <c r="E30" s="4" t="s">
        <v>42</v>
      </c>
      <c r="F30" s="5">
        <v>76268390</v>
      </c>
      <c r="G30" s="5">
        <f>F30/655.957</f>
      </c>
      <c r="H30" s="4" t="s">
        <v>93</v>
      </c>
      <c r="I30" s="4" t="s">
        <v>94</v>
      </c>
      <c r="J30" s="5">
        <v>76268390</v>
      </c>
      <c r="K30" s="5">
        <f>F30-J30</f>
      </c>
    </row>
    <row r="31" spans="1:7" x14ac:dyDescent="0.25">
      <c r="A31" s="6" t="s">
        <v>95</v>
      </c>
      <c r="F31" s="7">
        <f>SUM(F5:F30)</f>
      </c>
      <c r="G31" s="7">
        <f>SUM(G5:G30)</f>
      </c>
    </row>
    <row r="34" spans="1:1" x14ac:dyDescent="0.25">
      <c r="A34" s="8" t="s">
        <v>96</v>
      </c>
    </row>
    <row r="35" spans="1:10" x14ac:dyDescent="0.25">
      <c r="A35" s="9" t="s">
        <v>26</v>
      </c>
      <c r="B35" s="9" t="s">
        <v>19</v>
      </c>
      <c r="C35" s="9" t="s">
        <v>97</v>
      </c>
      <c r="D35" s="9" t="s">
        <v>92</v>
      </c>
      <c r="E35" s="9" t="s">
        <v>98</v>
      </c>
      <c r="F35" s="10">
        <v>350727089</v>
      </c>
      <c r="G35" s="10">
        <f>F35/655.957</f>
      </c>
      <c r="H35" s="9" t="s">
        <v>74</v>
      </c>
      <c r="I35" s="9" t="s">
        <v>99</v>
      </c>
      <c r="J35" s="9">
        <v>350727089</v>
      </c>
    </row>
    <row r="36" spans="1:10" x14ac:dyDescent="0.25">
      <c r="A36" s="9" t="s">
        <v>26</v>
      </c>
      <c r="B36" s="9" t="s">
        <v>19</v>
      </c>
      <c r="C36" s="9" t="s">
        <v>100</v>
      </c>
      <c r="D36" s="9" t="s">
        <v>92</v>
      </c>
      <c r="E36" s="9" t="s">
        <v>98</v>
      </c>
      <c r="F36" s="10">
        <v>42500000</v>
      </c>
      <c r="G36" s="10">
        <f>F36/655.957</f>
      </c>
      <c r="H36" s="9" t="s">
        <v>74</v>
      </c>
      <c r="I36" s="9" t="s">
        <v>101</v>
      </c>
      <c r="J36" s="9">
        <v>42500000</v>
      </c>
    </row>
    <row r="37" spans="1:10" x14ac:dyDescent="0.25">
      <c r="A37" s="9" t="s">
        <v>26</v>
      </c>
      <c r="B37" s="9" t="s">
        <v>19</v>
      </c>
      <c r="C37" s="9" t="s">
        <v>102</v>
      </c>
      <c r="D37" s="9" t="s">
        <v>92</v>
      </c>
      <c r="E37" s="9" t="s">
        <v>98</v>
      </c>
      <c r="F37" s="10">
        <v>26289357</v>
      </c>
      <c r="G37" s="10">
        <f>F37/655.957</f>
      </c>
      <c r="H37" s="9" t="s">
        <v>74</v>
      </c>
      <c r="I37" s="9" t="s">
        <v>103</v>
      </c>
      <c r="J37" s="9">
        <v>26289357</v>
      </c>
    </row>
    <row r="38" spans="1:10" x14ac:dyDescent="0.25">
      <c r="A38" s="9" t="s">
        <v>36</v>
      </c>
      <c r="B38" s="9" t="s">
        <v>39</v>
      </c>
      <c r="C38" s="9" t="s">
        <v>104</v>
      </c>
      <c r="D38" s="9" t="s">
        <v>92</v>
      </c>
      <c r="E38" s="9" t="s">
        <v>98</v>
      </c>
      <c r="F38" s="10">
        <v>0</v>
      </c>
      <c r="G38" s="10">
        <f>F38/655.957</f>
      </c>
      <c r="H38" s="9" t="s">
        <v>74</v>
      </c>
      <c r="I38" s="9" t="s">
        <v>105</v>
      </c>
      <c r="J38" s="9">
        <v>0</v>
      </c>
    </row>
    <row r="39" spans="1:10" x14ac:dyDescent="0.25">
      <c r="A39" s="9" t="s">
        <v>36</v>
      </c>
      <c r="B39" s="9" t="s">
        <v>39</v>
      </c>
      <c r="C39" s="9" t="s">
        <v>106</v>
      </c>
      <c r="D39" s="9" t="s">
        <v>92</v>
      </c>
      <c r="E39" s="9" t="s">
        <v>98</v>
      </c>
      <c r="F39" s="10">
        <v>776110097</v>
      </c>
      <c r="G39" s="10">
        <f>F39/655.957</f>
      </c>
      <c r="H39" s="9" t="s">
        <v>74</v>
      </c>
      <c r="I39" s="9" t="s">
        <v>107</v>
      </c>
      <c r="J39" s="9">
        <v>776110097</v>
      </c>
    </row>
    <row r="40" spans="1:6" x14ac:dyDescent="0.25">
      <c r="A40" s="11" t="s">
        <v>108</v>
      </c>
      <c r="F40" s="12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109</v>
      </c>
    </row>
    <row r="3" spans="1:1" x14ac:dyDescent="0.25">
      <c r="A3" s="8" t="s">
        <v>110</v>
      </c>
    </row>
    <row r="4" spans="1:5" x14ac:dyDescent="0.25">
      <c r="A4" s="3" t="s">
        <v>111</v>
      </c>
      <c r="B4" s="3" t="s">
        <v>112</v>
      </c>
      <c r="C4" s="3" t="s">
        <v>113</v>
      </c>
      <c r="D4" s="3" t="s">
        <v>114</v>
      </c>
      <c r="E4" s="3" t="s">
        <v>115</v>
      </c>
    </row>
    <row r="5" spans="1:5" x14ac:dyDescent="0.25">
      <c r="A5" s="4" t="s">
        <v>116</v>
      </c>
      <c r="B5" s="5">
        <v>6750479712</v>
      </c>
      <c r="C5" s="5">
        <v>6750479712</v>
      </c>
      <c r="D5" s="5">
        <f>B5-C5</f>
      </c>
      <c r="E5" s="4" t="s">
        <v>117</v>
      </c>
    </row>
    <row r="7" spans="1:1" x14ac:dyDescent="0.25">
      <c r="A7" s="8" t="s">
        <v>118</v>
      </c>
    </row>
    <row r="8" spans="1:5" x14ac:dyDescent="0.25">
      <c r="A8" s="3" t="s">
        <v>2</v>
      </c>
      <c r="B8" s="3" t="s">
        <v>119</v>
      </c>
      <c r="C8" s="3" t="s">
        <v>120</v>
      </c>
      <c r="D8" s="3" t="s">
        <v>114</v>
      </c>
      <c r="E8" s="3" t="s">
        <v>115</v>
      </c>
    </row>
    <row r="9" spans="1:5" x14ac:dyDescent="0.25">
      <c r="A9" s="4" t="s">
        <v>13</v>
      </c>
      <c r="B9" s="13">
        <v>296.577239</v>
      </c>
      <c r="C9" s="13">
        <v>296.577239</v>
      </c>
      <c r="D9" s="13">
        <f>B9-C9</f>
      </c>
      <c r="E9" s="4" t="s">
        <v>121</v>
      </c>
    </row>
    <row r="10" spans="1:5" x14ac:dyDescent="0.25">
      <c r="A10" s="4" t="s">
        <v>26</v>
      </c>
      <c r="B10" s="13">
        <v>540.96835821294</v>
      </c>
      <c r="C10" s="13">
        <v>540.96835821294</v>
      </c>
      <c r="D10" s="13">
        <f>B10-C10</f>
      </c>
      <c r="E10" s="4" t="s">
        <v>121</v>
      </c>
    </row>
    <row r="11" spans="1:5" x14ac:dyDescent="0.25">
      <c r="A11" s="4" t="s">
        <v>31</v>
      </c>
      <c r="B11" s="13">
        <v>264.633898</v>
      </c>
      <c r="C11" s="13">
        <v>264.633898</v>
      </c>
      <c r="D11" s="13">
        <f>B11-C11</f>
      </c>
      <c r="E11" s="4" t="s">
        <v>121</v>
      </c>
    </row>
    <row r="12" spans="1:5" x14ac:dyDescent="0.25">
      <c r="A12" s="4" t="s">
        <v>36</v>
      </c>
      <c r="B12" s="13">
        <v>88.788492</v>
      </c>
      <c r="C12" s="13">
        <v>88.788492</v>
      </c>
      <c r="D12" s="13">
        <f>B12-C12</f>
      </c>
      <c r="E12" s="4" t="s">
        <v>121</v>
      </c>
    </row>
    <row r="13" spans="1:5" x14ac:dyDescent="0.25">
      <c r="A13" s="4" t="s">
        <v>122</v>
      </c>
      <c r="B13" s="13">
        <v>50.022534</v>
      </c>
      <c r="C13" s="13">
        <v>50.022534</v>
      </c>
      <c r="D13" s="13">
        <f>B13-C13</f>
      </c>
      <c r="E13" s="4" t="s">
        <v>121</v>
      </c>
    </row>
    <row r="14" spans="1:5" x14ac:dyDescent="0.25">
      <c r="A14" s="4" t="s">
        <v>69</v>
      </c>
      <c r="B14" s="13">
        <v>77.778338</v>
      </c>
      <c r="C14" s="13">
        <v>77.778338</v>
      </c>
      <c r="D14" s="13">
        <f>B14-C14</f>
      </c>
      <c r="E14" s="4" t="s">
        <v>121</v>
      </c>
    </row>
    <row r="15" spans="1:5" x14ac:dyDescent="0.25">
      <c r="A15" s="4" t="s">
        <v>59</v>
      </c>
      <c r="B15" s="13">
        <v>233.763463</v>
      </c>
      <c r="C15" s="13">
        <v>233.763463</v>
      </c>
      <c r="D15" s="13">
        <f>B15-C15</f>
      </c>
      <c r="E15" s="4" t="s">
        <v>121</v>
      </c>
    </row>
    <row r="16" spans="1:5" x14ac:dyDescent="0.25">
      <c r="A16" s="4" t="s">
        <v>81</v>
      </c>
      <c r="B16" s="13">
        <v>9.5751</v>
      </c>
      <c r="C16" s="13">
        <v>9.5751</v>
      </c>
      <c r="D16" s="13">
        <f>B16-C16</f>
      </c>
      <c r="E16" s="4" t="s">
        <v>121</v>
      </c>
    </row>
    <row r="17" spans="1:5" x14ac:dyDescent="0.25">
      <c r="A17" s="4" t="s">
        <v>64</v>
      </c>
      <c r="B17" s="13">
        <v>6.289</v>
      </c>
      <c r="C17" s="13">
        <v>6.289</v>
      </c>
      <c r="D17" s="13">
        <f>B17-C17</f>
      </c>
      <c r="E17" s="4" t="s">
        <v>121</v>
      </c>
    </row>
    <row r="19" spans="1:1" x14ac:dyDescent="0.25">
      <c r="A19" s="8" t="s">
        <v>123</v>
      </c>
    </row>
    <row r="20" spans="1:5" x14ac:dyDescent="0.25">
      <c r="A20" s="3" t="s">
        <v>124</v>
      </c>
      <c r="B20" s="3" t="s">
        <v>112</v>
      </c>
      <c r="C20" s="3" t="s">
        <v>125</v>
      </c>
      <c r="D20" s="3" t="s">
        <v>114</v>
      </c>
      <c r="E20" s="3" t="s">
        <v>10</v>
      </c>
    </row>
    <row r="21" spans="1:5" x14ac:dyDescent="0.25">
      <c r="A21" s="4" t="s">
        <v>126</v>
      </c>
      <c r="B21" s="5">
        <v>4946194.15</v>
      </c>
      <c r="C21" s="5">
        <v>4946194.15</v>
      </c>
      <c r="D21" s="5">
        <f>B21-C21</f>
      </c>
      <c r="E21" s="4" t="s">
        <v>127</v>
      </c>
    </row>
    <row r="22" spans="1:5" x14ac:dyDescent="0.25">
      <c r="A22" s="4" t="s">
        <v>128</v>
      </c>
      <c r="B22" s="5">
        <v>4097563.74</v>
      </c>
      <c r="C22" s="5">
        <v>4097563.74</v>
      </c>
      <c r="D22" s="5">
        <f>B22-C22</f>
      </c>
      <c r="E22" s="4" t="s">
        <v>129</v>
      </c>
    </row>
    <row r="24" spans="1:1" x14ac:dyDescent="0.25">
      <c r="A24" s="8" t="s">
        <v>130</v>
      </c>
    </row>
    <row r="25" spans="1:5" x14ac:dyDescent="0.25">
      <c r="A25" s="3" t="s">
        <v>131</v>
      </c>
      <c r="B25" s="3" t="s">
        <v>132</v>
      </c>
      <c r="C25" s="3" t="s">
        <v>133</v>
      </c>
      <c r="D25" s="3" t="s">
        <v>74</v>
      </c>
      <c r="E25" s="3" t="s">
        <v>134</v>
      </c>
    </row>
    <row r="26" spans="1:5" x14ac:dyDescent="0.25">
      <c r="A26" s="4" t="s">
        <v>135</v>
      </c>
      <c r="B26" s="5">
        <v>-13254203304</v>
      </c>
      <c r="C26" s="14">
        <v>17</v>
      </c>
      <c r="D26" s="4" t="s">
        <v>74</v>
      </c>
      <c r="E26" s="4" t="s">
        <v>136</v>
      </c>
    </row>
    <row r="27" spans="1:5" x14ac:dyDescent="0.25">
      <c r="A27" s="4" t="s">
        <v>137</v>
      </c>
      <c r="B27" s="5">
        <v>-1715342550</v>
      </c>
      <c r="C27" s="14">
        <v>5</v>
      </c>
      <c r="D27" s="4" t="s">
        <v>74</v>
      </c>
      <c r="E27" s="4" t="s">
        <v>136</v>
      </c>
    </row>
    <row r="28" spans="1:5" x14ac:dyDescent="0.25">
      <c r="A28" s="4" t="s">
        <v>138</v>
      </c>
      <c r="B28" s="5">
        <v>6113285</v>
      </c>
      <c r="C28" s="14">
        <v>1</v>
      </c>
      <c r="D28" s="4" t="s">
        <v>74</v>
      </c>
      <c r="E28" s="4" t="s">
        <v>136</v>
      </c>
    </row>
    <row r="29" spans="1:5" x14ac:dyDescent="0.25">
      <c r="A29" s="4" t="s">
        <v>139</v>
      </c>
      <c r="B29" s="5">
        <v>-220402934</v>
      </c>
      <c r="C29" s="14">
        <v>2</v>
      </c>
      <c r="D29" s="4" t="s">
        <v>74</v>
      </c>
      <c r="E29" s="4" t="s">
        <v>140</v>
      </c>
    </row>
    <row r="31" spans="1:1" x14ac:dyDescent="0.25">
      <c r="A31" s="8" t="s">
        <v>141</v>
      </c>
    </row>
    <row r="32" spans="1:1" x14ac:dyDescent="0.25">
      <c r="A32" s="15" t="s">
        <v>142</v>
      </c>
    </row>
    <row r="33" spans="1:1" x14ac:dyDescent="0.25">
      <c r="A33" s="15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144</v>
      </c>
    </row>
    <row r="3" spans="1:1" x14ac:dyDescent="0.25">
      <c r="A3" s="8" t="s">
        <v>145</v>
      </c>
    </row>
    <row r="4" spans="1:10" x14ac:dyDescent="0.25">
      <c r="A4" s="3" t="s">
        <v>2</v>
      </c>
      <c r="B4" s="3" t="s">
        <v>146</v>
      </c>
      <c r="C4" s="3" t="s">
        <v>147</v>
      </c>
      <c r="D4" s="3" t="s">
        <v>114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</row>
    <row r="5" spans="1:10" x14ac:dyDescent="0.25">
      <c r="A5" s="4" t="s">
        <v>13</v>
      </c>
      <c r="B5" s="16">
        <v>296.57723899999996</v>
      </c>
      <c r="C5" s="16">
        <v>296.57723899999996</v>
      </c>
      <c r="D5" s="16">
        <v>0</v>
      </c>
      <c r="E5" s="16">
        <v>396.566951</v>
      </c>
      <c r="F5" s="16">
        <v>396.566951</v>
      </c>
      <c r="G5" s="16">
        <v>99.98971200000005</v>
      </c>
      <c r="H5" s="16">
        <v>99.98971200000005</v>
      </c>
      <c r="I5" s="16">
        <v>0</v>
      </c>
      <c r="J5" s="17" t="s">
        <v>154</v>
      </c>
    </row>
    <row r="6" spans="1:10" x14ac:dyDescent="0.25">
      <c r="A6" s="4" t="s">
        <v>26</v>
      </c>
      <c r="B6" s="16">
        <v>540.96835821294</v>
      </c>
      <c r="C6" s="16">
        <v>540.96835821294</v>
      </c>
      <c r="D6" s="16">
        <v>0</v>
      </c>
      <c r="E6" s="16">
        <v>236.123654</v>
      </c>
      <c r="F6" s="16">
        <v>236.123654</v>
      </c>
      <c r="G6" s="16">
        <v>-175.27643898293996</v>
      </c>
      <c r="H6" s="16">
        <v>-175.27643898294002</v>
      </c>
      <c r="I6" s="16">
        <v>-5.684341886080802e-14</v>
      </c>
      <c r="J6" s="17" t="s">
        <v>154</v>
      </c>
    </row>
    <row r="7" spans="1:10" x14ac:dyDescent="0.25">
      <c r="A7" s="4" t="s">
        <v>31</v>
      </c>
      <c r="B7" s="16">
        <v>264.633898</v>
      </c>
      <c r="C7" s="16">
        <v>264.633898</v>
      </c>
      <c r="D7" s="16">
        <v>0</v>
      </c>
      <c r="E7" s="16">
        <v>58.255022</v>
      </c>
      <c r="F7" s="16">
        <v>58.255022</v>
      </c>
      <c r="G7" s="16">
        <v>-206.378876</v>
      </c>
      <c r="H7" s="16">
        <v>-206.378876</v>
      </c>
      <c r="I7" s="16">
        <v>0</v>
      </c>
      <c r="J7" s="17" t="s">
        <v>154</v>
      </c>
    </row>
    <row r="8" spans="1:10" x14ac:dyDescent="0.25">
      <c r="A8" s="4" t="s">
        <v>36</v>
      </c>
      <c r="B8" s="16">
        <v>88.788492</v>
      </c>
      <c r="C8" s="16">
        <v>88.788492</v>
      </c>
      <c r="D8" s="16">
        <v>0</v>
      </c>
      <c r="E8" s="16">
        <v>1.473216</v>
      </c>
      <c r="F8" s="16">
        <v>1.473216</v>
      </c>
      <c r="G8" s="16">
        <v>-87.31527600000001</v>
      </c>
      <c r="H8" s="16">
        <v>-87.315276</v>
      </c>
      <c r="I8" s="16">
        <v>1.4210854715202004e-14</v>
      </c>
      <c r="J8" s="17" t="s">
        <v>154</v>
      </c>
    </row>
    <row r="9" spans="1:10" x14ac:dyDescent="0.25">
      <c r="A9" s="4" t="s">
        <v>45</v>
      </c>
      <c r="B9" s="16"/>
      <c r="C9" s="16">
        <v>178.0456286</v>
      </c>
      <c r="D9" s="16">
        <v>178.0456286</v>
      </c>
      <c r="E9" s="16"/>
      <c r="F9" s="16">
        <v>29.131434</v>
      </c>
      <c r="G9" s="16"/>
      <c r="H9" s="16">
        <v>-29.545979600000003</v>
      </c>
      <c r="I9" s="16">
        <v>-29.545979600000003</v>
      </c>
      <c r="J9" s="17" t="s">
        <v>155</v>
      </c>
    </row>
    <row r="10" spans="1:10" x14ac:dyDescent="0.25">
      <c r="A10" s="4" t="s">
        <v>59</v>
      </c>
      <c r="B10" s="16">
        <v>233.76346300000003</v>
      </c>
      <c r="C10" s="16">
        <v>233.763463</v>
      </c>
      <c r="D10" s="16">
        <v>-2.842170943040401e-14</v>
      </c>
      <c r="E10" s="16">
        <v>35.073732</v>
      </c>
      <c r="F10" s="16">
        <v>35.073732</v>
      </c>
      <c r="G10" s="16">
        <v>-198.68973100000002</v>
      </c>
      <c r="H10" s="16">
        <v>-198.689731</v>
      </c>
      <c r="I10" s="16">
        <v>2.842170943040401e-14</v>
      </c>
      <c r="J10" s="17" t="s">
        <v>154</v>
      </c>
    </row>
    <row r="11" spans="1:10" x14ac:dyDescent="0.25">
      <c r="A11" s="4" t="s">
        <v>64</v>
      </c>
      <c r="B11" s="16">
        <v>6.289</v>
      </c>
      <c r="C11" s="16">
        <v>6.289</v>
      </c>
      <c r="D11" s="16">
        <v>0</v>
      </c>
      <c r="E11" s="16">
        <v>-0.012342</v>
      </c>
      <c r="F11" s="16">
        <v>-0.012342</v>
      </c>
      <c r="G11" s="16">
        <v>-6.301342</v>
      </c>
      <c r="H11" s="16">
        <v>-6.301342</v>
      </c>
      <c r="I11" s="16">
        <v>0</v>
      </c>
      <c r="J11" s="17" t="s">
        <v>154</v>
      </c>
    </row>
    <row r="12" spans="1:10" x14ac:dyDescent="0.25">
      <c r="A12" s="4" t="s">
        <v>69</v>
      </c>
      <c r="B12" s="16">
        <v>77.77833799999999</v>
      </c>
      <c r="C12" s="16">
        <v>77.77833799999999</v>
      </c>
      <c r="D12" s="16">
        <v>0</v>
      </c>
      <c r="E12" s="16">
        <v>11.764561</v>
      </c>
      <c r="F12" s="16">
        <v>11.764561</v>
      </c>
      <c r="G12" s="16">
        <v>-66.01377699999999</v>
      </c>
      <c r="H12" s="16">
        <v>-66.013777</v>
      </c>
      <c r="I12" s="16">
        <v>-1.4210854715202004e-14</v>
      </c>
      <c r="J12" s="17" t="s">
        <v>154</v>
      </c>
    </row>
    <row r="13" spans="1:10" x14ac:dyDescent="0.25">
      <c r="A13" s="4" t="s">
        <v>77</v>
      </c>
      <c r="B13" s="16"/>
      <c r="C13" s="16">
        <v>0</v>
      </c>
      <c r="D13" s="16">
        <v>0</v>
      </c>
      <c r="E13" s="16"/>
      <c r="F13" s="16">
        <v>2.75188</v>
      </c>
      <c r="G13" s="16"/>
      <c r="H13" s="16">
        <v>2.75188</v>
      </c>
      <c r="I13" s="16">
        <v>2.75188</v>
      </c>
      <c r="J13" s="17" t="s">
        <v>156</v>
      </c>
    </row>
    <row r="14" spans="1:10" x14ac:dyDescent="0.25">
      <c r="A14" s="4" t="s">
        <v>81</v>
      </c>
      <c r="B14" s="16">
        <v>9.575099999999999</v>
      </c>
      <c r="C14" s="16">
        <v>9.575099999999999</v>
      </c>
      <c r="D14" s="16">
        <v>0</v>
      </c>
      <c r="E14" s="16">
        <v>6.062002</v>
      </c>
      <c r="F14" s="16">
        <v>6.062002</v>
      </c>
      <c r="G14" s="16">
        <v>-3.5130979999999994</v>
      </c>
      <c r="H14" s="16">
        <v>-3.513098000000001</v>
      </c>
      <c r="I14" s="16">
        <v>-1.7763568394002505e-15</v>
      </c>
      <c r="J14" s="17" t="s">
        <v>154</v>
      </c>
    </row>
    <row r="15" spans="1:10" x14ac:dyDescent="0.25">
      <c r="A15" s="4" t="s">
        <v>122</v>
      </c>
      <c r="B15" s="16">
        <v>50.02253399999999</v>
      </c>
      <c r="C15" s="16">
        <v>50.02253399999999</v>
      </c>
      <c r="D15" s="16">
        <v>0</v>
      </c>
      <c r="E15" s="16">
        <v>0</v>
      </c>
      <c r="F15" s="16">
        <v>0</v>
      </c>
      <c r="G15" s="16">
        <v>-50.02253399999999</v>
      </c>
      <c r="H15" s="16">
        <v>-50.02253400000001</v>
      </c>
      <c r="I15" s="16">
        <v>-1.4210854715202004e-14</v>
      </c>
      <c r="J15" s="17" t="s">
        <v>154</v>
      </c>
    </row>
    <row r="16" spans="1:10" x14ac:dyDescent="0.25">
      <c r="A16" s="18" t="s">
        <v>157</v>
      </c>
      <c r="B16" s="19">
        <v>1568.3964222129398</v>
      </c>
      <c r="C16" s="19">
        <v>1746.44205081294</v>
      </c>
      <c r="D16" s="19">
        <v>178.04562859999996</v>
      </c>
      <c r="E16" s="19">
        <v>745.306796</v>
      </c>
      <c r="F16" s="19">
        <v>777.19011</v>
      </c>
      <c r="G16" s="19">
        <v>-693.5213609829399</v>
      </c>
      <c r="H16" s="19">
        <v>-720.31546058294</v>
      </c>
      <c r="I16" s="19">
        <v>-26.794099600000045</v>
      </c>
      <c r="J16" s="18" t="s">
        <v>74</v>
      </c>
    </row>
    <row r="18" spans="1:1" x14ac:dyDescent="0.25">
      <c r="A18" s="8" t="s">
        <v>158</v>
      </c>
    </row>
    <row r="19" spans="1:5" x14ac:dyDescent="0.25">
      <c r="A19" s="3" t="s">
        <v>159</v>
      </c>
      <c r="B19" s="3" t="s">
        <v>160</v>
      </c>
      <c r="C19" s="3" t="s">
        <v>112</v>
      </c>
      <c r="D19" s="3" t="s">
        <v>114</v>
      </c>
      <c r="E19" s="3" t="s">
        <v>153</v>
      </c>
    </row>
    <row r="20" spans="1:5" x14ac:dyDescent="0.25">
      <c r="A20" s="4" t="s">
        <v>161</v>
      </c>
      <c r="B20" s="16">
        <v>244.99626199999997</v>
      </c>
      <c r="C20" s="16">
        <v>244.99626199999997</v>
      </c>
      <c r="D20" s="16">
        <v>0</v>
      </c>
      <c r="E20" s="4" t="s">
        <v>162</v>
      </c>
    </row>
    <row r="21" spans="1:5" x14ac:dyDescent="0.25">
      <c r="A21" s="4" t="s">
        <v>163</v>
      </c>
      <c r="B21" s="16">
        <v>637.405803</v>
      </c>
      <c r="C21" s="16">
        <v>637.405803</v>
      </c>
      <c r="D21" s="16">
        <v>0</v>
      </c>
      <c r="E21" s="4" t="s">
        <v>162</v>
      </c>
    </row>
    <row r="22" spans="1:5" x14ac:dyDescent="0.25">
      <c r="A22" s="4" t="s">
        <v>164</v>
      </c>
      <c r="B22" s="16">
        <v>152.070689</v>
      </c>
      <c r="C22" s="16">
        <v>152.070689</v>
      </c>
      <c r="D22" s="16">
        <v>0</v>
      </c>
      <c r="E22" s="4" t="s">
        <v>162</v>
      </c>
    </row>
    <row r="23" spans="1:5" x14ac:dyDescent="0.25">
      <c r="A23" s="4" t="s">
        <v>165</v>
      </c>
      <c r="B23" s="16">
        <v>85.788691</v>
      </c>
      <c r="C23" s="16">
        <v>85.788691</v>
      </c>
      <c r="D23" s="16">
        <v>0</v>
      </c>
      <c r="E23" s="4" t="s">
        <v>162</v>
      </c>
    </row>
    <row r="24" spans="1:5" x14ac:dyDescent="0.25">
      <c r="A24" s="4" t="s">
        <v>166</v>
      </c>
      <c r="B24" s="16">
        <v>448.13497721294</v>
      </c>
      <c r="C24" s="16">
        <v>448.13497721294</v>
      </c>
      <c r="D24" s="16">
        <v>0</v>
      </c>
      <c r="E24" s="4" t="s">
        <v>162</v>
      </c>
    </row>
    <row r="25" spans="1:5" x14ac:dyDescent="0.25">
      <c r="A25" s="4" t="s">
        <v>167</v>
      </c>
      <c r="B25" s="16">
        <v>129.56826523</v>
      </c>
      <c r="C25" s="16">
        <v>129.56826522999998</v>
      </c>
      <c r="D25" s="16">
        <v>-2.842170943040401e-14</v>
      </c>
      <c r="E25" s="4" t="s">
        <v>162</v>
      </c>
    </row>
    <row r="26" spans="1:5" x14ac:dyDescent="0.25">
      <c r="A26" s="4" t="s">
        <v>168</v>
      </c>
      <c r="B26" s="16">
        <v>0</v>
      </c>
      <c r="C26" s="16">
        <v>178.0456286</v>
      </c>
      <c r="D26" s="16">
        <v>178.0456286</v>
      </c>
      <c r="E26" s="4" t="s">
        <v>169</v>
      </c>
    </row>
    <row r="28" spans="1:1" x14ac:dyDescent="0.25">
      <c r="A28" s="8" t="s">
        <v>170</v>
      </c>
    </row>
    <row r="29" spans="1:5" x14ac:dyDescent="0.25">
      <c r="A29" s="3" t="s">
        <v>171</v>
      </c>
      <c r="B29" s="3" t="s">
        <v>172</v>
      </c>
      <c r="C29" s="3" t="s">
        <v>173</v>
      </c>
      <c r="D29" s="3" t="s">
        <v>114</v>
      </c>
      <c r="E29" s="3" t="s">
        <v>153</v>
      </c>
    </row>
    <row r="30" spans="1:5" x14ac:dyDescent="0.25">
      <c r="A30" s="18" t="s">
        <v>36</v>
      </c>
      <c r="B30" s="19">
        <v>3699.5668106392864</v>
      </c>
      <c r="C30" s="19">
        <v>3699.566810639287</v>
      </c>
      <c r="D30" s="19">
        <v>4.547473508864641e-13</v>
      </c>
      <c r="E30" s="18" t="s">
        <v>174</v>
      </c>
    </row>
    <row r="31" spans="1:5" x14ac:dyDescent="0.25">
      <c r="A31" s="4" t="s">
        <v>175</v>
      </c>
      <c r="B31" s="16">
        <v>91.2699500964329</v>
      </c>
      <c r="C31" s="16">
        <v>91.2699500964329</v>
      </c>
      <c r="D31" s="16">
        <v>0</v>
      </c>
      <c r="E31" s="4" t="s">
        <v>176</v>
      </c>
    </row>
    <row r="32" spans="1:5" x14ac:dyDescent="0.25">
      <c r="A32" s="4" t="s">
        <v>177</v>
      </c>
      <c r="B32" s="16">
        <v>1976.5850833750312</v>
      </c>
      <c r="C32" s="16">
        <v>1976.5850833750312</v>
      </c>
      <c r="D32" s="16">
        <v>0</v>
      </c>
      <c r="E32" s="4" t="s">
        <v>178</v>
      </c>
    </row>
    <row r="33" spans="1:5" x14ac:dyDescent="0.25">
      <c r="A33" s="4" t="s">
        <v>179</v>
      </c>
      <c r="B33" s="16">
        <v>1267.9055957833798</v>
      </c>
      <c r="C33" s="16">
        <v>1267.90559578338</v>
      </c>
      <c r="D33" s="16">
        <v>2.2737367544323206e-13</v>
      </c>
      <c r="E33" s="4" t="s">
        <v>178</v>
      </c>
    </row>
    <row r="34" spans="1:5" x14ac:dyDescent="0.25">
      <c r="A34" s="4" t="s">
        <v>180</v>
      </c>
      <c r="B34" s="16">
        <v>455.07613148087546</v>
      </c>
      <c r="C34" s="16">
        <v>455.07613148087535</v>
      </c>
      <c r="D34" s="16">
        <v>-1.1368683772161603e-13</v>
      </c>
      <c r="E34" s="4" t="s">
        <v>178</v>
      </c>
    </row>
    <row r="35" spans="1:5" x14ac:dyDescent="0.25">
      <c r="A35" s="4" t="s">
        <v>181</v>
      </c>
      <c r="B35" s="16">
        <v>2643.139493</v>
      </c>
      <c r="C35" s="16">
        <v>2643.139493</v>
      </c>
      <c r="D35" s="16">
        <v>0</v>
      </c>
      <c r="E35" s="4" t="s">
        <v>178</v>
      </c>
    </row>
    <row r="36" spans="1:5" x14ac:dyDescent="0.25">
      <c r="A36" s="18" t="s">
        <v>31</v>
      </c>
      <c r="B36" s="19">
        <v>3926.313997203903</v>
      </c>
      <c r="C36" s="19">
        <v>3221.648437203903</v>
      </c>
      <c r="D36" s="19">
        <v>-704.6655599999999</v>
      </c>
      <c r="E36" s="18" t="s">
        <v>174</v>
      </c>
    </row>
    <row r="37" spans="1:5" x14ac:dyDescent="0.25">
      <c r="A37" s="4" t="s">
        <v>182</v>
      </c>
      <c r="B37" s="16">
        <v>116.22847414168119</v>
      </c>
      <c r="C37" s="16">
        <v>116.2284741416812</v>
      </c>
      <c r="D37" s="16">
        <v>1.4210854715202004e-14</v>
      </c>
      <c r="E37" s="4" t="s">
        <v>176</v>
      </c>
    </row>
    <row r="38" spans="1:5" x14ac:dyDescent="0.25">
      <c r="A38" s="4" t="s">
        <v>177</v>
      </c>
      <c r="B38" s="16">
        <v>2197.7624460785723</v>
      </c>
      <c r="C38" s="16">
        <v>2197.7624460785723</v>
      </c>
      <c r="D38" s="16">
        <v>0</v>
      </c>
      <c r="E38" s="4" t="s">
        <v>178</v>
      </c>
    </row>
    <row r="39" spans="1:5" x14ac:dyDescent="0.25">
      <c r="A39" s="4" t="s">
        <v>179</v>
      </c>
      <c r="B39" s="16">
        <v>490.0631747136942</v>
      </c>
      <c r="C39" s="16">
        <v>490.0631747136942</v>
      </c>
      <c r="D39" s="16">
        <v>0</v>
      </c>
      <c r="E39" s="4" t="s">
        <v>178</v>
      </c>
    </row>
    <row r="40" spans="1:5" x14ac:dyDescent="0.25">
      <c r="A40" s="4" t="s">
        <v>180</v>
      </c>
      <c r="B40" s="16">
        <v>1238.4883764116369</v>
      </c>
      <c r="C40" s="16">
        <v>1238.4883764116366</v>
      </c>
      <c r="D40" s="16">
        <v>-2.2737367544323206e-13</v>
      </c>
      <c r="E40" s="4" t="s">
        <v>178</v>
      </c>
    </row>
    <row r="41" spans="1:5" x14ac:dyDescent="0.25">
      <c r="A41" s="4" t="s">
        <v>181</v>
      </c>
      <c r="B41" s="16">
        <v>1481.90449</v>
      </c>
      <c r="C41" s="16">
        <v>1481.90449</v>
      </c>
      <c r="D41" s="16">
        <v>0</v>
      </c>
      <c r="E41" s="4" t="s">
        <v>178</v>
      </c>
    </row>
    <row r="43" spans="1:1" x14ac:dyDescent="0.25">
      <c r="A43" s="8" t="s">
        <v>183</v>
      </c>
    </row>
    <row r="44" ht="30" customHeight="1" spans="1:10" x14ac:dyDescent="0.25">
      <c r="A44" s="20" t="s">
        <v>184</v>
      </c>
      <c r="B44" s="20"/>
      <c r="C44" s="20"/>
      <c r="D44" s="20"/>
      <c r="E44" s="20"/>
      <c r="F44" s="20"/>
      <c r="G44" s="20"/>
      <c r="H44" s="20"/>
      <c r="I44" s="20"/>
      <c r="J44" s="20"/>
    </row>
    <row r="45" ht="30" customHeight="1" spans="1:10" x14ac:dyDescent="0.25">
      <c r="A45" s="20" t="s">
        <v>185</v>
      </c>
      <c r="B45" s="20"/>
      <c r="C45" s="20"/>
      <c r="D45" s="20"/>
      <c r="E45" s="20"/>
      <c r="F45" s="20"/>
      <c r="G45" s="20"/>
      <c r="H45" s="20"/>
      <c r="I45" s="20"/>
      <c r="J45" s="20"/>
    </row>
    <row r="46" ht="30" customHeight="1" spans="1:10" x14ac:dyDescent="0.25">
      <c r="A46" s="20" t="s">
        <v>186</v>
      </c>
      <c r="B46" s="20"/>
      <c r="C46" s="20"/>
      <c r="D46" s="20"/>
      <c r="E46" s="20"/>
      <c r="F46" s="20"/>
      <c r="G46" s="20"/>
      <c r="H46" s="20"/>
      <c r="I46" s="20"/>
      <c r="J46" s="20"/>
    </row>
    <row r="47" ht="30" customHeight="1" spans="1:10" x14ac:dyDescent="0.25">
      <c r="A47" s="20" t="s">
        <v>187</v>
      </c>
      <c r="B47" s="20"/>
      <c r="C47" s="20"/>
      <c r="D47" s="20"/>
      <c r="E47" s="20"/>
      <c r="F47" s="20"/>
      <c r="G47" s="20"/>
      <c r="H47" s="20"/>
      <c r="I47" s="20"/>
      <c r="J47" s="20"/>
    </row>
    <row r="48" ht="30" customHeight="1" spans="1:10" x14ac:dyDescent="0.25">
      <c r="A48" s="20" t="s">
        <v>188</v>
      </c>
      <c r="B48" s="20"/>
      <c r="C48" s="20"/>
      <c r="D48" s="20"/>
      <c r="E48" s="20"/>
      <c r="F48" s="20"/>
      <c r="G48" s="20"/>
      <c r="H48" s="20"/>
      <c r="I48" s="20"/>
      <c r="J48" s="20"/>
    </row>
    <row r="49" ht="30" customHeight="1" spans="1:10" x14ac:dyDescent="0.25">
      <c r="A49" s="20" t="s">
        <v>189</v>
      </c>
      <c r="B49" s="20"/>
      <c r="C49" s="20"/>
      <c r="D49" s="20"/>
      <c r="E49" s="20"/>
      <c r="F49" s="20"/>
      <c r="G49" s="20"/>
      <c r="H49" s="20"/>
      <c r="I49" s="20"/>
      <c r="J49" s="20"/>
    </row>
    <row r="50" ht="30" customHeight="1" spans="1:10" x14ac:dyDescent="0.25">
      <c r="A50" s="20" t="s">
        <v>190</v>
      </c>
      <c r="B50" s="20"/>
      <c r="C50" s="20"/>
      <c r="D50" s="20"/>
      <c r="E50" s="20"/>
      <c r="F50" s="20"/>
      <c r="G50" s="20"/>
      <c r="H50" s="20"/>
      <c r="I50" s="20"/>
      <c r="J50" s="20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191</v>
      </c>
    </row>
    <row r="3" spans="1:2" x14ac:dyDescent="0.25">
      <c r="A3" s="21" t="s">
        <v>192</v>
      </c>
      <c r="B3" s="22"/>
    </row>
    <row r="4" spans="1:2" x14ac:dyDescent="0.25">
      <c r="A4" s="23" t="s">
        <v>193</v>
      </c>
      <c r="B4" s="20" t="s">
        <v>194</v>
      </c>
    </row>
    <row r="5" spans="1:2" x14ac:dyDescent="0.25">
      <c r="A5" s="23" t="s">
        <v>195</v>
      </c>
      <c r="B5" s="20" t="s">
        <v>196</v>
      </c>
    </row>
    <row r="6" spans="1:2" x14ac:dyDescent="0.25">
      <c r="A6" s="23" t="s">
        <v>197</v>
      </c>
      <c r="B6" s="20" t="s">
        <v>198</v>
      </c>
    </row>
    <row r="7" spans="1:2" x14ac:dyDescent="0.25">
      <c r="A7" s="23" t="s">
        <v>199</v>
      </c>
      <c r="B7" s="20" t="s">
        <v>200</v>
      </c>
    </row>
    <row r="8" spans="1:2" x14ac:dyDescent="0.25">
      <c r="A8" s="23" t="s">
        <v>45</v>
      </c>
      <c r="B8" s="20" t="s">
        <v>201</v>
      </c>
    </row>
    <row r="9" spans="1:2" x14ac:dyDescent="0.25">
      <c r="A9" s="23" t="s">
        <v>202</v>
      </c>
      <c r="B9" s="20" t="s">
        <v>203</v>
      </c>
    </row>
    <row r="10" spans="1:2" x14ac:dyDescent="0.25">
      <c r="A10" s="23" t="s">
        <v>74</v>
      </c>
      <c r="B10" s="20" t="s">
        <v>74</v>
      </c>
    </row>
    <row r="11" spans="1:2" x14ac:dyDescent="0.25">
      <c r="A11" s="21" t="s">
        <v>204</v>
      </c>
      <c r="B11" s="22"/>
    </row>
    <row r="12" spans="1:2" x14ac:dyDescent="0.25">
      <c r="A12" s="23" t="s">
        <v>205</v>
      </c>
      <c r="B12" s="20" t="s">
        <v>206</v>
      </c>
    </row>
    <row r="13" spans="1:2" x14ac:dyDescent="0.25">
      <c r="A13" s="23" t="s">
        <v>207</v>
      </c>
      <c r="B13" s="20" t="s">
        <v>208</v>
      </c>
    </row>
    <row r="14" spans="1:2" x14ac:dyDescent="0.25">
      <c r="A14" s="23" t="s">
        <v>199</v>
      </c>
      <c r="B14" s="20" t="s">
        <v>209</v>
      </c>
    </row>
    <row r="15" spans="1:2" x14ac:dyDescent="0.25">
      <c r="A15" s="23" t="s">
        <v>210</v>
      </c>
      <c r="B15" s="20" t="s">
        <v>211</v>
      </c>
    </row>
    <row r="16" spans="1:2" x14ac:dyDescent="0.25">
      <c r="A16" s="23" t="s">
        <v>202</v>
      </c>
      <c r="B16" s="20" t="s">
        <v>212</v>
      </c>
    </row>
    <row r="17" spans="1:2" x14ac:dyDescent="0.25">
      <c r="A17" s="23" t="s">
        <v>213</v>
      </c>
      <c r="B17" s="20" t="s">
        <v>214</v>
      </c>
    </row>
    <row r="18" spans="1:2" x14ac:dyDescent="0.25">
      <c r="A18" s="23" t="s">
        <v>215</v>
      </c>
      <c r="B18" s="20" t="s">
        <v>216</v>
      </c>
    </row>
    <row r="19" spans="1:2" x14ac:dyDescent="0.25">
      <c r="A19" s="23" t="s">
        <v>217</v>
      </c>
      <c r="B19" s="20" t="s">
        <v>218</v>
      </c>
    </row>
    <row r="20" spans="1:2" x14ac:dyDescent="0.25">
      <c r="A20" s="23" t="s">
        <v>219</v>
      </c>
      <c r="B20" s="20" t="s">
        <v>220</v>
      </c>
    </row>
    <row r="21" spans="1:2" x14ac:dyDescent="0.25">
      <c r="A21" s="23" t="s">
        <v>74</v>
      </c>
      <c r="B21" s="20" t="s">
        <v>74</v>
      </c>
    </row>
    <row r="22" spans="1:2" x14ac:dyDescent="0.25">
      <c r="A22" s="21" t="s">
        <v>221</v>
      </c>
      <c r="B22" s="22"/>
    </row>
    <row r="23" spans="1:2" x14ac:dyDescent="0.25">
      <c r="A23" s="23" t="s">
        <v>222</v>
      </c>
      <c r="B23" s="20" t="s">
        <v>223</v>
      </c>
    </row>
    <row r="24" spans="1:2" x14ac:dyDescent="0.25">
      <c r="A24" s="23" t="s">
        <v>224</v>
      </c>
      <c r="B24" s="20" t="s">
        <v>225</v>
      </c>
    </row>
    <row r="25" spans="1:2" x14ac:dyDescent="0.25">
      <c r="A25" s="23" t="s">
        <v>226</v>
      </c>
      <c r="B25" s="20" t="s">
        <v>227</v>
      </c>
    </row>
    <row r="26" spans="1:2" x14ac:dyDescent="0.25">
      <c r="A26" s="23" t="s">
        <v>74</v>
      </c>
      <c r="B26" s="20" t="s">
        <v>74</v>
      </c>
    </row>
    <row r="27" spans="1:2" x14ac:dyDescent="0.25">
      <c r="A27" s="21" t="s">
        <v>228</v>
      </c>
      <c r="B27" s="22"/>
    </row>
    <row r="28" spans="1:2" x14ac:dyDescent="0.25">
      <c r="A28" s="23" t="s">
        <v>229</v>
      </c>
      <c r="B28" s="20" t="s">
        <v>230</v>
      </c>
    </row>
    <row r="29" spans="1:2" x14ac:dyDescent="0.25">
      <c r="A29" s="23" t="s">
        <v>231</v>
      </c>
      <c r="B29" s="20" t="s">
        <v>232</v>
      </c>
    </row>
    <row r="30" spans="1:2" x14ac:dyDescent="0.25">
      <c r="A30" s="23" t="s">
        <v>233</v>
      </c>
      <c r="B30" s="20" t="s">
        <v>234</v>
      </c>
    </row>
    <row r="31" spans="1:2" x14ac:dyDescent="0.25">
      <c r="A31" s="23" t="s">
        <v>235</v>
      </c>
      <c r="B31" s="20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Trésorerie &amp; Financement</dc:creator>
  <dc:title/>
  <dc:subject/>
  <dc:description/>
  <cp:keywords/>
  <cp:category/>
  <cp:lastModifiedBy>Unknown</cp:lastModifiedBy>
  <dcterms:created xsi:type="dcterms:W3CDTF">2026-10-08T08:14:41Z</dcterms:created>
  <dcterms:modified xsi:type="dcterms:W3CDTF">2026-10-08T08:14:41Z</dcterms:modified>
</cp:coreProperties>
</file>