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Équilibrage S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<sst xmlns="http://schemas.openxmlformats.org/spreadsheetml/2006/main" count="80" uniqueCount="66">
  <si>
    <t xml:space="preserve">Équilibrage et affectation des paiements – S1 (05/10 au 11/10/2026) – PROPOSITION À VALIDER</t>
  </si>
  <si>
    <t xml:space="preserve">Montants en FCFA ; flux de S1 du reporting (antériorités comprises) ; comptes réservés (DSRA, LL, décaissement, TVA bloquée) exclus.</t>
  </si>
  <si>
    <t xml:space="preserve">Opérations à effectuer</t>
  </si>
  <si>
    <t xml:space="preserve">Paiement via</t>
  </si>
  <si>
    <t xml:space="preserve">Observations</t>
  </si>
  <si>
    <t xml:space="preserve">TERASSON</t>
  </si>
  <si>
    <t xml:space="preserve">PICI</t>
  </si>
  <si>
    <t xml:space="preserve">SCI FIRST</t>
  </si>
  <si>
    <t xml:space="preserve">RIVIERA PARK</t>
  </si>
  <si>
    <t xml:space="preserve">SCO AO</t>
  </si>
  <si>
    <t xml:space="preserve">IMMONEUF</t>
  </si>
  <si>
    <t xml:space="preserve">FINAFRICA</t>
  </si>
  <si>
    <t xml:space="preserve">INFI</t>
  </si>
  <si>
    <t xml:space="preserve">ODALYS CI</t>
  </si>
  <si>
    <t xml:space="preserve">AB CENTER</t>
  </si>
  <si>
    <t xml:space="preserve">RHD CI</t>
  </si>
  <si>
    <t xml:space="preserve">BNI fonds projet</t>
  </si>
  <si>
    <t xml:space="preserve">SG</t>
  </si>
  <si>
    <t xml:space="preserve">ECO</t>
  </si>
  <si>
    <t xml:space="preserve">STB</t>
  </si>
  <si>
    <t xml:space="preserve">STB Debt Service</t>
  </si>
  <si>
    <t xml:space="preserve">BNI courant</t>
  </si>
  <si>
    <t xml:space="preserve">BACI Projet</t>
  </si>
  <si>
    <t xml:space="preserve">BACI courant</t>
  </si>
  <si>
    <t xml:space="preserve">BOA</t>
  </si>
  <si>
    <t xml:space="preserve">BACI AGORA</t>
  </si>
  <si>
    <t xml:space="preserve">BACI - IMMONEUF</t>
  </si>
  <si>
    <t xml:space="preserve">SIB</t>
  </si>
  <si>
    <t xml:space="preserve">payé par PICI</t>
  </si>
  <si>
    <t xml:space="preserve">NIVELLEMENT VIA PICI</t>
  </si>
  <si>
    <t xml:space="preserve">Excédents PICI puis FIRST vers les sociétés en déficit : impôts, cotisations et salaires d'abord, fournisseurs ensuite</t>
  </si>
  <si>
    <t xml:space="preserve">AUTRES NIVELLEMENTS</t>
  </si>
  <si>
    <t xml:space="preserve">Virements entre comptes d'une même entité (BNI-RIVIERA courant : sous réserve d'arbitrage)</t>
  </si>
  <si>
    <t xml:space="preserve">FOURNISSEURS-PROJETS</t>
  </si>
  <si>
    <t xml:space="preserve">Cash plans : comptes « Dédié paiement CPI » ; SCO AO : BACI-Projet</t>
  </si>
  <si>
    <t xml:space="preserve">FOURNISSEURS-FGX</t>
  </si>
  <si>
    <t xml:space="preserve">IMPÔTS</t>
  </si>
  <si>
    <t xml:space="preserve">CHARGES SOCIALES</t>
  </si>
  <si>
    <t xml:space="preserve">SALAIRES</t>
  </si>
  <si>
    <t xml:space="preserve">ÉCHÉANCES</t>
  </si>
  <si>
    <t xml:space="preserve">Service de la dette FIRST : compte Debt Service</t>
  </si>
  <si>
    <t xml:space="preserve">AUTRES (ENCAISSEMENTS, DIVERS)</t>
  </si>
  <si>
    <t xml:space="preserve">ENREGISTREMENTS</t>
  </si>
  <si>
    <t xml:space="preserve">Hors besoin (droits d'enregistrement)</t>
  </si>
  <si>
    <t xml:space="preserve">Total</t>
  </si>
  <si>
    <t xml:space="preserve">Solde au 30/09/2026</t>
  </si>
  <si>
    <t xml:space="preserve">Solde théorique fin S1 (11/10/2026)</t>
  </si>
  <si>
    <t xml:space="preserve">Reste à financer (spot) ou à reporter</t>
  </si>
  <si>
    <t xml:space="preserve">Virements proposés</t>
  </si>
  <si>
    <t xml:space="preserve">• TERASSON : ECOBANK -TERASSON → SOCIETE GENERALE-TERASSON 0.1 M</t>
  </si>
  <si>
    <t xml:space="preserve">• RIVIERA : BNI-RIVIERA(Courant) → SOCIETE GENERALE-RIVIERA 87.1 M (compte à arbitrer)</t>
  </si>
  <si>
    <t xml:space="preserve">• SCO AO : BANK OF AFRICA-SCO AO → BACI-CompteCourant 0.9 M</t>
  </si>
  <si>
    <t xml:space="preserve">• SCO AO : ECOBANK - SCO AO → BACI-CompteCourant 0.1 M</t>
  </si>
  <si>
    <t xml:space="preserve">• IMMONEUF : BACI - IMMONEUF → SOCIETE GENERALE-IMMONEUF 0.1 M</t>
  </si>
  <si>
    <t xml:space="preserve">• FINAFRICA : ECOBANK-FINAFRICA → SOCIETE GENERALE-FINAFRICA 0.1 M</t>
  </si>
  <si>
    <t xml:space="preserve">• ECOBANK-PICI → ODALYS CI (SOCIETE GENERALE-ODALYS) 1.9 M – légal</t>
  </si>
  <si>
    <t xml:space="preserve">• ECOBANK-PICI → AB CENTER (ECOBANK- AB CENTER) 3.7 M – légal</t>
  </si>
  <si>
    <t xml:space="preserve">• ECOBANK-PICI → IMMONEUF (SOCIETE GENERALE-IMMONEUF) 19.4 M – légal</t>
  </si>
  <si>
    <t xml:space="preserve">• ECOBANK-PICI → RHD CI ((aucun compte)) 45.1 M – légal</t>
  </si>
  <si>
    <t xml:space="preserve">• ECOBANK-PICI → SCO AO (BACI-CompteCourant) 35.2 M – légal</t>
  </si>
  <si>
    <t xml:space="preserve">• STANBIC-PICI → SCO AO (BACI-CompteCourant) 21.9 M – légal</t>
  </si>
  <si>
    <t xml:space="preserve">• STANBIC-PICI → FINAFRICA (SOCIETE GENERALE-FINAFRICA) 2.8 M – légal</t>
  </si>
  <si>
    <t xml:space="preserve">• SOCIETE GENERALE-PICI → FINAFRICA (SOCIETE GENERALE-FINAFRICA) 3.6 M – légal</t>
  </si>
  <si>
    <t xml:space="preserve">• STANBIC-FIRST → FINAFRICA (SOCIETE GENERALE-FINAFRICA) 74.5 M – légal</t>
  </si>
  <si>
    <t xml:space="preserve">• STANBIC-FIRST → TERASSON (SOCIETE GENERALE-TERASSON) 89.2 M – légal</t>
  </si>
  <si>
    <t xml:space="preserve">• SOCIETE GENERALE-FIRST → TERASSON (SOCIETE GENERALE-TERASSON) 8.4 M – légal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</si>
</sst>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-#,##0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i val="true"/>
      <sz val="10"/>
      <color rgb="FF6B7280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000000"/>
      <name val="Calibri"/>
      <family val="0"/>
      <charset val="1"/>
    </font>
    <font>
      <sz val="9"/>
      <color rgb="FF6B7280"/>
      <name val="Calibri"/>
      <family val="0"/>
      <charset val="1"/>
    </font>
    <font>
      <sz val="10"/>
      <color rgb="FFC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8E4B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4B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8" min="2" style="0" width="14"/>
    <col collapsed="false" customWidth="true" hidden="false" outlineLevel="0" max="29" min="29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 t="s">
        <v>4</v>
      </c>
    </row>
    <row r="5" customFormat="false" ht="15" hidden="false" customHeight="true" outlineLevel="0" collapsed="false">
      <c r="A5" s="3"/>
      <c r="B5" s="3" t="s">
        <v>5</v>
      </c>
      <c r="C5" s="3"/>
      <c r="D5" s="3"/>
      <c r="E5" s="3" t="s">
        <v>6</v>
      </c>
      <c r="F5" s="3"/>
      <c r="G5" s="3"/>
      <c r="H5" s="3" t="s">
        <v>7</v>
      </c>
      <c r="I5" s="3"/>
      <c r="J5" s="3"/>
      <c r="K5" s="3" t="s">
        <v>8</v>
      </c>
      <c r="L5" s="3"/>
      <c r="M5" s="3"/>
      <c r="N5" s="3" t="s">
        <v>9</v>
      </c>
      <c r="O5" s="3"/>
      <c r="P5" s="3"/>
      <c r="Q5" s="3"/>
      <c r="R5" s="3"/>
      <c r="S5" s="3" t="s">
        <v>10</v>
      </c>
      <c r="T5" s="3"/>
      <c r="U5" s="3"/>
      <c r="V5" s="3" t="s">
        <v>11</v>
      </c>
      <c r="W5" s="3"/>
      <c r="X5" s="3" t="s">
        <v>12</v>
      </c>
      <c r="Y5" s="3" t="s">
        <v>13</v>
      </c>
      <c r="Z5" s="3" t="s">
        <v>14</v>
      </c>
      <c r="AA5" s="3"/>
      <c r="AB5" s="3" t="s">
        <v>15</v>
      </c>
      <c r="AC5" s="4"/>
    </row>
    <row r="6" customFormat="false" ht="23.85" hidden="false" customHeight="false" outlineLevel="0" collapsed="false">
      <c r="A6" s="3"/>
      <c r="B6" s="3" t="s">
        <v>16</v>
      </c>
      <c r="C6" s="3" t="s">
        <v>17</v>
      </c>
      <c r="D6" s="3" t="s">
        <v>18</v>
      </c>
      <c r="E6" s="3" t="s">
        <v>18</v>
      </c>
      <c r="F6" s="3" t="s">
        <v>19</v>
      </c>
      <c r="G6" s="3" t="s">
        <v>17</v>
      </c>
      <c r="H6" s="3" t="s">
        <v>20</v>
      </c>
      <c r="I6" s="3" t="s">
        <v>19</v>
      </c>
      <c r="J6" s="3" t="s">
        <v>17</v>
      </c>
      <c r="K6" s="3" t="s">
        <v>16</v>
      </c>
      <c r="L6" s="3" t="s">
        <v>21</v>
      </c>
      <c r="M6" s="3" t="s">
        <v>17</v>
      </c>
      <c r="N6" s="3" t="s">
        <v>22</v>
      </c>
      <c r="O6" s="3" t="s">
        <v>23</v>
      </c>
      <c r="P6" s="3" t="s">
        <v>24</v>
      </c>
      <c r="Q6" s="3" t="s">
        <v>25</v>
      </c>
      <c r="R6" s="3" t="s">
        <v>18</v>
      </c>
      <c r="S6" s="3" t="s">
        <v>17</v>
      </c>
      <c r="T6" s="3" t="s">
        <v>26</v>
      </c>
      <c r="U6" s="3" t="s">
        <v>18</v>
      </c>
      <c r="V6" s="3" t="s">
        <v>17</v>
      </c>
      <c r="W6" s="3" t="s">
        <v>18</v>
      </c>
      <c r="X6" s="3" t="s">
        <v>27</v>
      </c>
      <c r="Y6" s="3" t="s">
        <v>17</v>
      </c>
      <c r="Z6" s="3" t="s">
        <v>17</v>
      </c>
      <c r="AA6" s="3" t="s">
        <v>18</v>
      </c>
      <c r="AB6" s="3" t="s">
        <v>28</v>
      </c>
      <c r="AC6" s="4"/>
    </row>
    <row r="7" customFormat="false" ht="15" hidden="false" customHeight="false" outlineLevel="0" collapsed="false">
      <c r="A7" s="5" t="s">
        <v>29</v>
      </c>
      <c r="B7" s="6"/>
      <c r="C7" s="6" t="n">
        <v>97637173</v>
      </c>
      <c r="D7" s="6"/>
      <c r="E7" s="6" t="n">
        <v>-105349481</v>
      </c>
      <c r="F7" s="6" t="n">
        <v>-24751125</v>
      </c>
      <c r="G7" s="6" t="n">
        <v>-3580753</v>
      </c>
      <c r="H7" s="6"/>
      <c r="I7" s="6" t="n">
        <v>-163700254</v>
      </c>
      <c r="J7" s="6" t="n">
        <v>-8429337</v>
      </c>
      <c r="K7" s="6"/>
      <c r="L7" s="6"/>
      <c r="M7" s="6"/>
      <c r="N7" s="6"/>
      <c r="O7" s="6" t="n">
        <v>57137575</v>
      </c>
      <c r="P7" s="6"/>
      <c r="Q7" s="6"/>
      <c r="R7" s="6"/>
      <c r="S7" s="6" t="n">
        <v>19402028</v>
      </c>
      <c r="T7" s="6"/>
      <c r="U7" s="6"/>
      <c r="V7" s="6" t="n">
        <v>80921642</v>
      </c>
      <c r="W7" s="6"/>
      <c r="X7" s="6"/>
      <c r="Y7" s="6" t="n">
        <v>1937998</v>
      </c>
      <c r="Z7" s="6"/>
      <c r="AA7" s="6" t="n">
        <v>3688000</v>
      </c>
      <c r="AB7" s="6" t="n">
        <v>45086534</v>
      </c>
      <c r="AC7" s="7" t="s">
        <v>30</v>
      </c>
    </row>
    <row r="8" customFormat="false" ht="15" hidden="false" customHeight="false" outlineLevel="0" collapsed="false">
      <c r="A8" s="5" t="s">
        <v>31</v>
      </c>
      <c r="B8" s="6"/>
      <c r="C8" s="6" t="n">
        <v>62000</v>
      </c>
      <c r="D8" s="6" t="n">
        <v>-62000</v>
      </c>
      <c r="E8" s="6"/>
      <c r="F8" s="6"/>
      <c r="G8" s="6"/>
      <c r="H8" s="6"/>
      <c r="I8" s="6"/>
      <c r="J8" s="6"/>
      <c r="K8" s="6"/>
      <c r="L8" s="6" t="n">
        <v>-87063276</v>
      </c>
      <c r="M8" s="6" t="n">
        <v>87063276</v>
      </c>
      <c r="N8" s="6"/>
      <c r="O8" s="6" t="n">
        <v>959338</v>
      </c>
      <c r="P8" s="6" t="n">
        <v>-897338</v>
      </c>
      <c r="Q8" s="6"/>
      <c r="R8" s="6" t="n">
        <v>-62000</v>
      </c>
      <c r="S8" s="6" t="n">
        <v>58000</v>
      </c>
      <c r="T8" s="6" t="n">
        <v>-58000</v>
      </c>
      <c r="U8" s="6"/>
      <c r="V8" s="6" t="n">
        <v>62000</v>
      </c>
      <c r="W8" s="6" t="n">
        <v>-62000</v>
      </c>
      <c r="X8" s="6"/>
      <c r="Y8" s="6"/>
      <c r="Z8" s="6"/>
      <c r="AA8" s="6"/>
      <c r="AB8" s="6"/>
      <c r="AC8" s="7" t="s">
        <v>32</v>
      </c>
    </row>
    <row r="9" customFormat="false" ht="15" hidden="false" customHeight="false" outlineLevel="0" collapsed="false">
      <c r="A9" s="5" t="s">
        <v>33</v>
      </c>
      <c r="B9" s="6" t="n">
        <v>-2202076675</v>
      </c>
      <c r="C9" s="6"/>
      <c r="D9" s="6"/>
      <c r="E9" s="6"/>
      <c r="F9" s="6"/>
      <c r="G9" s="6"/>
      <c r="H9" s="6"/>
      <c r="I9" s="6"/>
      <c r="J9" s="6"/>
      <c r="K9" s="6" t="n">
        <v>-1988436011</v>
      </c>
      <c r="L9" s="6"/>
      <c r="M9" s="6"/>
      <c r="N9" s="6" t="n">
        <v>-95901847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7" t="s">
        <v>34</v>
      </c>
    </row>
    <row r="10" customFormat="false" ht="15" hidden="false" customHeight="false" outlineLevel="0" collapsed="false">
      <c r="A10" s="5" t="s">
        <v>35</v>
      </c>
      <c r="B10" s="6"/>
      <c r="C10" s="6" t="n">
        <v>-9715889</v>
      </c>
      <c r="D10" s="6"/>
      <c r="E10" s="6" t="n">
        <v>-56767621</v>
      </c>
      <c r="F10" s="6"/>
      <c r="G10" s="6"/>
      <c r="H10" s="6"/>
      <c r="I10" s="6" t="n">
        <v>-62433995</v>
      </c>
      <c r="J10" s="6"/>
      <c r="K10" s="6"/>
      <c r="L10" s="6"/>
      <c r="M10" s="6" t="n">
        <v>-17646545</v>
      </c>
      <c r="N10" s="6"/>
      <c r="O10" s="6" t="n">
        <v>-35324075</v>
      </c>
      <c r="P10" s="6"/>
      <c r="Q10" s="6"/>
      <c r="R10" s="6"/>
      <c r="S10" s="6" t="n">
        <v>-6245749</v>
      </c>
      <c r="T10" s="6"/>
      <c r="U10" s="6"/>
      <c r="V10" s="6" t="n">
        <v>-59233045</v>
      </c>
      <c r="W10" s="6"/>
      <c r="X10" s="6"/>
      <c r="Y10" s="6" t="n">
        <v>-1575100</v>
      </c>
      <c r="Z10" s="6"/>
      <c r="AA10" s="6" t="n">
        <v>-2539000</v>
      </c>
      <c r="AB10" s="6"/>
      <c r="AC10" s="7"/>
    </row>
    <row r="11" customFormat="false" ht="15" hidden="false" customHeight="false" outlineLevel="0" collapsed="false">
      <c r="A11" s="5" t="s">
        <v>36</v>
      </c>
      <c r="B11" s="6"/>
      <c r="C11" s="8" t="n">
        <v>-254918009</v>
      </c>
      <c r="D11" s="6"/>
      <c r="E11" s="8" t="n">
        <v>-161059315</v>
      </c>
      <c r="F11" s="6"/>
      <c r="G11" s="6"/>
      <c r="H11" s="6"/>
      <c r="I11" s="8" t="n">
        <v>-1560068</v>
      </c>
      <c r="J11" s="6"/>
      <c r="K11" s="6"/>
      <c r="L11" s="6"/>
      <c r="M11" s="8" t="n">
        <v>-70731067</v>
      </c>
      <c r="N11" s="6"/>
      <c r="O11" s="8" t="n">
        <v>-21660500</v>
      </c>
      <c r="P11" s="6"/>
      <c r="Q11" s="6"/>
      <c r="R11" s="6"/>
      <c r="S11" s="8" t="n">
        <v>-9131573</v>
      </c>
      <c r="T11" s="6"/>
      <c r="U11" s="6"/>
      <c r="V11" s="8" t="n">
        <v>-62980429</v>
      </c>
      <c r="W11" s="6"/>
      <c r="X11" s="6"/>
      <c r="Y11" s="8" t="n">
        <v>-8000000</v>
      </c>
      <c r="Z11" s="6"/>
      <c r="AA11" s="8" t="n">
        <v>-3750000</v>
      </c>
      <c r="AB11" s="8" t="n">
        <v>-35905342</v>
      </c>
      <c r="AC11" s="7"/>
    </row>
    <row r="12" customFormat="false" ht="15" hidden="false" customHeight="false" outlineLevel="0" collapsed="false">
      <c r="A12" s="5" t="s">
        <v>37</v>
      </c>
      <c r="B12" s="6"/>
      <c r="C12" s="6"/>
      <c r="D12" s="6"/>
      <c r="E12" s="8" t="n">
        <v>-45058656</v>
      </c>
      <c r="F12" s="6"/>
      <c r="G12" s="6"/>
      <c r="H12" s="6"/>
      <c r="I12" s="6"/>
      <c r="J12" s="6"/>
      <c r="K12" s="6"/>
      <c r="L12" s="6"/>
      <c r="M12" s="8" t="n">
        <v>-158880</v>
      </c>
      <c r="N12" s="6"/>
      <c r="O12" s="8" t="n">
        <v>-16566974</v>
      </c>
      <c r="P12" s="6"/>
      <c r="Q12" s="6"/>
      <c r="R12" s="6"/>
      <c r="S12" s="8" t="n">
        <v>-21941016</v>
      </c>
      <c r="T12" s="6"/>
      <c r="U12" s="6"/>
      <c r="V12" s="8" t="n">
        <v>-52952945</v>
      </c>
      <c r="W12" s="6"/>
      <c r="X12" s="6"/>
      <c r="Y12" s="6"/>
      <c r="Z12" s="6"/>
      <c r="AA12" s="6"/>
      <c r="AB12" s="8" t="n">
        <v>-9181192</v>
      </c>
      <c r="AC12" s="7"/>
    </row>
    <row r="13" customFormat="false" ht="15" hidden="false" customHeight="false" outlineLevel="0" collapsed="false">
      <c r="A13" s="5" t="s">
        <v>38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8" t="n">
        <v>-24285262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7"/>
    </row>
    <row r="14" customFormat="false" ht="15" hidden="false" customHeight="false" outlineLevel="0" collapsed="false">
      <c r="A14" s="5" t="s">
        <v>39</v>
      </c>
      <c r="B14" s="6"/>
      <c r="C14" s="6"/>
      <c r="D14" s="6"/>
      <c r="E14" s="6"/>
      <c r="F14" s="6"/>
      <c r="G14" s="6"/>
      <c r="H14" s="6" t="n">
        <v>-343929648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7" t="s">
        <v>40</v>
      </c>
    </row>
    <row r="15" customFormat="false" ht="15" hidden="false" customHeight="false" outlineLevel="0" collapsed="false">
      <c r="A15" s="5" t="s">
        <v>41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 t="n">
        <v>-11400000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7"/>
    </row>
    <row r="16" customFormat="false" ht="15" hidden="false" customHeight="false" outlineLevel="0" collapsed="false">
      <c r="A16" s="5" t="s">
        <v>42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7" t="s">
        <v>43</v>
      </c>
    </row>
    <row r="17" customFormat="false" ht="15" hidden="false" customHeight="false" outlineLevel="0" collapsed="false">
      <c r="A17" s="9" t="s">
        <v>44</v>
      </c>
      <c r="B17" s="10" t="n">
        <f aca="false">SUM(B7:B16)</f>
        <v>-2202076675</v>
      </c>
      <c r="C17" s="10" t="n">
        <f aca="false">SUM(C7:C16)</f>
        <v>-166934725</v>
      </c>
      <c r="D17" s="10" t="n">
        <f aca="false">SUM(D7:D16)</f>
        <v>-62000</v>
      </c>
      <c r="E17" s="10" t="n">
        <f aca="false">SUM(E7:E16)</f>
        <v>-368235073</v>
      </c>
      <c r="F17" s="10" t="n">
        <f aca="false">SUM(F7:F16)</f>
        <v>-24751125</v>
      </c>
      <c r="G17" s="10" t="n">
        <f aca="false">SUM(G7:G16)</f>
        <v>-3580753</v>
      </c>
      <c r="H17" s="10" t="n">
        <f aca="false">SUM(H7:H16)</f>
        <v>-343929648</v>
      </c>
      <c r="I17" s="10" t="n">
        <f aca="false">SUM(I7:I16)</f>
        <v>-227694317</v>
      </c>
      <c r="J17" s="10" t="n">
        <f aca="false">SUM(J7:J16)</f>
        <v>-8429337</v>
      </c>
      <c r="K17" s="10" t="n">
        <f aca="false">SUM(K7:K16)</f>
        <v>-1988436011</v>
      </c>
      <c r="L17" s="10" t="n">
        <f aca="false">SUM(L7:L16)</f>
        <v>-87063276</v>
      </c>
      <c r="M17" s="10" t="n">
        <f aca="false">SUM(M7:M16)</f>
        <v>-1473216</v>
      </c>
      <c r="N17" s="10" t="n">
        <f aca="false">SUM(N7:N16)</f>
        <v>-95901847</v>
      </c>
      <c r="O17" s="10" t="n">
        <f aca="false">SUM(O7:O16)</f>
        <v>-51139898</v>
      </c>
      <c r="P17" s="10" t="n">
        <f aca="false">SUM(P7:P16)</f>
        <v>-897338</v>
      </c>
      <c r="Q17" s="10" t="n">
        <f aca="false">SUM(Q7:Q16)</f>
        <v>0</v>
      </c>
      <c r="R17" s="10" t="n">
        <f aca="false">SUM(R7:R16)</f>
        <v>-62000</v>
      </c>
      <c r="S17" s="10" t="n">
        <f aca="false">SUM(S7:S16)</f>
        <v>-17858310</v>
      </c>
      <c r="T17" s="10" t="n">
        <f aca="false">SUM(T7:T16)</f>
        <v>-58000</v>
      </c>
      <c r="U17" s="10" t="n">
        <f aca="false">SUM(U7:U16)</f>
        <v>0</v>
      </c>
      <c r="V17" s="10" t="n">
        <f aca="false">SUM(V7:V16)</f>
        <v>-94182777</v>
      </c>
      <c r="W17" s="10" t="n">
        <f aca="false">SUM(W7:W16)</f>
        <v>-62000</v>
      </c>
      <c r="X17" s="10" t="n">
        <f aca="false">SUM(X7:X16)</f>
        <v>0</v>
      </c>
      <c r="Y17" s="10" t="n">
        <f aca="false">SUM(Y7:Y16)</f>
        <v>-7637102</v>
      </c>
      <c r="Z17" s="10" t="n">
        <f aca="false">SUM(Z7:Z16)</f>
        <v>0</v>
      </c>
      <c r="AA17" s="10" t="n">
        <f aca="false">SUM(AA7:AA16)</f>
        <v>-2601000</v>
      </c>
      <c r="AB17" s="10" t="n">
        <f aca="false">SUM(AB7:AB16)</f>
        <v>0</v>
      </c>
      <c r="AC17" s="11"/>
    </row>
    <row r="18" customFormat="false" ht="15" hidden="false" customHeight="false" outlineLevel="0" collapsed="false">
      <c r="A18" s="12" t="s">
        <v>45</v>
      </c>
      <c r="B18" s="13" t="n">
        <v>1481904490</v>
      </c>
      <c r="C18" s="13" t="n">
        <v>58193022</v>
      </c>
      <c r="D18" s="13" t="n">
        <v>62000</v>
      </c>
      <c r="E18" s="13" t="n">
        <v>368235073</v>
      </c>
      <c r="F18" s="13" t="n">
        <v>24751125</v>
      </c>
      <c r="G18" s="13" t="n">
        <v>3580753</v>
      </c>
      <c r="H18" s="13" t="n">
        <v>350727089</v>
      </c>
      <c r="I18" s="13" t="n">
        <v>227694317</v>
      </c>
      <c r="J18" s="13" t="n">
        <v>8429337</v>
      </c>
      <c r="K18" s="13" t="n">
        <v>2643139493</v>
      </c>
      <c r="L18" s="13" t="n">
        <v>1771977229</v>
      </c>
      <c r="M18" s="13" t="n">
        <v>1473216</v>
      </c>
      <c r="N18" s="13" t="n">
        <v>22569647</v>
      </c>
      <c r="O18" s="13" t="n">
        <v>5375161</v>
      </c>
      <c r="P18" s="13" t="n">
        <v>897338</v>
      </c>
      <c r="Q18" s="13" t="n">
        <v>227288</v>
      </c>
      <c r="R18" s="13" t="n">
        <v>62000</v>
      </c>
      <c r="S18" s="13" t="n">
        <v>11670561</v>
      </c>
      <c r="T18" s="13" t="n">
        <v>58000</v>
      </c>
      <c r="U18" s="13" t="n">
        <v>36000</v>
      </c>
      <c r="V18" s="13" t="n">
        <v>35011732</v>
      </c>
      <c r="W18" s="13" t="n">
        <v>62000</v>
      </c>
      <c r="X18" s="13" t="n">
        <v>2751880</v>
      </c>
      <c r="Y18" s="13" t="n">
        <v>6062002</v>
      </c>
      <c r="Z18" s="13" t="n">
        <v>-74342</v>
      </c>
      <c r="AA18" s="13" t="n">
        <v>62000</v>
      </c>
      <c r="AB18" s="13" t="n">
        <v>0</v>
      </c>
      <c r="AC18" s="11"/>
    </row>
    <row r="19" customFormat="false" ht="15" hidden="false" customHeight="false" outlineLevel="0" collapsed="false">
      <c r="A19" s="9" t="s">
        <v>46</v>
      </c>
      <c r="B19" s="10" t="n">
        <f aca="false">B17+B18</f>
        <v>-720172185</v>
      </c>
      <c r="C19" s="10" t="n">
        <f aca="false">C17+C18</f>
        <v>-108741703</v>
      </c>
      <c r="D19" s="10" t="n">
        <f aca="false">D17+D18</f>
        <v>0</v>
      </c>
      <c r="E19" s="10" t="n">
        <f aca="false">E17+E18</f>
        <v>0</v>
      </c>
      <c r="F19" s="10" t="n">
        <f aca="false">F17+F18</f>
        <v>0</v>
      </c>
      <c r="G19" s="10" t="n">
        <f aca="false">G17+G18</f>
        <v>0</v>
      </c>
      <c r="H19" s="10" t="n">
        <f aca="false">H17+H18</f>
        <v>6797441</v>
      </c>
      <c r="I19" s="10" t="n">
        <f aca="false">I17+I18</f>
        <v>0</v>
      </c>
      <c r="J19" s="10" t="n">
        <f aca="false">J17+J18</f>
        <v>0</v>
      </c>
      <c r="K19" s="10" t="n">
        <f aca="false">K17+K18</f>
        <v>654703482</v>
      </c>
      <c r="L19" s="10" t="n">
        <f aca="false">L17+L18</f>
        <v>1684913953</v>
      </c>
      <c r="M19" s="10" t="n">
        <f aca="false">M17+M18</f>
        <v>0</v>
      </c>
      <c r="N19" s="10" t="n">
        <f aca="false">N17+N18</f>
        <v>-73332200</v>
      </c>
      <c r="O19" s="10" t="n">
        <f aca="false">O17+O18</f>
        <v>-45764737</v>
      </c>
      <c r="P19" s="10" t="n">
        <f aca="false">P17+P18</f>
        <v>0</v>
      </c>
      <c r="Q19" s="10" t="n">
        <f aca="false">Q17+Q18</f>
        <v>227288</v>
      </c>
      <c r="R19" s="10" t="n">
        <f aca="false">R17+R18</f>
        <v>0</v>
      </c>
      <c r="S19" s="10" t="n">
        <f aca="false">S17+S18</f>
        <v>-6187749</v>
      </c>
      <c r="T19" s="10" t="n">
        <f aca="false">T17+T18</f>
        <v>0</v>
      </c>
      <c r="U19" s="10" t="n">
        <f aca="false">U17+U18</f>
        <v>36000</v>
      </c>
      <c r="V19" s="10" t="n">
        <f aca="false">V17+V18</f>
        <v>-59171045</v>
      </c>
      <c r="W19" s="10" t="n">
        <f aca="false">W17+W18</f>
        <v>0</v>
      </c>
      <c r="X19" s="10" t="n">
        <f aca="false">X17+X18</f>
        <v>2751880</v>
      </c>
      <c r="Y19" s="10" t="n">
        <f aca="false">Y17+Y18</f>
        <v>-1575100</v>
      </c>
      <c r="Z19" s="10" t="n">
        <f aca="false">Z17+Z18</f>
        <v>-74342</v>
      </c>
      <c r="AA19" s="10" t="n">
        <f aca="false">AA17+AA18</f>
        <v>-2539000</v>
      </c>
      <c r="AB19" s="10" t="n">
        <f aca="false">AB17+AB18</f>
        <v>0</v>
      </c>
      <c r="AC19" s="11"/>
    </row>
    <row r="20" customFormat="false" ht="15" hidden="false" customHeight="false" outlineLevel="0" collapsed="false">
      <c r="A20" s="9" t="s">
        <v>47</v>
      </c>
      <c r="B20" s="10" t="n">
        <f aca="false">IF(B19&lt;0,-B19,0)</f>
        <v>720172185</v>
      </c>
      <c r="C20" s="10" t="n">
        <f aca="false">IF(C19&lt;0,-C19,0)</f>
        <v>108741703</v>
      </c>
      <c r="D20" s="10" t="n">
        <f aca="false">IF(D19&lt;0,-D19,0)</f>
        <v>0</v>
      </c>
      <c r="E20" s="10" t="n">
        <f aca="false">IF(E19&lt;0,-E19,0)</f>
        <v>0</v>
      </c>
      <c r="F20" s="10" t="n">
        <f aca="false">IF(F19&lt;0,-F19,0)</f>
        <v>0</v>
      </c>
      <c r="G20" s="10" t="n">
        <f aca="false">IF(G19&lt;0,-G19,0)</f>
        <v>0</v>
      </c>
      <c r="H20" s="10" t="n">
        <f aca="false">IF(H19&lt;0,-H19,0)</f>
        <v>0</v>
      </c>
      <c r="I20" s="10" t="n">
        <f aca="false">IF(I19&lt;0,-I19,0)</f>
        <v>0</v>
      </c>
      <c r="J20" s="10" t="n">
        <f aca="false">IF(J19&lt;0,-J19,0)</f>
        <v>0</v>
      </c>
      <c r="K20" s="10" t="n">
        <f aca="false">IF(K19&lt;0,-K19,0)</f>
        <v>0</v>
      </c>
      <c r="L20" s="10" t="n">
        <f aca="false">IF(L19&lt;0,-L19,0)</f>
        <v>0</v>
      </c>
      <c r="M20" s="10" t="n">
        <f aca="false">IF(M19&lt;0,-M19,0)</f>
        <v>0</v>
      </c>
      <c r="N20" s="10" t="n">
        <f aca="false">IF(N19&lt;0,-N19,0)</f>
        <v>73332200</v>
      </c>
      <c r="O20" s="10" t="n">
        <f aca="false">IF(O19&lt;0,-O19,0)</f>
        <v>45764737</v>
      </c>
      <c r="P20" s="10" t="n">
        <f aca="false">IF(P19&lt;0,-P19,0)</f>
        <v>0</v>
      </c>
      <c r="Q20" s="10" t="n">
        <f aca="false">IF(Q19&lt;0,-Q19,0)</f>
        <v>0</v>
      </c>
      <c r="R20" s="10" t="n">
        <f aca="false">IF(R19&lt;0,-R19,0)</f>
        <v>0</v>
      </c>
      <c r="S20" s="10" t="n">
        <f aca="false">IF(S19&lt;0,-S19,0)</f>
        <v>6187749</v>
      </c>
      <c r="T20" s="10" t="n">
        <f aca="false">IF(T19&lt;0,-T19,0)</f>
        <v>0</v>
      </c>
      <c r="U20" s="10" t="n">
        <f aca="false">IF(U19&lt;0,-U19,0)</f>
        <v>0</v>
      </c>
      <c r="V20" s="10" t="n">
        <f aca="false">IF(V19&lt;0,-V19,0)</f>
        <v>59171045</v>
      </c>
      <c r="W20" s="10" t="n">
        <f aca="false">IF(W19&lt;0,-W19,0)</f>
        <v>0</v>
      </c>
      <c r="X20" s="10" t="n">
        <f aca="false">IF(X19&lt;0,-X19,0)</f>
        <v>0</v>
      </c>
      <c r="Y20" s="10" t="n">
        <f aca="false">IF(Y19&lt;0,-Y19,0)</f>
        <v>1575100</v>
      </c>
      <c r="Z20" s="10" t="n">
        <f aca="false">IF(Z19&lt;0,-Z19,0)</f>
        <v>74342</v>
      </c>
      <c r="AA20" s="10" t="n">
        <f aca="false">IF(AA19&lt;0,-AA19,0)</f>
        <v>2539000</v>
      </c>
      <c r="AB20" s="10" t="n">
        <f aca="false">IF(AB19&lt;0,-AB19,0)</f>
        <v>0</v>
      </c>
      <c r="AC20" s="11"/>
    </row>
    <row r="23" customFormat="false" ht="15" hidden="false" customHeight="false" outlineLevel="0" collapsed="false">
      <c r="A23" s="14" t="s">
        <v>48</v>
      </c>
    </row>
    <row r="24" customFormat="false" ht="15" hidden="false" customHeight="false" outlineLevel="0" collapsed="false">
      <c r="A24" s="15" t="s">
        <v>49</v>
      </c>
    </row>
    <row r="25" customFormat="false" ht="15" hidden="false" customHeight="false" outlineLevel="0" collapsed="false">
      <c r="A25" s="15" t="s">
        <v>50</v>
      </c>
    </row>
    <row r="26" customFormat="false" ht="15" hidden="false" customHeight="false" outlineLevel="0" collapsed="false">
      <c r="A26" s="15" t="s">
        <v>51</v>
      </c>
    </row>
    <row r="27" customFormat="false" ht="15" hidden="false" customHeight="false" outlineLevel="0" collapsed="false">
      <c r="A27" s="15" t="s">
        <v>52</v>
      </c>
    </row>
    <row r="28" customFormat="false" ht="15" hidden="false" customHeight="false" outlineLevel="0" collapsed="false">
      <c r="A28" s="15" t="s">
        <v>53</v>
      </c>
    </row>
    <row r="29" customFormat="false" ht="15" hidden="false" customHeight="false" outlineLevel="0" collapsed="false">
      <c r="A29" s="15" t="s">
        <v>54</v>
      </c>
    </row>
    <row r="30" customFormat="false" ht="15" hidden="false" customHeight="false" outlineLevel="0" collapsed="false">
      <c r="A30" s="15" t="s">
        <v>55</v>
      </c>
    </row>
    <row r="31" customFormat="false" ht="15" hidden="false" customHeight="false" outlineLevel="0" collapsed="false">
      <c r="A31" s="15" t="s">
        <v>56</v>
      </c>
    </row>
    <row r="32" customFormat="false" ht="15" hidden="false" customHeight="false" outlineLevel="0" collapsed="false">
      <c r="A32" s="15" t="s">
        <v>57</v>
      </c>
    </row>
    <row r="33" customFormat="false" ht="15" hidden="false" customHeight="false" outlineLevel="0" collapsed="false">
      <c r="A33" s="15" t="s">
        <v>58</v>
      </c>
    </row>
    <row r="34" customFormat="false" ht="15" hidden="false" customHeight="false" outlineLevel="0" collapsed="false">
      <c r="A34" s="15" t="s">
        <v>59</v>
      </c>
    </row>
    <row r="35" customFormat="false" ht="15" hidden="false" customHeight="false" outlineLevel="0" collapsed="false">
      <c r="A35" s="15" t="s">
        <v>60</v>
      </c>
    </row>
    <row r="36" customFormat="false" ht="15" hidden="false" customHeight="false" outlineLevel="0" collapsed="false">
      <c r="A36" s="15" t="s">
        <v>61</v>
      </c>
    </row>
    <row r="37" customFormat="false" ht="15" hidden="false" customHeight="false" outlineLevel="0" collapsed="false">
      <c r="A37" s="15" t="s">
        <v>62</v>
      </c>
    </row>
    <row r="38" customFormat="false" ht="15" hidden="false" customHeight="false" outlineLevel="0" collapsed="false">
      <c r="A38" s="15" t="s">
        <v>63</v>
      </c>
    </row>
    <row r="39" customFormat="false" ht="15" hidden="false" customHeight="false" outlineLevel="0" collapsed="false">
      <c r="A39" s="15" t="s">
        <v>64</v>
      </c>
    </row>
    <row r="40" customFormat="false" ht="15" hidden="false" customHeight="false" outlineLevel="0" collapsed="false">
      <c r="A40" s="15" t="s">
        <v>65</v>
      </c>
    </row>
  </sheetData>
  <mergeCells count="10">
    <mergeCell ref="A4:A6"/>
    <mergeCell ref="B4:AB4"/>
    <mergeCell ref="B5:D5"/>
    <mergeCell ref="E5:G5"/>
    <mergeCell ref="H5:J5"/>
    <mergeCell ref="K5:M5"/>
    <mergeCell ref="N5:R5"/>
    <mergeCell ref="S5:U5"/>
    <mergeCell ref="V5:W5"/>
    <mergeCell ref="Z5:AA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2026-10-05T08:34:01Z</dcterms:created>
  <dc:creator>openpyxl</dc:creator>
  <dc:description/>
  <dc:language>en-US</dc:language>
  <cp:lastModifiedBy/>
  <dcterms:modified xsi:type="dcterms:W3CDTF">2026-10-05T08:34:01Z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